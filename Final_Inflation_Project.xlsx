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
    </mc:Choice>
  </mc:AlternateContent>
  <xr:revisionPtr revIDLastSave="0" documentId="13_ncr:1_{49CE5104-A6CA-4FEB-AD85-54CCD3D9EC39}" xr6:coauthVersionLast="47" xr6:coauthVersionMax="47" xr10:uidLastSave="{00000000-0000-0000-0000-000000000000}"/>
  <bookViews>
    <workbookView xWindow="-120" yWindow="-120" windowWidth="20730" windowHeight="11040" firstSheet="10" activeTab="16" xr2:uid="{00000000-000D-0000-FFFF-FFFF00000000}"/>
  </bookViews>
  <sheets>
    <sheet name="Table3" sheetId="24" r:id="rId1"/>
    <sheet name="Main_Data" sheetId="1" r:id="rId2"/>
    <sheet name="Check" sheetId="2" r:id="rId3"/>
    <sheet name="issue_log" sheetId="3" r:id="rId4"/>
    <sheet name="Sheet1" sheetId="25" r:id="rId5"/>
    <sheet name="combined_bucket" sheetId="33" r:id="rId6"/>
    <sheet name="Clean_data" sheetId="27" r:id="rId7"/>
    <sheet name="Final_Clean_table" sheetId="30" r:id="rId8"/>
    <sheet name="Buckets" sheetId="31" r:id="rId9"/>
    <sheet name="Task_1" sheetId="32" r:id="rId10"/>
    <sheet name="Task_2" sheetId="34" r:id="rId11"/>
    <sheet name="Task_3" sheetId="35" r:id="rId12"/>
    <sheet name="task3.1" sheetId="36" r:id="rId13"/>
    <sheet name="Task_4" sheetId="37" r:id="rId14"/>
    <sheet name="Task_5" sheetId="43" r:id="rId15"/>
    <sheet name="Dashboard" sheetId="45" r:id="rId16"/>
    <sheet name="Sheet9" sheetId="47" r:id="rId17"/>
    <sheet name="LastQAnalysis" sheetId="40" r:id="rId18"/>
    <sheet name="Sheet6" sheetId="44" r:id="rId19"/>
    <sheet name="Sheet5" sheetId="29" r:id="rId20"/>
    <sheet name="Sheet2" sheetId="26" r:id="rId21"/>
    <sheet name="Sheet4" sheetId="28" r:id="rId22"/>
    <sheet name="crude_oil_data" sheetId="38" r:id="rId23"/>
  </sheets>
  <definedNames>
    <definedName name="_xlnm._FilterDatabase" localSheetId="2" hidden="1">Check!$A$1:$AD$373</definedName>
    <definedName name="_xlnm._FilterDatabase" localSheetId="6" hidden="1">Clean_data!$A$1:$AD$373</definedName>
    <definedName name="_xlnm._FilterDatabase" localSheetId="4" hidden="1">Sheet1!$A$1:$BD$373</definedName>
    <definedName name="_xlnm._FilterDatabase" localSheetId="20" hidden="1">Sheet2!$A$130:$BE$254</definedName>
    <definedName name="_xlnm._FilterDatabase" localSheetId="21" hidden="1">Sheet4!$A$1:$BE$125</definedName>
    <definedName name="ExternalData_1" localSheetId="0" hidden="1">Table3!$A$1:$AD$373</definedName>
    <definedName name="Slicer_Sector">#N/A</definedName>
  </definedNames>
  <calcPr calcId="191029"/>
  <pivotCaches>
    <pivotCache cacheId="31" r:id="rId24"/>
    <pivotCache cacheId="35" r:id="rId25"/>
    <pivotCache cacheId="39" r:id="rId26"/>
  </pivotCaches>
  <fileRecoveryPr repairLoad="1"/>
  <extLst>
    <ext xmlns:x14="http://schemas.microsoft.com/office/spreadsheetml/2009/9/main" uri="{BBE1A952-AA13-448e-AADC-164F8A28A991}">
      <x14:slicerCaches>
        <x14:slicerCache r:id="rId2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6" i="43" l="1"/>
  <c r="B11" i="32" a="1"/>
  <c r="B11" i="32" s="1"/>
  <c r="F42" i="43"/>
  <c r="F41" i="43"/>
  <c r="F40" i="43"/>
  <c r="F39" i="43"/>
  <c r="F38" i="43"/>
  <c r="F37" i="43"/>
  <c r="R4" i="43"/>
  <c r="R5" i="43"/>
  <c r="R6" i="43"/>
  <c r="R7" i="43"/>
  <c r="R8" i="43"/>
  <c r="R9" i="43"/>
  <c r="R10" i="43"/>
  <c r="R11" i="43"/>
  <c r="R12" i="43"/>
  <c r="R13" i="43"/>
  <c r="R14" i="43"/>
  <c r="R15" i="43"/>
  <c r="R16" i="43"/>
  <c r="R17" i="43"/>
  <c r="R18" i="43"/>
  <c r="R19" i="43"/>
  <c r="R20" i="43"/>
  <c r="R21" i="43"/>
  <c r="R22" i="43"/>
  <c r="R23" i="43"/>
  <c r="R24" i="43"/>
  <c r="R25" i="43"/>
  <c r="R26" i="43"/>
  <c r="R27" i="43"/>
  <c r="R28" i="43"/>
  <c r="R29" i="43"/>
  <c r="R30" i="43"/>
  <c r="R31" i="43"/>
  <c r="R3" i="43"/>
  <c r="P4" i="43"/>
  <c r="P5" i="43"/>
  <c r="P6" i="43"/>
  <c r="P7" i="43"/>
  <c r="P8" i="43"/>
  <c r="P9" i="43"/>
  <c r="P10" i="43"/>
  <c r="P11" i="43"/>
  <c r="P12" i="43"/>
  <c r="P13" i="43"/>
  <c r="P14" i="43"/>
  <c r="P15" i="43"/>
  <c r="P16" i="43"/>
  <c r="P17" i="43"/>
  <c r="P18" i="43"/>
  <c r="P19" i="43"/>
  <c r="P20" i="43"/>
  <c r="P21" i="43"/>
  <c r="P22" i="43"/>
  <c r="P23" i="43"/>
  <c r="P24" i="43"/>
  <c r="P25" i="43"/>
  <c r="P26" i="43"/>
  <c r="P27" i="43"/>
  <c r="P28" i="43"/>
  <c r="P29" i="43"/>
  <c r="P30" i="43"/>
  <c r="P31" i="43"/>
  <c r="P3" i="43"/>
  <c r="N4" i="43"/>
  <c r="N5" i="43"/>
  <c r="N6" i="43"/>
  <c r="N7" i="43"/>
  <c r="N8" i="43"/>
  <c r="N9" i="43"/>
  <c r="N10" i="43"/>
  <c r="N11" i="43"/>
  <c r="N12" i="43"/>
  <c r="N13" i="43"/>
  <c r="N14" i="43"/>
  <c r="N15" i="43"/>
  <c r="N16" i="43"/>
  <c r="N17" i="43"/>
  <c r="N18" i="43"/>
  <c r="N19" i="43"/>
  <c r="N20" i="43"/>
  <c r="N21" i="43"/>
  <c r="N22" i="43"/>
  <c r="N23" i="43"/>
  <c r="N24" i="43"/>
  <c r="N25" i="43"/>
  <c r="N26" i="43"/>
  <c r="N27" i="43"/>
  <c r="N28" i="43"/>
  <c r="N29" i="43"/>
  <c r="N30" i="43"/>
  <c r="N31" i="43"/>
  <c r="N3" i="43"/>
  <c r="L4" i="43"/>
  <c r="L5" i="43"/>
  <c r="L6" i="43"/>
  <c r="L7" i="43"/>
  <c r="L8" i="43"/>
  <c r="L9" i="43"/>
  <c r="L10" i="43"/>
  <c r="L11" i="43"/>
  <c r="L12" i="43"/>
  <c r="L13" i="43"/>
  <c r="L14" i="43"/>
  <c r="L15" i="43"/>
  <c r="L16" i="43"/>
  <c r="L17" i="43"/>
  <c r="L18" i="43"/>
  <c r="L19" i="43"/>
  <c r="L20" i="43"/>
  <c r="L21" i="43"/>
  <c r="L22" i="43"/>
  <c r="L23" i="43"/>
  <c r="L24" i="43"/>
  <c r="L25" i="43"/>
  <c r="L26" i="43"/>
  <c r="L27" i="43"/>
  <c r="L28" i="43"/>
  <c r="L29" i="43"/>
  <c r="L30" i="43"/>
  <c r="L31" i="43"/>
  <c r="L3" i="43"/>
  <c r="J4" i="43"/>
  <c r="J5" i="43"/>
  <c r="J6" i="43"/>
  <c r="J7" i="43"/>
  <c r="J8" i="43"/>
  <c r="J9" i="43"/>
  <c r="J10" i="43"/>
  <c r="J11" i="43"/>
  <c r="J12" i="43"/>
  <c r="J13" i="43"/>
  <c r="J14" i="43"/>
  <c r="J15" i="43"/>
  <c r="J16" i="43"/>
  <c r="J17" i="43"/>
  <c r="J18" i="43"/>
  <c r="J19" i="43"/>
  <c r="J20" i="43"/>
  <c r="J21" i="43"/>
  <c r="J22" i="43"/>
  <c r="J23" i="43"/>
  <c r="J24" i="43"/>
  <c r="J25" i="43"/>
  <c r="J26" i="43"/>
  <c r="J27" i="43"/>
  <c r="J28" i="43"/>
  <c r="J29" i="43"/>
  <c r="J30" i="43"/>
  <c r="J31" i="43"/>
  <c r="J3" i="43"/>
  <c r="H4" i="43"/>
  <c r="H5" i="43"/>
  <c r="H6" i="43"/>
  <c r="H7" i="43"/>
  <c r="H8" i="43"/>
  <c r="H9" i="43"/>
  <c r="H10" i="43"/>
  <c r="H11" i="43"/>
  <c r="H12" i="43"/>
  <c r="H13" i="43"/>
  <c r="H14" i="43"/>
  <c r="H15" i="43"/>
  <c r="H16" i="43"/>
  <c r="H17" i="43"/>
  <c r="H18" i="43"/>
  <c r="H19" i="43"/>
  <c r="H20" i="43"/>
  <c r="H21" i="43"/>
  <c r="H22" i="43"/>
  <c r="H23" i="43"/>
  <c r="H24" i="43"/>
  <c r="H25" i="43"/>
  <c r="H26" i="43"/>
  <c r="H27" i="43"/>
  <c r="H28" i="43"/>
  <c r="H29" i="43"/>
  <c r="H30" i="43"/>
  <c r="H31" i="43"/>
  <c r="H3" i="43"/>
  <c r="F4" i="43"/>
  <c r="F5" i="43"/>
  <c r="F6" i="43"/>
  <c r="F7" i="43"/>
  <c r="F8" i="43"/>
  <c r="F9" i="43"/>
  <c r="F10" i="43"/>
  <c r="F11" i="43"/>
  <c r="F12" i="43"/>
  <c r="F13" i="43"/>
  <c r="F14" i="43"/>
  <c r="F15" i="43"/>
  <c r="F16" i="43"/>
  <c r="F17" i="43"/>
  <c r="F18" i="43"/>
  <c r="F19" i="43"/>
  <c r="F20" i="43"/>
  <c r="F21" i="43"/>
  <c r="F22" i="43"/>
  <c r="F23" i="43"/>
  <c r="F24" i="43"/>
  <c r="F25" i="43"/>
  <c r="F26" i="43"/>
  <c r="F27" i="43"/>
  <c r="F28" i="43"/>
  <c r="F29" i="43"/>
  <c r="F30" i="43"/>
  <c r="F31" i="43"/>
  <c r="F3" i="43"/>
  <c r="D4" i="43"/>
  <c r="D5" i="43"/>
  <c r="D6" i="43"/>
  <c r="D7" i="43"/>
  <c r="D8" i="43"/>
  <c r="D9" i="43"/>
  <c r="D10" i="43"/>
  <c r="D11" i="43"/>
  <c r="D12" i="43"/>
  <c r="D13" i="43"/>
  <c r="D14" i="43"/>
  <c r="D15" i="43"/>
  <c r="D16" i="43"/>
  <c r="D17" i="43"/>
  <c r="D18" i="43"/>
  <c r="D19" i="43"/>
  <c r="D20" i="43"/>
  <c r="D21" i="43"/>
  <c r="D22" i="43"/>
  <c r="D23" i="43"/>
  <c r="D24" i="43"/>
  <c r="D25" i="43"/>
  <c r="D26" i="43"/>
  <c r="D27" i="43"/>
  <c r="D28" i="43"/>
  <c r="D29" i="43"/>
  <c r="D30" i="43"/>
  <c r="D31" i="43"/>
  <c r="D3" i="43"/>
  <c r="X9" i="38" a="1"/>
  <c r="X9" i="38" s="1"/>
  <c r="S9" i="38" a="1"/>
  <c r="S9" i="38" s="1"/>
  <c r="P5" i="37"/>
  <c r="P6" i="37"/>
  <c r="P7" i="37"/>
  <c r="P8" i="37"/>
  <c r="P9" i="37"/>
  <c r="P10" i="37"/>
  <c r="P11" i="37"/>
  <c r="P12" i="37"/>
  <c r="P13" i="37"/>
  <c r="P14" i="37"/>
  <c r="P15" i="37"/>
  <c r="P16" i="37"/>
  <c r="P17" i="37"/>
  <c r="P18" i="37"/>
  <c r="P19" i="37"/>
  <c r="P20" i="37"/>
  <c r="P21" i="37"/>
  <c r="P22" i="37"/>
  <c r="P23" i="37"/>
  <c r="P24" i="37"/>
  <c r="P25" i="37"/>
  <c r="P26" i="37"/>
  <c r="P27" i="37"/>
  <c r="P4" i="37"/>
  <c r="N5" i="37"/>
  <c r="N6" i="37"/>
  <c r="N7" i="37"/>
  <c r="N8" i="37"/>
  <c r="N9" i="37"/>
  <c r="N10" i="37"/>
  <c r="N11" i="37"/>
  <c r="N12" i="37"/>
  <c r="N13" i="37"/>
  <c r="N14" i="37"/>
  <c r="N15" i="37"/>
  <c r="N16" i="37"/>
  <c r="N17" i="37"/>
  <c r="N18" i="37"/>
  <c r="N19" i="37"/>
  <c r="N20" i="37"/>
  <c r="N21" i="37"/>
  <c r="N22" i="37"/>
  <c r="N23" i="37"/>
  <c r="N24" i="37"/>
  <c r="N25" i="37"/>
  <c r="N26" i="37"/>
  <c r="N27" i="37"/>
  <c r="N4" i="37"/>
  <c r="L5" i="37"/>
  <c r="L6" i="37"/>
  <c r="L7" i="37"/>
  <c r="L8" i="37"/>
  <c r="L9" i="37"/>
  <c r="L10" i="37"/>
  <c r="L11" i="37"/>
  <c r="L12" i="37"/>
  <c r="L13" i="37"/>
  <c r="L14" i="37"/>
  <c r="L15" i="37"/>
  <c r="L16" i="37"/>
  <c r="L17" i="37"/>
  <c r="L18" i="37"/>
  <c r="L19" i="37"/>
  <c r="L20" i="37"/>
  <c r="L21" i="37"/>
  <c r="L22" i="37"/>
  <c r="L23" i="37"/>
  <c r="L24" i="37"/>
  <c r="L25" i="37"/>
  <c r="L26" i="37"/>
  <c r="L27" i="37"/>
  <c r="L4" i="37"/>
  <c r="J5" i="37"/>
  <c r="J6" i="37"/>
  <c r="J7" i="37"/>
  <c r="J8" i="37"/>
  <c r="J9" i="37"/>
  <c r="J10" i="37"/>
  <c r="J11" i="37"/>
  <c r="J12" i="37"/>
  <c r="J13" i="37"/>
  <c r="J14" i="37"/>
  <c r="J15" i="37"/>
  <c r="J16" i="37"/>
  <c r="J17" i="37"/>
  <c r="J18" i="37"/>
  <c r="J19" i="37"/>
  <c r="J20" i="37"/>
  <c r="J21" i="37"/>
  <c r="J22" i="37"/>
  <c r="J23" i="37"/>
  <c r="J24" i="37"/>
  <c r="J25" i="37"/>
  <c r="J26" i="37"/>
  <c r="J27" i="37"/>
  <c r="J4" i="37"/>
  <c r="E29" i="36"/>
  <c r="E30" i="36"/>
  <c r="E31" i="36"/>
  <c r="E32" i="36"/>
  <c r="E33" i="36"/>
  <c r="E34" i="36"/>
  <c r="E35" i="36"/>
  <c r="E36" i="36"/>
  <c r="E37" i="36"/>
  <c r="E38" i="36"/>
  <c r="E39" i="36"/>
  <c r="E28" i="36"/>
  <c r="H6" i="35"/>
  <c r="H7" i="35"/>
  <c r="H8" i="35"/>
  <c r="H9" i="35"/>
  <c r="H10" i="35"/>
  <c r="H11" i="35"/>
  <c r="H12" i="35"/>
  <c r="H13" i="35"/>
  <c r="H14" i="35"/>
  <c r="H15" i="35"/>
  <c r="H5" i="35"/>
  <c r="F7" i="34"/>
  <c r="F8" i="34"/>
  <c r="F9" i="34"/>
  <c r="F10" i="34"/>
  <c r="F11" i="34"/>
  <c r="F12" i="34"/>
  <c r="F6" i="34"/>
  <c r="AB3" i="33"/>
  <c r="AB4" i="33"/>
  <c r="AB5" i="33"/>
  <c r="AB6" i="33"/>
  <c r="AB7" i="33"/>
  <c r="AB8" i="33"/>
  <c r="AB9" i="33"/>
  <c r="AB10" i="33"/>
  <c r="AB11" i="33"/>
  <c r="AB12" i="33"/>
  <c r="AB13" i="33"/>
  <c r="AB14" i="33"/>
  <c r="AB15" i="33"/>
  <c r="AB16" i="33"/>
  <c r="AB17" i="33"/>
  <c r="AB18" i="33"/>
  <c r="AB19" i="33"/>
  <c r="AB20" i="33"/>
  <c r="AB21" i="33"/>
  <c r="AB22" i="33"/>
  <c r="AB23" i="33"/>
  <c r="AB24" i="33"/>
  <c r="AB25" i="33"/>
  <c r="AB26" i="33"/>
  <c r="AB27" i="33"/>
  <c r="AB28" i="33"/>
  <c r="AB29" i="33"/>
  <c r="AB30" i="33"/>
  <c r="AB31" i="33"/>
  <c r="AB32" i="33"/>
  <c r="AB33" i="33"/>
  <c r="AB34" i="33"/>
  <c r="AB35" i="33"/>
  <c r="AB36" i="33"/>
  <c r="AB37" i="33"/>
  <c r="AB38" i="33"/>
  <c r="AB39" i="33"/>
  <c r="AB40" i="33"/>
  <c r="AB41" i="33"/>
  <c r="AB42" i="33"/>
  <c r="AB43" i="33"/>
  <c r="AB44" i="33"/>
  <c r="AB45" i="33"/>
  <c r="AB46" i="33"/>
  <c r="AB47" i="33"/>
  <c r="AB48" i="33"/>
  <c r="AB49" i="33"/>
  <c r="AB50" i="33"/>
  <c r="AB51" i="33"/>
  <c r="AB52" i="33"/>
  <c r="AB53" i="33"/>
  <c r="AB54" i="33"/>
  <c r="AB55" i="33"/>
  <c r="AB56" i="33"/>
  <c r="AB57" i="33"/>
  <c r="AB58" i="33"/>
  <c r="AB59" i="33"/>
  <c r="AB60" i="33"/>
  <c r="AB61" i="33"/>
  <c r="AB62" i="33"/>
  <c r="AB63" i="33"/>
  <c r="AB64" i="33"/>
  <c r="AB65" i="33"/>
  <c r="AB66" i="33"/>
  <c r="AB67" i="33"/>
  <c r="AB68" i="33"/>
  <c r="AB69" i="33"/>
  <c r="AB70" i="33"/>
  <c r="AB71" i="33"/>
  <c r="AB72" i="33"/>
  <c r="AB73" i="33"/>
  <c r="AB74" i="33"/>
  <c r="AB75" i="33"/>
  <c r="AB76" i="33"/>
  <c r="AB77" i="33"/>
  <c r="AB78" i="33"/>
  <c r="AB79" i="33"/>
  <c r="AB80" i="33"/>
  <c r="AB81" i="33"/>
  <c r="AB82" i="33"/>
  <c r="AB83" i="33"/>
  <c r="AB84" i="33"/>
  <c r="AB85" i="33"/>
  <c r="AB86" i="33"/>
  <c r="AB87" i="33"/>
  <c r="AB88" i="33"/>
  <c r="AB89" i="33"/>
  <c r="AB90" i="33"/>
  <c r="AB91" i="33"/>
  <c r="AB92" i="33"/>
  <c r="AB93" i="33"/>
  <c r="AB94" i="33"/>
  <c r="AB95" i="33"/>
  <c r="AB96" i="33"/>
  <c r="AB97" i="33"/>
  <c r="AB98" i="33"/>
  <c r="AB99" i="33"/>
  <c r="AB100" i="33"/>
  <c r="AB101" i="33"/>
  <c r="AB102" i="33"/>
  <c r="AB103" i="33"/>
  <c r="AB104" i="33"/>
  <c r="AB105" i="33"/>
  <c r="AB106" i="33"/>
  <c r="AB107" i="33"/>
  <c r="AB108" i="33"/>
  <c r="AB109" i="33"/>
  <c r="AB110" i="33"/>
  <c r="AB111" i="33"/>
  <c r="AB112" i="33"/>
  <c r="AB113" i="33"/>
  <c r="AB114" i="33"/>
  <c r="AB115" i="33"/>
  <c r="AB116" i="33"/>
  <c r="AB117" i="33"/>
  <c r="AB118" i="33"/>
  <c r="AB119" i="33"/>
  <c r="AB120" i="33"/>
  <c r="AB121" i="33"/>
  <c r="AB122" i="33"/>
  <c r="AB123" i="33"/>
  <c r="AB124" i="33"/>
  <c r="AB125" i="33"/>
  <c r="AB126" i="33"/>
  <c r="AB127" i="33"/>
  <c r="AB128" i="33"/>
  <c r="AB129" i="33"/>
  <c r="AB130" i="33"/>
  <c r="AB131" i="33"/>
  <c r="AB132" i="33"/>
  <c r="AB133" i="33"/>
  <c r="AB134" i="33"/>
  <c r="AB135" i="33"/>
  <c r="AB136" i="33"/>
  <c r="AB137" i="33"/>
  <c r="AB138" i="33"/>
  <c r="AB139" i="33"/>
  <c r="AB140" i="33"/>
  <c r="AB141" i="33"/>
  <c r="AB142" i="33"/>
  <c r="AB143" i="33"/>
  <c r="AB144" i="33"/>
  <c r="AB145" i="33"/>
  <c r="AB146" i="33"/>
  <c r="AB147" i="33"/>
  <c r="AB148" i="33"/>
  <c r="AB149" i="33"/>
  <c r="AB150" i="33"/>
  <c r="AB151" i="33"/>
  <c r="AB152" i="33"/>
  <c r="AB153" i="33"/>
  <c r="AB154" i="33"/>
  <c r="AB155" i="33"/>
  <c r="AB156" i="33"/>
  <c r="AB157" i="33"/>
  <c r="AB158" i="33"/>
  <c r="AB159" i="33"/>
  <c r="AB160" i="33"/>
  <c r="AB161" i="33"/>
  <c r="AB162" i="33"/>
  <c r="AB163" i="33"/>
  <c r="AB164" i="33"/>
  <c r="AB165" i="33"/>
  <c r="AB166" i="33"/>
  <c r="AB167" i="33"/>
  <c r="AB168" i="33"/>
  <c r="AB169" i="33"/>
  <c r="AB170" i="33"/>
  <c r="AB171" i="33"/>
  <c r="AB172" i="33"/>
  <c r="AB173" i="33"/>
  <c r="AB174" i="33"/>
  <c r="AB175" i="33"/>
  <c r="AB176" i="33"/>
  <c r="AB177" i="33"/>
  <c r="AB178" i="33"/>
  <c r="AB179" i="33"/>
  <c r="AB180" i="33"/>
  <c r="AB181" i="33"/>
  <c r="AB182" i="33"/>
  <c r="AB183" i="33"/>
  <c r="AB184" i="33"/>
  <c r="AB185" i="33"/>
  <c r="AB186" i="33"/>
  <c r="AB187" i="33"/>
  <c r="AB188" i="33"/>
  <c r="AB189" i="33"/>
  <c r="AB190" i="33"/>
  <c r="AB191" i="33"/>
  <c r="AB192" i="33"/>
  <c r="AB193" i="33"/>
  <c r="AB194" i="33"/>
  <c r="AB195" i="33"/>
  <c r="AB196" i="33"/>
  <c r="AB197" i="33"/>
  <c r="AB198" i="33"/>
  <c r="AB199" i="33"/>
  <c r="AB200" i="33"/>
  <c r="AB201" i="33"/>
  <c r="AB202" i="33"/>
  <c r="AB203" i="33"/>
  <c r="AB204" i="33"/>
  <c r="AB205" i="33"/>
  <c r="AB206" i="33"/>
  <c r="AB207" i="33"/>
  <c r="AB208" i="33"/>
  <c r="AB209" i="33"/>
  <c r="AB210" i="33"/>
  <c r="AB211" i="33"/>
  <c r="AB212" i="33"/>
  <c r="AB213" i="33"/>
  <c r="AB214" i="33"/>
  <c r="AB215" i="33"/>
  <c r="AB216" i="33"/>
  <c r="AB217" i="33"/>
  <c r="AB218" i="33"/>
  <c r="AB219" i="33"/>
  <c r="AB220" i="33"/>
  <c r="AB221" i="33"/>
  <c r="AB222" i="33"/>
  <c r="AB223" i="33"/>
  <c r="AB224" i="33"/>
  <c r="AB225" i="33"/>
  <c r="AB226" i="33"/>
  <c r="AB227" i="33"/>
  <c r="AB228" i="33"/>
  <c r="AB229" i="33"/>
  <c r="AB230" i="33"/>
  <c r="AB231" i="33"/>
  <c r="AB232" i="33"/>
  <c r="AB233" i="33"/>
  <c r="AB234" i="33"/>
  <c r="AB235" i="33"/>
  <c r="AB236" i="33"/>
  <c r="AB237" i="33"/>
  <c r="AB238" i="33"/>
  <c r="AB239" i="33"/>
  <c r="AB240" i="33"/>
  <c r="AB241" i="33"/>
  <c r="AB242" i="33"/>
  <c r="AB243" i="33"/>
  <c r="AB244" i="33"/>
  <c r="AB245" i="33"/>
  <c r="AB246" i="33"/>
  <c r="AB247" i="33"/>
  <c r="AB248" i="33"/>
  <c r="AB249" i="33"/>
  <c r="AB250" i="33"/>
  <c r="AB251" i="33"/>
  <c r="AB252" i="33"/>
  <c r="AB253" i="33"/>
  <c r="AB254" i="33"/>
  <c r="AB255" i="33"/>
  <c r="AB256" i="33"/>
  <c r="AB257" i="33"/>
  <c r="AB258" i="33"/>
  <c r="AB259" i="33"/>
  <c r="AB260" i="33"/>
  <c r="AB261" i="33"/>
  <c r="AB262" i="33"/>
  <c r="AB263" i="33"/>
  <c r="AB264" i="33"/>
  <c r="AB265" i="33"/>
  <c r="AB266" i="33"/>
  <c r="AB267" i="33"/>
  <c r="AB268" i="33"/>
  <c r="AB269" i="33"/>
  <c r="AB270" i="33"/>
  <c r="AB271" i="33"/>
  <c r="AB272" i="33"/>
  <c r="AB273" i="33"/>
  <c r="AB274" i="33"/>
  <c r="AB275" i="33"/>
  <c r="AB276" i="33"/>
  <c r="AB277" i="33"/>
  <c r="AB278" i="33"/>
  <c r="AB279" i="33"/>
  <c r="AB280" i="33"/>
  <c r="AB281" i="33"/>
  <c r="AB282" i="33"/>
  <c r="AB283" i="33"/>
  <c r="AB284" i="33"/>
  <c r="AB285" i="33"/>
  <c r="AB286" i="33"/>
  <c r="AB287" i="33"/>
  <c r="AB288" i="33"/>
  <c r="AB289" i="33"/>
  <c r="AB290" i="33"/>
  <c r="AB291" i="33"/>
  <c r="AB292" i="33"/>
  <c r="AB293" i="33"/>
  <c r="AB294" i="33"/>
  <c r="AB295" i="33"/>
  <c r="AB296" i="33"/>
  <c r="AB297" i="33"/>
  <c r="AB298" i="33"/>
  <c r="AB299" i="33"/>
  <c r="AB300" i="33"/>
  <c r="AB301" i="33"/>
  <c r="AB302" i="33"/>
  <c r="AB303" i="33"/>
  <c r="AB304" i="33"/>
  <c r="AB305" i="33"/>
  <c r="AB306" i="33"/>
  <c r="AB307" i="33"/>
  <c r="AB308" i="33"/>
  <c r="AB309" i="33"/>
  <c r="AB310" i="33"/>
  <c r="AB311" i="33"/>
  <c r="AB312" i="33"/>
  <c r="AB313" i="33"/>
  <c r="AB314" i="33"/>
  <c r="AB315" i="33"/>
  <c r="AB316" i="33"/>
  <c r="AB317" i="33"/>
  <c r="AB318" i="33"/>
  <c r="AB319" i="33"/>
  <c r="AB320" i="33"/>
  <c r="AB321" i="33"/>
  <c r="AB322" i="33"/>
  <c r="AB323" i="33"/>
  <c r="AB324" i="33"/>
  <c r="AB325" i="33"/>
  <c r="AB326" i="33"/>
  <c r="AB327" i="33"/>
  <c r="AB328" i="33"/>
  <c r="AB329" i="33"/>
  <c r="AB330" i="33"/>
  <c r="AB331" i="33"/>
  <c r="AB332" i="33"/>
  <c r="AB333" i="33"/>
  <c r="AB334" i="33"/>
  <c r="AB335" i="33"/>
  <c r="AB336" i="33"/>
  <c r="AB337" i="33"/>
  <c r="AB338" i="33"/>
  <c r="AB339" i="33"/>
  <c r="AB340" i="33"/>
  <c r="AB341" i="33"/>
  <c r="AB342" i="33"/>
  <c r="AB343" i="33"/>
  <c r="AB344" i="33"/>
  <c r="AB345" i="33"/>
  <c r="AB346" i="33"/>
  <c r="AB347" i="33"/>
  <c r="AB348" i="33"/>
  <c r="AB349" i="33"/>
  <c r="AB350" i="33"/>
  <c r="AB351" i="33"/>
  <c r="AB352" i="33"/>
  <c r="AB353" i="33"/>
  <c r="AB354" i="33"/>
  <c r="AB355" i="33"/>
  <c r="AB356" i="33"/>
  <c r="AB357" i="33"/>
  <c r="AB358" i="33"/>
  <c r="AB359" i="33"/>
  <c r="AB360" i="33"/>
  <c r="AB361" i="33"/>
  <c r="AB362" i="33"/>
  <c r="AB363" i="33"/>
  <c r="AB364" i="33"/>
  <c r="AB365" i="33"/>
  <c r="AB366" i="33"/>
  <c r="AB367" i="33"/>
  <c r="AB368" i="33"/>
  <c r="AB369" i="33"/>
  <c r="AB370" i="33"/>
  <c r="AB371" i="33"/>
  <c r="AB372" i="33"/>
  <c r="AB373" i="33"/>
  <c r="AB2" i="33"/>
  <c r="C11" i="32" a="1"/>
  <c r="C11" i="32" s="1"/>
  <c r="U3" i="31"/>
  <c r="U4" i="31"/>
  <c r="U5" i="31"/>
  <c r="U6" i="31"/>
  <c r="U7" i="31"/>
  <c r="U8" i="31"/>
  <c r="U9" i="31"/>
  <c r="U10" i="31"/>
  <c r="U11" i="31"/>
  <c r="U12" i="31"/>
  <c r="U13" i="31"/>
  <c r="U14" i="31"/>
  <c r="U15" i="31"/>
  <c r="U16" i="31"/>
  <c r="U17" i="31"/>
  <c r="U18" i="31"/>
  <c r="U19" i="31"/>
  <c r="U20" i="31"/>
  <c r="U21" i="31"/>
  <c r="U22" i="31"/>
  <c r="U23" i="31"/>
  <c r="U24" i="31"/>
  <c r="U25" i="31"/>
  <c r="U26" i="31"/>
  <c r="U27" i="31"/>
  <c r="U28" i="31"/>
  <c r="U29" i="31"/>
  <c r="U30" i="31"/>
  <c r="U31" i="31"/>
  <c r="U32" i="31"/>
  <c r="U33" i="31"/>
  <c r="U34" i="31"/>
  <c r="U35" i="31"/>
  <c r="U36" i="31"/>
  <c r="U37" i="31"/>
  <c r="U38" i="31"/>
  <c r="U39" i="31"/>
  <c r="U40" i="31"/>
  <c r="U41" i="31"/>
  <c r="U42" i="31"/>
  <c r="U43" i="31"/>
  <c r="U44" i="31"/>
  <c r="U45" i="31"/>
  <c r="U46" i="31"/>
  <c r="U47" i="31"/>
  <c r="U48" i="31"/>
  <c r="U49" i="31"/>
  <c r="U50" i="31"/>
  <c r="U51" i="31"/>
  <c r="U52" i="31"/>
  <c r="U53" i="31"/>
  <c r="U54" i="31"/>
  <c r="U55" i="31"/>
  <c r="U56" i="31"/>
  <c r="U57" i="31"/>
  <c r="U58" i="31"/>
  <c r="U59" i="31"/>
  <c r="U60" i="31"/>
  <c r="U61" i="31"/>
  <c r="U62" i="31"/>
  <c r="U63" i="31"/>
  <c r="U64" i="31"/>
  <c r="U65" i="31"/>
  <c r="U66" i="31"/>
  <c r="U67" i="31"/>
  <c r="U68" i="31"/>
  <c r="U69" i="31"/>
  <c r="U70" i="31"/>
  <c r="U71" i="31"/>
  <c r="U72" i="31"/>
  <c r="U73" i="31"/>
  <c r="U74" i="31"/>
  <c r="U75" i="31"/>
  <c r="U76" i="31"/>
  <c r="U77" i="31"/>
  <c r="U78" i="31"/>
  <c r="U79" i="31"/>
  <c r="U80" i="31"/>
  <c r="U81" i="31"/>
  <c r="U82" i="31"/>
  <c r="U83" i="31"/>
  <c r="U84" i="31"/>
  <c r="U85" i="31"/>
  <c r="U86" i="31"/>
  <c r="U87" i="31"/>
  <c r="U88" i="31"/>
  <c r="U89" i="31"/>
  <c r="U90" i="31"/>
  <c r="U91" i="31"/>
  <c r="U92" i="31"/>
  <c r="U93" i="31"/>
  <c r="U94" i="31"/>
  <c r="U95" i="31"/>
  <c r="U96" i="31"/>
  <c r="U97" i="31"/>
  <c r="U98" i="31"/>
  <c r="U99" i="31"/>
  <c r="U100" i="31"/>
  <c r="U101" i="31"/>
  <c r="U102" i="31"/>
  <c r="U103" i="31"/>
  <c r="U104" i="31"/>
  <c r="U105" i="31"/>
  <c r="U106" i="31"/>
  <c r="U107" i="31"/>
  <c r="U108" i="31"/>
  <c r="U109" i="31"/>
  <c r="U110" i="31"/>
  <c r="U111" i="31"/>
  <c r="U112" i="31"/>
  <c r="U113" i="31"/>
  <c r="U114" i="31"/>
  <c r="U115" i="31"/>
  <c r="U116" i="31"/>
  <c r="U117" i="31"/>
  <c r="U118" i="31"/>
  <c r="U119" i="31"/>
  <c r="U120" i="31"/>
  <c r="U121" i="31"/>
  <c r="U122" i="31"/>
  <c r="U123" i="31"/>
  <c r="U124" i="31"/>
  <c r="U125" i="31"/>
  <c r="U126" i="31"/>
  <c r="U127" i="31"/>
  <c r="U128" i="31"/>
  <c r="U129" i="31"/>
  <c r="U130" i="31"/>
  <c r="U131" i="31"/>
  <c r="U132" i="31"/>
  <c r="U133" i="31"/>
  <c r="U134" i="31"/>
  <c r="U135" i="31"/>
  <c r="U136" i="31"/>
  <c r="U137" i="31"/>
  <c r="U138" i="31"/>
  <c r="U139" i="31"/>
  <c r="U140" i="31"/>
  <c r="U141" i="31"/>
  <c r="U142" i="31"/>
  <c r="U143" i="31"/>
  <c r="U144" i="31"/>
  <c r="U145" i="31"/>
  <c r="U146" i="31"/>
  <c r="U147" i="31"/>
  <c r="U148" i="31"/>
  <c r="U149" i="31"/>
  <c r="U150" i="31"/>
  <c r="U151" i="31"/>
  <c r="U152" i="31"/>
  <c r="U153" i="31"/>
  <c r="U154" i="31"/>
  <c r="U155" i="31"/>
  <c r="U156" i="31"/>
  <c r="U157" i="31"/>
  <c r="U158" i="31"/>
  <c r="U159" i="31"/>
  <c r="U160" i="31"/>
  <c r="U161" i="31"/>
  <c r="U162" i="31"/>
  <c r="U163" i="31"/>
  <c r="U164" i="31"/>
  <c r="U165" i="31"/>
  <c r="U166" i="31"/>
  <c r="U167" i="31"/>
  <c r="U168" i="31"/>
  <c r="U169" i="31"/>
  <c r="U170" i="31"/>
  <c r="U171" i="31"/>
  <c r="U172" i="31"/>
  <c r="U173" i="31"/>
  <c r="U174" i="31"/>
  <c r="U175" i="31"/>
  <c r="U176" i="31"/>
  <c r="U177" i="31"/>
  <c r="U178" i="31"/>
  <c r="U179" i="31"/>
  <c r="U180" i="31"/>
  <c r="U181" i="31"/>
  <c r="U182" i="31"/>
  <c r="U183" i="31"/>
  <c r="U184" i="31"/>
  <c r="U185" i="31"/>
  <c r="U186" i="31"/>
  <c r="U187" i="31"/>
  <c r="U188" i="31"/>
  <c r="U189" i="31"/>
  <c r="U190" i="31"/>
  <c r="U191" i="31"/>
  <c r="U192" i="31"/>
  <c r="U193" i="31"/>
  <c r="U194" i="31"/>
  <c r="U195" i="31"/>
  <c r="U196" i="31"/>
  <c r="U197" i="31"/>
  <c r="U198" i="31"/>
  <c r="U199" i="31"/>
  <c r="U200" i="31"/>
  <c r="U201" i="31"/>
  <c r="U202" i="31"/>
  <c r="U203" i="31"/>
  <c r="U204" i="31"/>
  <c r="U205" i="31"/>
  <c r="U206" i="31"/>
  <c r="U207" i="31"/>
  <c r="U208" i="31"/>
  <c r="U209" i="31"/>
  <c r="U210" i="31"/>
  <c r="U211" i="31"/>
  <c r="U212" i="31"/>
  <c r="U213" i="31"/>
  <c r="U214" i="31"/>
  <c r="U215" i="31"/>
  <c r="U216" i="31"/>
  <c r="U217" i="31"/>
  <c r="U218" i="31"/>
  <c r="U219" i="31"/>
  <c r="U220" i="31"/>
  <c r="U221" i="31"/>
  <c r="U222" i="31"/>
  <c r="U223" i="31"/>
  <c r="U224" i="31"/>
  <c r="U225" i="31"/>
  <c r="U226" i="31"/>
  <c r="U227" i="31"/>
  <c r="U228" i="31"/>
  <c r="U229" i="31"/>
  <c r="U230" i="31"/>
  <c r="U231" i="31"/>
  <c r="U232" i="31"/>
  <c r="U233" i="31"/>
  <c r="U234" i="31"/>
  <c r="U235" i="31"/>
  <c r="U236" i="31"/>
  <c r="U237" i="31"/>
  <c r="U238" i="31"/>
  <c r="U239" i="31"/>
  <c r="U240" i="31"/>
  <c r="U241" i="31"/>
  <c r="U242" i="31"/>
  <c r="U243" i="31"/>
  <c r="U244" i="31"/>
  <c r="U245" i="31"/>
  <c r="U246" i="31"/>
  <c r="U247" i="31"/>
  <c r="U248" i="31"/>
  <c r="U249" i="31"/>
  <c r="U250" i="31"/>
  <c r="U251" i="31"/>
  <c r="U252" i="31"/>
  <c r="U253" i="31"/>
  <c r="U254" i="31"/>
  <c r="U255" i="31"/>
  <c r="U256" i="31"/>
  <c r="U257" i="31"/>
  <c r="U258" i="31"/>
  <c r="U259" i="31"/>
  <c r="U260" i="31"/>
  <c r="U261" i="31"/>
  <c r="U262" i="31"/>
  <c r="U263" i="31"/>
  <c r="U264" i="31"/>
  <c r="U265" i="31"/>
  <c r="U266" i="31"/>
  <c r="U267" i="31"/>
  <c r="U268" i="31"/>
  <c r="U269" i="31"/>
  <c r="U270" i="31"/>
  <c r="U271" i="31"/>
  <c r="U272" i="31"/>
  <c r="U273" i="31"/>
  <c r="U274" i="31"/>
  <c r="U275" i="31"/>
  <c r="U276" i="31"/>
  <c r="U277" i="31"/>
  <c r="U278" i="31"/>
  <c r="U279" i="31"/>
  <c r="U280" i="31"/>
  <c r="U281" i="31"/>
  <c r="U282" i="31"/>
  <c r="U283" i="31"/>
  <c r="U284" i="31"/>
  <c r="U285" i="31"/>
  <c r="U286" i="31"/>
  <c r="U287" i="31"/>
  <c r="U288" i="31"/>
  <c r="U289" i="31"/>
  <c r="U290" i="31"/>
  <c r="U291" i="31"/>
  <c r="U292" i="31"/>
  <c r="U293" i="31"/>
  <c r="U294" i="31"/>
  <c r="U295" i="31"/>
  <c r="U296" i="31"/>
  <c r="U297" i="31"/>
  <c r="U298" i="31"/>
  <c r="U299" i="31"/>
  <c r="U300" i="31"/>
  <c r="U301" i="31"/>
  <c r="U302" i="31"/>
  <c r="U303" i="31"/>
  <c r="U304" i="31"/>
  <c r="U305" i="31"/>
  <c r="U306" i="31"/>
  <c r="U307" i="31"/>
  <c r="U308" i="31"/>
  <c r="U309" i="31"/>
  <c r="U310" i="31"/>
  <c r="U311" i="31"/>
  <c r="U312" i="31"/>
  <c r="U313" i="31"/>
  <c r="U314" i="31"/>
  <c r="U315" i="31"/>
  <c r="U316" i="31"/>
  <c r="U317" i="31"/>
  <c r="U318" i="31"/>
  <c r="U319" i="31"/>
  <c r="U320" i="31"/>
  <c r="U321" i="31"/>
  <c r="U322" i="31"/>
  <c r="U323" i="31"/>
  <c r="U324" i="31"/>
  <c r="U325" i="31"/>
  <c r="U326" i="31"/>
  <c r="U327" i="31"/>
  <c r="U328" i="31"/>
  <c r="U329" i="31"/>
  <c r="U330" i="31"/>
  <c r="U331" i="31"/>
  <c r="U332" i="31"/>
  <c r="U333" i="31"/>
  <c r="U334" i="31"/>
  <c r="U335" i="31"/>
  <c r="U336" i="31"/>
  <c r="U337" i="31"/>
  <c r="U338" i="31"/>
  <c r="U339" i="31"/>
  <c r="U340" i="31"/>
  <c r="U341" i="31"/>
  <c r="U342" i="31"/>
  <c r="U343" i="31"/>
  <c r="U344" i="31"/>
  <c r="U345" i="31"/>
  <c r="U346" i="31"/>
  <c r="U347" i="31"/>
  <c r="U348" i="31"/>
  <c r="U349" i="31"/>
  <c r="U350" i="31"/>
  <c r="U351" i="31"/>
  <c r="U352" i="31"/>
  <c r="U353" i="31"/>
  <c r="U354" i="31"/>
  <c r="U355" i="31"/>
  <c r="U356" i="31"/>
  <c r="U357" i="31"/>
  <c r="U358" i="31"/>
  <c r="U359" i="31"/>
  <c r="U360" i="31"/>
  <c r="U361" i="31"/>
  <c r="U362" i="31"/>
  <c r="U363" i="31"/>
  <c r="U364" i="31"/>
  <c r="U365" i="31"/>
  <c r="U366" i="31"/>
  <c r="U367" i="31"/>
  <c r="U368" i="31"/>
  <c r="U369" i="31"/>
  <c r="U370" i="31"/>
  <c r="U371" i="31"/>
  <c r="U372" i="31"/>
  <c r="U373" i="31"/>
  <c r="U2" i="31"/>
  <c r="P3" i="31"/>
  <c r="P4" i="31"/>
  <c r="P5" i="31"/>
  <c r="P6" i="31"/>
  <c r="P7" i="31"/>
  <c r="P8" i="31"/>
  <c r="P9" i="31"/>
  <c r="P10" i="31"/>
  <c r="P11" i="31"/>
  <c r="P12" i="31"/>
  <c r="P13" i="31"/>
  <c r="P14" i="31"/>
  <c r="P15" i="31"/>
  <c r="P16" i="31"/>
  <c r="P17" i="31"/>
  <c r="P18" i="31"/>
  <c r="P19" i="31"/>
  <c r="P20" i="31"/>
  <c r="P21" i="31"/>
  <c r="P22" i="31"/>
  <c r="P23" i="31"/>
  <c r="P24" i="31"/>
  <c r="P25" i="31"/>
  <c r="P26" i="31"/>
  <c r="P27" i="31"/>
  <c r="P28" i="31"/>
  <c r="P29" i="31"/>
  <c r="P30" i="31"/>
  <c r="P31" i="31"/>
  <c r="P32" i="31"/>
  <c r="P33" i="31"/>
  <c r="P34" i="31"/>
  <c r="P35" i="31"/>
  <c r="P36" i="31"/>
  <c r="P37" i="31"/>
  <c r="P38" i="31"/>
  <c r="P39" i="31"/>
  <c r="P40" i="31"/>
  <c r="P41" i="31"/>
  <c r="P42" i="31"/>
  <c r="P43" i="31"/>
  <c r="P44" i="31"/>
  <c r="P45" i="31"/>
  <c r="P46" i="31"/>
  <c r="P47" i="31"/>
  <c r="P48" i="31"/>
  <c r="P49" i="31"/>
  <c r="P50" i="31"/>
  <c r="P51" i="31"/>
  <c r="P52" i="31"/>
  <c r="P53" i="31"/>
  <c r="P54" i="31"/>
  <c r="P55" i="31"/>
  <c r="P56" i="31"/>
  <c r="P57" i="31"/>
  <c r="P58" i="31"/>
  <c r="P59" i="31"/>
  <c r="P60" i="31"/>
  <c r="P61" i="31"/>
  <c r="P62" i="31"/>
  <c r="P63" i="31"/>
  <c r="P64" i="31"/>
  <c r="P65" i="31"/>
  <c r="P66" i="31"/>
  <c r="P67" i="31"/>
  <c r="P68" i="31"/>
  <c r="P69" i="31"/>
  <c r="P70" i="31"/>
  <c r="P71" i="31"/>
  <c r="P72" i="31"/>
  <c r="P73" i="31"/>
  <c r="P74" i="31"/>
  <c r="P75" i="31"/>
  <c r="P76" i="31"/>
  <c r="P77" i="31"/>
  <c r="P78" i="31"/>
  <c r="P79" i="31"/>
  <c r="P80" i="31"/>
  <c r="P81" i="31"/>
  <c r="P82" i="31"/>
  <c r="P83" i="31"/>
  <c r="P84" i="31"/>
  <c r="P85" i="31"/>
  <c r="P86" i="31"/>
  <c r="P87" i="31"/>
  <c r="P88" i="31"/>
  <c r="P89" i="31"/>
  <c r="P90" i="31"/>
  <c r="P91" i="31"/>
  <c r="P92" i="31"/>
  <c r="P93" i="31"/>
  <c r="P94" i="31"/>
  <c r="P95" i="31"/>
  <c r="P96" i="31"/>
  <c r="P97" i="31"/>
  <c r="P98" i="31"/>
  <c r="P99" i="31"/>
  <c r="P100" i="31"/>
  <c r="P101" i="31"/>
  <c r="P102" i="31"/>
  <c r="P103" i="31"/>
  <c r="P104" i="31"/>
  <c r="P105" i="31"/>
  <c r="P106" i="31"/>
  <c r="P107" i="31"/>
  <c r="P108" i="31"/>
  <c r="P109" i="31"/>
  <c r="P110" i="31"/>
  <c r="P111" i="31"/>
  <c r="P112" i="31"/>
  <c r="P113" i="31"/>
  <c r="P114" i="31"/>
  <c r="P115" i="31"/>
  <c r="P116" i="31"/>
  <c r="P117" i="31"/>
  <c r="P118" i="31"/>
  <c r="P119" i="31"/>
  <c r="P120" i="31"/>
  <c r="P121" i="31"/>
  <c r="P122" i="31"/>
  <c r="P123" i="31"/>
  <c r="P124" i="31"/>
  <c r="P125" i="31"/>
  <c r="P126" i="31"/>
  <c r="P127" i="31"/>
  <c r="P128" i="31"/>
  <c r="P129" i="31"/>
  <c r="P130" i="31"/>
  <c r="P131" i="31"/>
  <c r="P132" i="31"/>
  <c r="P133" i="31"/>
  <c r="P134" i="31"/>
  <c r="P135" i="31"/>
  <c r="P136" i="31"/>
  <c r="P137" i="31"/>
  <c r="P138" i="31"/>
  <c r="P139" i="31"/>
  <c r="P140" i="31"/>
  <c r="P141" i="31"/>
  <c r="P142" i="31"/>
  <c r="P143" i="31"/>
  <c r="P144" i="31"/>
  <c r="P145" i="31"/>
  <c r="P146" i="31"/>
  <c r="P147" i="31"/>
  <c r="P148" i="31"/>
  <c r="P149" i="31"/>
  <c r="P150" i="31"/>
  <c r="P151" i="31"/>
  <c r="P152" i="31"/>
  <c r="P153" i="31"/>
  <c r="P154" i="31"/>
  <c r="P155" i="31"/>
  <c r="P156" i="31"/>
  <c r="P157" i="31"/>
  <c r="P158" i="31"/>
  <c r="P159" i="31"/>
  <c r="P160" i="31"/>
  <c r="P161" i="31"/>
  <c r="P162" i="31"/>
  <c r="P163" i="31"/>
  <c r="P164" i="31"/>
  <c r="P165" i="31"/>
  <c r="P166" i="31"/>
  <c r="P167" i="31"/>
  <c r="P168" i="31"/>
  <c r="P169" i="31"/>
  <c r="P170" i="31"/>
  <c r="P171" i="31"/>
  <c r="P172" i="31"/>
  <c r="P173" i="31"/>
  <c r="P174" i="31"/>
  <c r="P175" i="31"/>
  <c r="P176" i="31"/>
  <c r="P177" i="31"/>
  <c r="P178" i="31"/>
  <c r="P179" i="31"/>
  <c r="P180" i="31"/>
  <c r="P181" i="31"/>
  <c r="P182" i="31"/>
  <c r="P183" i="31"/>
  <c r="P184" i="31"/>
  <c r="P185" i="31"/>
  <c r="P186" i="31"/>
  <c r="P187" i="31"/>
  <c r="P188" i="31"/>
  <c r="P189" i="31"/>
  <c r="P190" i="31"/>
  <c r="P191" i="31"/>
  <c r="P192" i="31"/>
  <c r="P193" i="31"/>
  <c r="P194" i="31"/>
  <c r="P195" i="31"/>
  <c r="P196" i="31"/>
  <c r="P197" i="31"/>
  <c r="P198" i="31"/>
  <c r="P199" i="31"/>
  <c r="P200" i="31"/>
  <c r="P201" i="31"/>
  <c r="P202" i="31"/>
  <c r="P203" i="31"/>
  <c r="P204" i="31"/>
  <c r="P205" i="31"/>
  <c r="P206" i="31"/>
  <c r="P207" i="31"/>
  <c r="P208" i="31"/>
  <c r="P209" i="31"/>
  <c r="P210" i="31"/>
  <c r="P211" i="31"/>
  <c r="P212" i="31"/>
  <c r="P213" i="31"/>
  <c r="P214" i="31"/>
  <c r="P215" i="31"/>
  <c r="P216" i="31"/>
  <c r="P217" i="31"/>
  <c r="P218" i="31"/>
  <c r="P219" i="31"/>
  <c r="P220" i="31"/>
  <c r="P221" i="31"/>
  <c r="P222" i="31"/>
  <c r="P223" i="31"/>
  <c r="P224" i="31"/>
  <c r="P225" i="31"/>
  <c r="P226" i="31"/>
  <c r="P227" i="31"/>
  <c r="P228" i="31"/>
  <c r="P229" i="31"/>
  <c r="P230" i="31"/>
  <c r="P231" i="31"/>
  <c r="P232" i="31"/>
  <c r="P233" i="31"/>
  <c r="P234" i="31"/>
  <c r="P235" i="31"/>
  <c r="P236" i="31"/>
  <c r="P237" i="31"/>
  <c r="P238" i="31"/>
  <c r="P239" i="31"/>
  <c r="P240" i="31"/>
  <c r="P241" i="31"/>
  <c r="P242" i="31"/>
  <c r="P243" i="31"/>
  <c r="P244" i="31"/>
  <c r="P245" i="31"/>
  <c r="P246" i="31"/>
  <c r="P247" i="31"/>
  <c r="P248" i="31"/>
  <c r="P249" i="31"/>
  <c r="P250" i="31"/>
  <c r="P251" i="31"/>
  <c r="P252" i="31"/>
  <c r="P253" i="31"/>
  <c r="P254" i="31"/>
  <c r="P255" i="31"/>
  <c r="P256" i="31"/>
  <c r="P257" i="31"/>
  <c r="P258" i="31"/>
  <c r="P259" i="31"/>
  <c r="P260" i="31"/>
  <c r="P261" i="31"/>
  <c r="P262" i="31"/>
  <c r="P263" i="31"/>
  <c r="P264" i="31"/>
  <c r="P265" i="31"/>
  <c r="P266" i="31"/>
  <c r="P267" i="31"/>
  <c r="P268" i="31"/>
  <c r="P269" i="31"/>
  <c r="P270" i="31"/>
  <c r="P271" i="31"/>
  <c r="P272" i="31"/>
  <c r="P273" i="31"/>
  <c r="P274" i="31"/>
  <c r="P275" i="31"/>
  <c r="P276" i="31"/>
  <c r="P277" i="31"/>
  <c r="P278" i="31"/>
  <c r="P279" i="31"/>
  <c r="P280" i="31"/>
  <c r="P281" i="31"/>
  <c r="P282" i="31"/>
  <c r="P283" i="31"/>
  <c r="P284" i="31"/>
  <c r="P285" i="31"/>
  <c r="P286" i="31"/>
  <c r="P287" i="31"/>
  <c r="P288" i="31"/>
  <c r="P289" i="31"/>
  <c r="P290" i="31"/>
  <c r="P291" i="31"/>
  <c r="P292" i="31"/>
  <c r="P293" i="31"/>
  <c r="P294" i="31"/>
  <c r="P295" i="31"/>
  <c r="P296" i="31"/>
  <c r="P297" i="31"/>
  <c r="P298" i="31"/>
  <c r="P299" i="31"/>
  <c r="P300" i="31"/>
  <c r="P301" i="31"/>
  <c r="P302" i="31"/>
  <c r="P303" i="31"/>
  <c r="P304" i="31"/>
  <c r="P305" i="31"/>
  <c r="P306" i="31"/>
  <c r="P307" i="31"/>
  <c r="P308" i="31"/>
  <c r="P309" i="31"/>
  <c r="P310" i="31"/>
  <c r="P311" i="31"/>
  <c r="P312" i="31"/>
  <c r="P313" i="31"/>
  <c r="P314" i="31"/>
  <c r="P315" i="31"/>
  <c r="P316" i="31"/>
  <c r="P317" i="31"/>
  <c r="P318" i="31"/>
  <c r="P319" i="31"/>
  <c r="P320" i="31"/>
  <c r="P321" i="31"/>
  <c r="P322" i="31"/>
  <c r="P323" i="31"/>
  <c r="P324" i="31"/>
  <c r="P325" i="31"/>
  <c r="P326" i="31"/>
  <c r="P327" i="31"/>
  <c r="P328" i="31"/>
  <c r="P329" i="31"/>
  <c r="P330" i="31"/>
  <c r="P331" i="31"/>
  <c r="P332" i="31"/>
  <c r="P333" i="31"/>
  <c r="P334" i="31"/>
  <c r="P335" i="31"/>
  <c r="P336" i="31"/>
  <c r="P337" i="31"/>
  <c r="P338" i="31"/>
  <c r="P339" i="31"/>
  <c r="P340" i="31"/>
  <c r="P341" i="31"/>
  <c r="P342" i="31"/>
  <c r="P343" i="31"/>
  <c r="P344" i="31"/>
  <c r="P345" i="31"/>
  <c r="P346" i="31"/>
  <c r="P347" i="31"/>
  <c r="P348" i="31"/>
  <c r="P349" i="31"/>
  <c r="P350" i="31"/>
  <c r="P351" i="31"/>
  <c r="P352" i="31"/>
  <c r="P353" i="31"/>
  <c r="P354" i="31"/>
  <c r="P355" i="31"/>
  <c r="P356" i="31"/>
  <c r="P357" i="31"/>
  <c r="P358" i="31"/>
  <c r="P359" i="31"/>
  <c r="P360" i="31"/>
  <c r="P361" i="31"/>
  <c r="P362" i="31"/>
  <c r="P363" i="31"/>
  <c r="P364" i="31"/>
  <c r="P365" i="31"/>
  <c r="P366" i="31"/>
  <c r="P367" i="31"/>
  <c r="P368" i="31"/>
  <c r="P369" i="31"/>
  <c r="P370" i="31"/>
  <c r="P371" i="31"/>
  <c r="P372" i="31"/>
  <c r="P373" i="31"/>
  <c r="P2" i="31"/>
  <c r="BE4" i="28"/>
  <c r="BE5" i="28"/>
  <c r="BE6" i="28"/>
  <c r="BE7" i="28"/>
  <c r="BE8" i="28"/>
  <c r="BE9" i="28"/>
  <c r="BE10" i="28"/>
  <c r="BE11" i="28"/>
  <c r="BE12" i="28"/>
  <c r="BE13" i="28"/>
  <c r="BE14" i="28"/>
  <c r="BE15" i="28"/>
  <c r="BE16" i="28"/>
  <c r="BE17" i="28"/>
  <c r="BE18" i="28"/>
  <c r="BE19" i="28"/>
  <c r="BE20" i="28"/>
  <c r="BE21" i="28"/>
  <c r="BE22" i="28"/>
  <c r="BE23" i="28"/>
  <c r="BE24" i="28"/>
  <c r="BE25" i="28"/>
  <c r="BE26" i="28"/>
  <c r="BE27" i="28"/>
  <c r="BE28" i="28"/>
  <c r="BE29" i="28"/>
  <c r="BE30" i="28"/>
  <c r="BE31" i="28"/>
  <c r="BE32" i="28"/>
  <c r="BE33" i="28"/>
  <c r="BE34" i="28"/>
  <c r="BE35" i="28"/>
  <c r="BE36" i="28"/>
  <c r="BE37" i="28"/>
  <c r="BE38" i="28"/>
  <c r="BE39" i="28"/>
  <c r="BE40" i="28"/>
  <c r="BE41" i="28"/>
  <c r="BE42" i="28"/>
  <c r="BE43" i="28"/>
  <c r="BE44" i="28"/>
  <c r="BE45" i="28"/>
  <c r="BE46" i="28"/>
  <c r="BE47" i="28"/>
  <c r="BE48" i="28"/>
  <c r="BE49" i="28"/>
  <c r="BE50" i="28"/>
  <c r="BE51" i="28"/>
  <c r="BE52" i="28"/>
  <c r="BE53" i="28"/>
  <c r="BE54" i="28"/>
  <c r="BE55" i="28"/>
  <c r="BE56" i="28"/>
  <c r="BE57" i="28"/>
  <c r="BE58" i="28"/>
  <c r="BE59" i="28"/>
  <c r="BE60" i="28"/>
  <c r="BE61" i="28"/>
  <c r="BE62" i="28"/>
  <c r="BE63" i="28"/>
  <c r="BE64" i="28"/>
  <c r="BE65" i="28"/>
  <c r="BE66" i="28"/>
  <c r="BE67" i="28"/>
  <c r="BE68" i="28"/>
  <c r="BE69" i="28"/>
  <c r="BE70" i="28"/>
  <c r="BE71" i="28"/>
  <c r="BE72" i="28"/>
  <c r="BE73" i="28"/>
  <c r="BE74" i="28"/>
  <c r="BE75" i="28"/>
  <c r="BE76" i="28"/>
  <c r="BE77" i="28"/>
  <c r="BE78" i="28"/>
  <c r="BE79" i="28"/>
  <c r="BE80" i="28"/>
  <c r="BE81" i="28"/>
  <c r="BE82" i="28"/>
  <c r="BE83" i="28"/>
  <c r="BE84" i="28"/>
  <c r="BE85" i="28"/>
  <c r="BE86" i="28"/>
  <c r="BE87" i="28"/>
  <c r="BE88" i="28"/>
  <c r="BE89" i="28"/>
  <c r="BE90" i="28"/>
  <c r="BE91" i="28"/>
  <c r="BE92" i="28"/>
  <c r="BE93" i="28"/>
  <c r="BE94" i="28"/>
  <c r="BE95" i="28"/>
  <c r="BE96" i="28"/>
  <c r="BE97" i="28"/>
  <c r="BE98" i="28"/>
  <c r="BE99" i="28"/>
  <c r="BE100" i="28"/>
  <c r="BE101" i="28"/>
  <c r="BE102" i="28"/>
  <c r="BE103" i="28"/>
  <c r="BE104" i="28"/>
  <c r="BE105" i="28"/>
  <c r="BE106" i="28"/>
  <c r="BE107" i="28"/>
  <c r="BE108" i="28"/>
  <c r="BE109" i="28"/>
  <c r="BE110" i="28"/>
  <c r="BE111" i="28"/>
  <c r="BE112" i="28"/>
  <c r="BE113" i="28"/>
  <c r="BE114" i="28"/>
  <c r="BE115" i="28"/>
  <c r="BE116" i="28"/>
  <c r="BE117" i="28"/>
  <c r="BE118" i="28"/>
  <c r="BE119" i="28"/>
  <c r="BE120" i="28"/>
  <c r="BE121" i="28"/>
  <c r="BE122" i="28"/>
  <c r="BE123" i="28"/>
  <c r="BE124" i="28"/>
  <c r="BE125" i="28"/>
  <c r="BC5" i="28"/>
  <c r="BC6" i="28"/>
  <c r="BC7" i="28"/>
  <c r="BC8" i="28"/>
  <c r="BC9" i="28"/>
  <c r="BC10" i="28"/>
  <c r="BC11" i="28"/>
  <c r="BC12" i="28"/>
  <c r="BC13" i="28"/>
  <c r="BC14" i="28"/>
  <c r="BC15" i="28"/>
  <c r="BC16" i="28"/>
  <c r="BC17" i="28"/>
  <c r="BC18" i="28"/>
  <c r="BC19" i="28"/>
  <c r="BC20" i="28"/>
  <c r="BC21" i="28"/>
  <c r="BC22" i="28"/>
  <c r="BC23" i="28"/>
  <c r="BC24" i="28"/>
  <c r="BC25" i="28"/>
  <c r="BC26" i="28"/>
  <c r="BC27" i="28"/>
  <c r="BC28" i="28"/>
  <c r="BC29" i="28"/>
  <c r="BC30" i="28"/>
  <c r="BC31" i="28"/>
  <c r="BC32" i="28"/>
  <c r="BC33" i="28"/>
  <c r="BC34" i="28"/>
  <c r="BC35" i="28"/>
  <c r="BC36" i="28"/>
  <c r="BC37" i="28"/>
  <c r="BC38" i="28"/>
  <c r="BC39" i="28"/>
  <c r="BC40" i="28"/>
  <c r="BC41" i="28"/>
  <c r="BC42" i="28"/>
  <c r="BC43" i="28"/>
  <c r="BC44" i="28"/>
  <c r="BC45" i="28"/>
  <c r="BC46" i="28"/>
  <c r="BC47" i="28"/>
  <c r="BC48" i="28"/>
  <c r="BC49" i="28"/>
  <c r="BC50" i="28"/>
  <c r="BC51" i="28"/>
  <c r="BC52" i="28"/>
  <c r="BC53" i="28"/>
  <c r="BC54" i="28"/>
  <c r="BC55" i="28"/>
  <c r="BC56" i="28"/>
  <c r="BC57" i="28"/>
  <c r="BC58" i="28"/>
  <c r="BC59" i="28"/>
  <c r="BC60" i="28"/>
  <c r="BC61" i="28"/>
  <c r="BC62" i="28"/>
  <c r="BC63" i="28"/>
  <c r="BC64" i="28"/>
  <c r="BC65" i="28"/>
  <c r="BC66" i="28"/>
  <c r="BC67" i="28"/>
  <c r="BC68" i="28"/>
  <c r="BC69" i="28"/>
  <c r="BC70" i="28"/>
  <c r="BC71" i="28"/>
  <c r="BC72" i="28"/>
  <c r="BC73" i="28"/>
  <c r="BC74" i="28"/>
  <c r="BC75" i="28"/>
  <c r="BC76" i="28"/>
  <c r="BC77" i="28"/>
  <c r="BC78" i="28"/>
  <c r="BC79" i="28"/>
  <c r="BC80" i="28"/>
  <c r="BC81" i="28"/>
  <c r="BC82" i="28"/>
  <c r="BC83" i="28"/>
  <c r="BC84" i="28"/>
  <c r="BC85" i="28"/>
  <c r="BC86" i="28"/>
  <c r="BC87" i="28"/>
  <c r="BC88" i="28"/>
  <c r="BC89" i="28"/>
  <c r="BC90" i="28"/>
  <c r="BC91" i="28"/>
  <c r="BC92" i="28"/>
  <c r="BC93" i="28"/>
  <c r="BC94" i="28"/>
  <c r="BC95" i="28"/>
  <c r="BC96" i="28"/>
  <c r="BC97" i="28"/>
  <c r="BC98" i="28"/>
  <c r="BC99" i="28"/>
  <c r="BC100" i="28"/>
  <c r="BC101" i="28"/>
  <c r="BC102" i="28"/>
  <c r="BC103" i="28"/>
  <c r="BC104" i="28"/>
  <c r="BC105" i="28"/>
  <c r="BC106" i="28"/>
  <c r="BC107" i="28"/>
  <c r="BC108" i="28"/>
  <c r="BC109" i="28"/>
  <c r="BC110" i="28"/>
  <c r="BC111" i="28"/>
  <c r="BC112" i="28"/>
  <c r="BC113" i="28"/>
  <c r="BC114" i="28"/>
  <c r="BC115" i="28"/>
  <c r="BC116" i="28"/>
  <c r="BC117" i="28"/>
  <c r="BC118" i="28"/>
  <c r="BC119" i="28"/>
  <c r="BC120" i="28"/>
  <c r="BC121" i="28"/>
  <c r="BC122" i="28"/>
  <c r="BC123" i="28"/>
  <c r="BC124" i="28"/>
  <c r="BC125" i="28"/>
  <c r="BC4" i="28"/>
  <c r="BA5" i="28"/>
  <c r="BA6" i="28"/>
  <c r="BA7" i="28"/>
  <c r="BA8" i="28"/>
  <c r="BA9" i="28"/>
  <c r="BA10" i="28"/>
  <c r="BA11" i="28"/>
  <c r="BA12" i="28"/>
  <c r="BA13" i="28"/>
  <c r="BA14" i="28"/>
  <c r="BA15" i="28"/>
  <c r="BA16" i="28"/>
  <c r="BA17" i="28"/>
  <c r="BA18" i="28"/>
  <c r="BA19" i="28"/>
  <c r="BA20" i="28"/>
  <c r="BA21" i="28"/>
  <c r="BA22" i="28"/>
  <c r="BA23" i="28"/>
  <c r="BA24" i="28"/>
  <c r="BA25" i="28"/>
  <c r="BA26" i="28"/>
  <c r="BA27" i="28"/>
  <c r="BA28" i="28"/>
  <c r="BA29" i="28"/>
  <c r="BA30" i="28"/>
  <c r="BA31" i="28"/>
  <c r="BA32" i="28"/>
  <c r="BA33" i="28"/>
  <c r="BA34" i="28"/>
  <c r="BA35" i="28"/>
  <c r="BA36" i="28"/>
  <c r="BA37" i="28"/>
  <c r="BA38" i="28"/>
  <c r="BA39" i="28"/>
  <c r="BA40" i="28"/>
  <c r="BA41" i="28"/>
  <c r="BA42" i="28"/>
  <c r="BA43" i="28"/>
  <c r="BA44" i="28"/>
  <c r="BA45" i="28"/>
  <c r="BA46" i="28"/>
  <c r="BA47" i="28"/>
  <c r="BA48" i="28"/>
  <c r="BA49" i="28"/>
  <c r="BA50" i="28"/>
  <c r="BA51" i="28"/>
  <c r="BA52" i="28"/>
  <c r="BA53" i="28"/>
  <c r="BA54" i="28"/>
  <c r="BA55" i="28"/>
  <c r="BA56" i="28"/>
  <c r="BA57" i="28"/>
  <c r="BA58" i="28"/>
  <c r="BA59" i="28"/>
  <c r="BA60" i="28"/>
  <c r="BA61" i="28"/>
  <c r="BA62" i="28"/>
  <c r="BA63" i="28"/>
  <c r="BA64" i="28"/>
  <c r="BA65" i="28"/>
  <c r="BA66" i="28"/>
  <c r="BA67" i="28"/>
  <c r="BA68" i="28"/>
  <c r="BA69" i="28"/>
  <c r="BA70" i="28"/>
  <c r="BA71" i="28"/>
  <c r="BA72" i="28"/>
  <c r="BA73" i="28"/>
  <c r="BA74" i="28"/>
  <c r="BA75" i="28"/>
  <c r="BA76" i="28"/>
  <c r="BA77" i="28"/>
  <c r="BA78" i="28"/>
  <c r="BA79" i="28"/>
  <c r="BA80" i="28"/>
  <c r="BA81" i="28"/>
  <c r="BA82" i="28"/>
  <c r="BA83" i="28"/>
  <c r="BA84" i="28"/>
  <c r="BA85" i="28"/>
  <c r="BA86" i="28"/>
  <c r="BA87" i="28"/>
  <c r="BA88" i="28"/>
  <c r="BA89" i="28"/>
  <c r="BA90" i="28"/>
  <c r="BA91" i="28"/>
  <c r="BA92" i="28"/>
  <c r="BA93" i="28"/>
  <c r="BA94" i="28"/>
  <c r="BA95" i="28"/>
  <c r="BA96" i="28"/>
  <c r="BA97" i="28"/>
  <c r="BA98" i="28"/>
  <c r="BA99" i="28"/>
  <c r="BA100" i="28"/>
  <c r="BA101" i="28"/>
  <c r="BA102" i="28"/>
  <c r="BA103" i="28"/>
  <c r="BA104" i="28"/>
  <c r="BA105" i="28"/>
  <c r="BA106" i="28"/>
  <c r="BA107" i="28"/>
  <c r="BA108" i="28"/>
  <c r="BA109" i="28"/>
  <c r="BA110" i="28"/>
  <c r="BA111" i="28"/>
  <c r="BA112" i="28"/>
  <c r="BA113" i="28"/>
  <c r="BA114" i="28"/>
  <c r="BA115" i="28"/>
  <c r="BA116" i="28"/>
  <c r="BA117" i="28"/>
  <c r="BA118" i="28"/>
  <c r="BA119" i="28"/>
  <c r="BA120" i="28"/>
  <c r="BA121" i="28"/>
  <c r="BA122" i="28"/>
  <c r="BA123" i="28"/>
  <c r="BA124" i="28"/>
  <c r="BA125" i="28"/>
  <c r="BA4" i="28"/>
  <c r="AY5" i="28"/>
  <c r="AY6" i="28"/>
  <c r="AY7" i="28"/>
  <c r="AY8" i="28"/>
  <c r="AY9" i="28"/>
  <c r="AY10" i="28"/>
  <c r="AY11" i="28"/>
  <c r="AY12" i="28"/>
  <c r="AY13" i="28"/>
  <c r="AY14" i="28"/>
  <c r="AY15" i="28"/>
  <c r="AY16" i="28"/>
  <c r="AY17" i="28"/>
  <c r="AY18" i="28"/>
  <c r="AY19" i="28"/>
  <c r="AY20" i="28"/>
  <c r="AY21" i="28"/>
  <c r="AY22" i="28"/>
  <c r="AY23" i="28"/>
  <c r="AY24" i="28"/>
  <c r="AY25" i="28"/>
  <c r="AY26" i="28"/>
  <c r="AY27" i="28"/>
  <c r="AY28" i="28"/>
  <c r="AY29" i="28"/>
  <c r="AY30" i="28"/>
  <c r="AY31" i="28"/>
  <c r="AY32" i="28"/>
  <c r="AY33" i="28"/>
  <c r="AY34" i="28"/>
  <c r="AY35" i="28"/>
  <c r="AY36" i="28"/>
  <c r="AY37" i="28"/>
  <c r="AY38" i="28"/>
  <c r="AY39" i="28"/>
  <c r="AY40" i="28"/>
  <c r="AY41" i="28"/>
  <c r="AY42" i="28"/>
  <c r="AY43" i="28"/>
  <c r="AY44" i="28"/>
  <c r="AY45" i="28"/>
  <c r="AY46" i="28"/>
  <c r="AY47" i="28"/>
  <c r="AY48" i="28"/>
  <c r="AY49" i="28"/>
  <c r="AY50" i="28"/>
  <c r="AY51" i="28"/>
  <c r="AY52" i="28"/>
  <c r="AY53" i="28"/>
  <c r="AY54" i="28"/>
  <c r="AY55" i="28"/>
  <c r="AY56" i="28"/>
  <c r="AY57" i="28"/>
  <c r="AY58" i="28"/>
  <c r="AY59" i="28"/>
  <c r="AY60" i="28"/>
  <c r="AY61" i="28"/>
  <c r="AY62" i="28"/>
  <c r="AY63" i="28"/>
  <c r="AY64" i="28"/>
  <c r="AY65" i="28"/>
  <c r="AY66" i="28"/>
  <c r="AY67" i="28"/>
  <c r="AY68" i="28"/>
  <c r="AY69" i="28"/>
  <c r="AY70" i="28"/>
  <c r="AY71" i="28"/>
  <c r="AY72" i="28"/>
  <c r="AY73" i="28"/>
  <c r="AY74" i="28"/>
  <c r="AY75" i="28"/>
  <c r="AY76" i="28"/>
  <c r="AY77" i="28"/>
  <c r="AY78" i="28"/>
  <c r="AY79" i="28"/>
  <c r="AY80" i="28"/>
  <c r="AY81" i="28"/>
  <c r="AY82" i="28"/>
  <c r="AY83" i="28"/>
  <c r="AY84" i="28"/>
  <c r="AY85" i="28"/>
  <c r="AY86" i="28"/>
  <c r="AY87" i="28"/>
  <c r="AY88" i="28"/>
  <c r="AY89" i="28"/>
  <c r="AY90" i="28"/>
  <c r="AY91" i="28"/>
  <c r="AY92" i="28"/>
  <c r="AY93" i="28"/>
  <c r="AY94" i="28"/>
  <c r="AY95" i="28"/>
  <c r="AY96" i="28"/>
  <c r="AY97" i="28"/>
  <c r="AY98" i="28"/>
  <c r="AY99" i="28"/>
  <c r="AY100" i="28"/>
  <c r="AY101" i="28"/>
  <c r="AY102" i="28"/>
  <c r="AY103" i="28"/>
  <c r="AY104" i="28"/>
  <c r="AY105" i="28"/>
  <c r="AY106" i="28"/>
  <c r="AY107" i="28"/>
  <c r="AY108" i="28"/>
  <c r="AY109" i="28"/>
  <c r="AY110" i="28"/>
  <c r="AY111" i="28"/>
  <c r="AY112" i="28"/>
  <c r="AY113" i="28"/>
  <c r="AY114" i="28"/>
  <c r="AY115" i="28"/>
  <c r="AY116" i="28"/>
  <c r="AY117" i="28"/>
  <c r="AY118" i="28"/>
  <c r="AY119" i="28"/>
  <c r="AY120" i="28"/>
  <c r="AY121" i="28"/>
  <c r="AY122" i="28"/>
  <c r="AY123" i="28"/>
  <c r="AY124" i="28"/>
  <c r="AY125" i="28"/>
  <c r="AY4" i="28"/>
  <c r="AW5" i="28"/>
  <c r="AW6" i="28"/>
  <c r="AW7" i="28"/>
  <c r="AW8" i="28"/>
  <c r="AW9" i="28"/>
  <c r="AW10" i="28"/>
  <c r="AW11" i="28"/>
  <c r="AW12" i="28"/>
  <c r="AW13" i="28"/>
  <c r="AW14" i="28"/>
  <c r="AW15" i="28"/>
  <c r="AW16" i="28"/>
  <c r="AW17" i="28"/>
  <c r="AW18" i="28"/>
  <c r="AW19" i="28"/>
  <c r="AW20" i="28"/>
  <c r="AW21" i="28"/>
  <c r="AW22" i="28"/>
  <c r="AW23" i="28"/>
  <c r="AW24" i="28"/>
  <c r="AW25" i="28"/>
  <c r="AW26" i="28"/>
  <c r="AW27" i="28"/>
  <c r="AW28" i="28"/>
  <c r="AW29" i="28"/>
  <c r="AW30" i="28"/>
  <c r="AW31" i="28"/>
  <c r="AW32" i="28"/>
  <c r="AW33" i="28"/>
  <c r="AW34" i="28"/>
  <c r="AW35" i="28"/>
  <c r="AW36" i="28"/>
  <c r="AW37" i="28"/>
  <c r="AW38" i="28"/>
  <c r="AW39" i="28"/>
  <c r="AW40" i="28"/>
  <c r="AW41" i="28"/>
  <c r="AW42" i="28"/>
  <c r="AW43" i="28"/>
  <c r="AW44" i="28"/>
  <c r="AW45" i="28"/>
  <c r="AW46" i="28"/>
  <c r="AW47" i="28"/>
  <c r="AW48" i="28"/>
  <c r="AW49" i="28"/>
  <c r="AW50" i="28"/>
  <c r="AW51" i="28"/>
  <c r="AW52" i="28"/>
  <c r="AW53" i="28"/>
  <c r="AW54" i="28"/>
  <c r="AW55" i="28"/>
  <c r="AW56" i="28"/>
  <c r="AW57" i="28"/>
  <c r="AW58" i="28"/>
  <c r="AW59" i="28"/>
  <c r="AW60" i="28"/>
  <c r="AW61" i="28"/>
  <c r="AW62" i="28"/>
  <c r="AW63" i="28"/>
  <c r="AW64" i="28"/>
  <c r="AW65" i="28"/>
  <c r="AW66" i="28"/>
  <c r="AW67" i="28"/>
  <c r="AW68" i="28"/>
  <c r="AW69" i="28"/>
  <c r="AW70" i="28"/>
  <c r="AW71" i="28"/>
  <c r="AW72" i="28"/>
  <c r="AW73" i="28"/>
  <c r="AW74" i="28"/>
  <c r="AW75" i="28"/>
  <c r="AW76" i="28"/>
  <c r="AW77" i="28"/>
  <c r="AW78" i="28"/>
  <c r="AW79" i="28"/>
  <c r="AW80" i="28"/>
  <c r="AW81" i="28"/>
  <c r="AW82" i="28"/>
  <c r="AW83" i="28"/>
  <c r="AW84" i="28"/>
  <c r="AW85" i="28"/>
  <c r="AW86" i="28"/>
  <c r="AW87" i="28"/>
  <c r="AW88" i="28"/>
  <c r="AW89" i="28"/>
  <c r="AW90" i="28"/>
  <c r="AW91" i="28"/>
  <c r="AW92" i="28"/>
  <c r="AW93" i="28"/>
  <c r="AW94" i="28"/>
  <c r="AW95" i="28"/>
  <c r="AW96" i="28"/>
  <c r="AW97" i="28"/>
  <c r="AW98" i="28"/>
  <c r="AW99" i="28"/>
  <c r="AW100" i="28"/>
  <c r="AW101" i="28"/>
  <c r="AW102" i="28"/>
  <c r="AW103" i="28"/>
  <c r="AW104" i="28"/>
  <c r="AW105" i="28"/>
  <c r="AW106" i="28"/>
  <c r="AW107" i="28"/>
  <c r="AW108" i="28"/>
  <c r="AW109" i="28"/>
  <c r="AW110" i="28"/>
  <c r="AW111" i="28"/>
  <c r="AW112" i="28"/>
  <c r="AW113" i="28"/>
  <c r="AW114" i="28"/>
  <c r="AW115" i="28"/>
  <c r="AW116" i="28"/>
  <c r="AW117" i="28"/>
  <c r="AW118" i="28"/>
  <c r="AW119" i="28"/>
  <c r="AW120" i="28"/>
  <c r="AW121" i="28"/>
  <c r="AW122" i="28"/>
  <c r="AW123" i="28"/>
  <c r="AW124" i="28"/>
  <c r="AW125" i="28"/>
  <c r="AW4" i="28"/>
  <c r="AU5" i="28"/>
  <c r="AU6" i="28"/>
  <c r="AU7" i="28"/>
  <c r="AU8" i="28"/>
  <c r="AU9" i="28"/>
  <c r="AU10" i="28"/>
  <c r="AU11" i="28"/>
  <c r="AU12" i="28"/>
  <c r="AU13" i="28"/>
  <c r="AU14" i="28"/>
  <c r="AU15" i="28"/>
  <c r="AU16" i="28"/>
  <c r="AU17" i="28"/>
  <c r="AU18" i="28"/>
  <c r="AU19" i="28"/>
  <c r="AU20" i="28"/>
  <c r="AU21" i="28"/>
  <c r="AU22" i="28"/>
  <c r="AU23" i="28"/>
  <c r="AU24" i="28"/>
  <c r="AU25" i="28"/>
  <c r="AU26" i="28"/>
  <c r="AU27" i="28"/>
  <c r="AU28" i="28"/>
  <c r="AU29" i="28"/>
  <c r="AU30" i="28"/>
  <c r="AU31" i="28"/>
  <c r="AU32" i="28"/>
  <c r="AU33" i="28"/>
  <c r="AU34" i="28"/>
  <c r="AU35" i="28"/>
  <c r="AU36" i="28"/>
  <c r="AU37" i="28"/>
  <c r="AU38" i="28"/>
  <c r="AU39" i="28"/>
  <c r="AU40" i="28"/>
  <c r="AU41" i="28"/>
  <c r="AU42" i="28"/>
  <c r="AU43" i="28"/>
  <c r="AU44" i="28"/>
  <c r="AU45" i="28"/>
  <c r="AU46" i="28"/>
  <c r="AU47" i="28"/>
  <c r="AU48" i="28"/>
  <c r="AU49" i="28"/>
  <c r="AU50" i="28"/>
  <c r="AU51" i="28"/>
  <c r="AU52" i="28"/>
  <c r="AU53" i="28"/>
  <c r="AU54" i="28"/>
  <c r="AU55" i="28"/>
  <c r="AU56" i="28"/>
  <c r="AU57" i="28"/>
  <c r="AU58" i="28"/>
  <c r="AU59" i="28"/>
  <c r="AU60" i="28"/>
  <c r="AU61" i="28"/>
  <c r="AU62" i="28"/>
  <c r="AU63" i="28"/>
  <c r="AU64" i="28"/>
  <c r="AU65" i="28"/>
  <c r="AU66" i="28"/>
  <c r="AU67" i="28"/>
  <c r="AU68" i="28"/>
  <c r="AU69" i="28"/>
  <c r="AU70" i="28"/>
  <c r="AU71" i="28"/>
  <c r="AU72" i="28"/>
  <c r="AU73" i="28"/>
  <c r="AU74" i="28"/>
  <c r="AU75" i="28"/>
  <c r="AU76" i="28"/>
  <c r="AU77" i="28"/>
  <c r="AU78" i="28"/>
  <c r="AU79" i="28"/>
  <c r="AU80" i="28"/>
  <c r="AU81" i="28"/>
  <c r="AU82" i="28"/>
  <c r="AU83" i="28"/>
  <c r="AU84" i="28"/>
  <c r="AU85" i="28"/>
  <c r="AU86" i="28"/>
  <c r="AU87" i="28"/>
  <c r="AU88" i="28"/>
  <c r="AU89" i="28"/>
  <c r="AU90" i="28"/>
  <c r="AU91" i="28"/>
  <c r="AU92" i="28"/>
  <c r="AU93" i="28"/>
  <c r="AU94" i="28"/>
  <c r="AU95" i="28"/>
  <c r="AU96" i="28"/>
  <c r="AU97" i="28"/>
  <c r="AU98" i="28"/>
  <c r="AU99" i="28"/>
  <c r="AU100" i="28"/>
  <c r="AU101" i="28"/>
  <c r="AU102" i="28"/>
  <c r="AU103" i="28"/>
  <c r="AU104" i="28"/>
  <c r="AU105" i="28"/>
  <c r="AU106" i="28"/>
  <c r="AU107" i="28"/>
  <c r="AU108" i="28"/>
  <c r="AU109" i="28"/>
  <c r="AU110" i="28"/>
  <c r="AU111" i="28"/>
  <c r="AU112" i="28"/>
  <c r="AU113" i="28"/>
  <c r="AU114" i="28"/>
  <c r="AU115" i="28"/>
  <c r="AU116" i="28"/>
  <c r="AU117" i="28"/>
  <c r="AU118" i="28"/>
  <c r="AU119" i="28"/>
  <c r="AU120" i="28"/>
  <c r="AU121" i="28"/>
  <c r="AU122" i="28"/>
  <c r="AU123" i="28"/>
  <c r="AU124" i="28"/>
  <c r="AU125" i="28"/>
  <c r="AU4" i="28"/>
  <c r="AS5" i="28"/>
  <c r="AS6" i="28"/>
  <c r="AS7" i="28"/>
  <c r="AS8" i="28"/>
  <c r="AS9" i="28"/>
  <c r="AS10" i="28"/>
  <c r="AS11" i="28"/>
  <c r="AS12" i="28"/>
  <c r="AS13" i="28"/>
  <c r="AS14" i="28"/>
  <c r="AS15" i="28"/>
  <c r="AS16" i="28"/>
  <c r="AS17" i="28"/>
  <c r="AS18" i="28"/>
  <c r="AS19" i="28"/>
  <c r="AS20" i="28"/>
  <c r="AS21" i="28"/>
  <c r="AS22" i="28"/>
  <c r="AS23" i="28"/>
  <c r="AS24" i="28"/>
  <c r="AS25" i="28"/>
  <c r="AS26" i="28"/>
  <c r="AS27" i="28"/>
  <c r="AS28" i="28"/>
  <c r="AS29" i="28"/>
  <c r="AS30" i="28"/>
  <c r="AS31" i="28"/>
  <c r="AS32" i="28"/>
  <c r="AS33" i="28"/>
  <c r="AS34" i="28"/>
  <c r="AS35" i="28"/>
  <c r="AS36" i="28"/>
  <c r="AS37" i="28"/>
  <c r="AS38" i="28"/>
  <c r="AS39" i="28"/>
  <c r="AS40" i="28"/>
  <c r="AS41" i="28"/>
  <c r="AS42" i="28"/>
  <c r="AS43" i="28"/>
  <c r="AS44" i="28"/>
  <c r="AS45" i="28"/>
  <c r="AS46" i="28"/>
  <c r="AS47" i="28"/>
  <c r="AS48" i="28"/>
  <c r="AS49" i="28"/>
  <c r="AS50" i="28"/>
  <c r="AS51" i="28"/>
  <c r="AS52" i="28"/>
  <c r="AS53" i="28"/>
  <c r="AS54" i="28"/>
  <c r="AS55" i="28"/>
  <c r="AS56" i="28"/>
  <c r="AS57" i="28"/>
  <c r="AS58" i="28"/>
  <c r="AS59" i="28"/>
  <c r="AS60" i="28"/>
  <c r="AS61" i="28"/>
  <c r="AS62" i="28"/>
  <c r="AS63" i="28"/>
  <c r="AS64" i="28"/>
  <c r="AS65" i="28"/>
  <c r="AS66" i="28"/>
  <c r="AS67" i="28"/>
  <c r="AS68" i="28"/>
  <c r="AS69" i="28"/>
  <c r="AS70" i="28"/>
  <c r="AS71" i="28"/>
  <c r="AS72" i="28"/>
  <c r="AS73" i="28"/>
  <c r="AS74" i="28"/>
  <c r="AS75" i="28"/>
  <c r="AS76" i="28"/>
  <c r="AS77" i="28"/>
  <c r="AS78" i="28"/>
  <c r="AS79" i="28"/>
  <c r="AS80" i="28"/>
  <c r="AS81" i="28"/>
  <c r="AS82" i="28"/>
  <c r="AS83" i="28"/>
  <c r="AS84" i="28"/>
  <c r="AS85" i="28"/>
  <c r="AS86" i="28"/>
  <c r="AS87" i="28"/>
  <c r="AS88" i="28"/>
  <c r="AS89" i="28"/>
  <c r="AS90" i="28"/>
  <c r="AS91" i="28"/>
  <c r="AS92" i="28"/>
  <c r="AS93" i="28"/>
  <c r="AS94" i="28"/>
  <c r="AS95" i="28"/>
  <c r="AS96" i="28"/>
  <c r="AS97" i="28"/>
  <c r="AS98" i="28"/>
  <c r="AS99" i="28"/>
  <c r="AS100" i="28"/>
  <c r="AS101" i="28"/>
  <c r="AS102" i="28"/>
  <c r="AS103" i="28"/>
  <c r="AS104" i="28"/>
  <c r="AS105" i="28"/>
  <c r="AS106" i="28"/>
  <c r="AS107" i="28"/>
  <c r="AS108" i="28"/>
  <c r="AS109" i="28"/>
  <c r="AS110" i="28"/>
  <c r="AS111" i="28"/>
  <c r="AS112" i="28"/>
  <c r="AS113" i="28"/>
  <c r="AS114" i="28"/>
  <c r="AS115" i="28"/>
  <c r="AS116" i="28"/>
  <c r="AS117" i="28"/>
  <c r="AS118" i="28"/>
  <c r="AS119" i="28"/>
  <c r="AS120" i="28"/>
  <c r="AS121" i="28"/>
  <c r="AS122" i="28"/>
  <c r="AS123" i="28"/>
  <c r="AS124" i="28"/>
  <c r="AS125" i="28"/>
  <c r="AS4" i="28"/>
  <c r="AQ5" i="28"/>
  <c r="AQ6" i="28"/>
  <c r="AQ7" i="28"/>
  <c r="AQ8" i="28"/>
  <c r="AQ9" i="28"/>
  <c r="AQ10" i="28"/>
  <c r="AQ11" i="28"/>
  <c r="AQ12" i="28"/>
  <c r="AQ13" i="28"/>
  <c r="AQ14" i="28"/>
  <c r="AQ15" i="28"/>
  <c r="AQ16" i="28"/>
  <c r="AQ17" i="28"/>
  <c r="AQ18" i="28"/>
  <c r="AQ19" i="28"/>
  <c r="AQ20" i="28"/>
  <c r="AQ21" i="28"/>
  <c r="AQ22" i="28"/>
  <c r="AQ23" i="28"/>
  <c r="AQ24" i="28"/>
  <c r="AQ25" i="28"/>
  <c r="AQ26" i="28"/>
  <c r="AQ27" i="28"/>
  <c r="AQ28" i="28"/>
  <c r="AQ29" i="28"/>
  <c r="AQ30" i="28"/>
  <c r="AQ31" i="28"/>
  <c r="AQ32" i="28"/>
  <c r="AQ33" i="28"/>
  <c r="AQ34" i="28"/>
  <c r="AQ35" i="28"/>
  <c r="AQ36" i="28"/>
  <c r="AQ37" i="28"/>
  <c r="AQ38" i="28"/>
  <c r="AQ39" i="28"/>
  <c r="AQ40" i="28"/>
  <c r="AQ41" i="28"/>
  <c r="AQ42" i="28"/>
  <c r="AQ43" i="28"/>
  <c r="AQ44" i="28"/>
  <c r="AQ45" i="28"/>
  <c r="AQ46" i="28"/>
  <c r="AQ47" i="28"/>
  <c r="AQ48" i="28"/>
  <c r="AQ49" i="28"/>
  <c r="AQ50" i="28"/>
  <c r="AQ51" i="28"/>
  <c r="AQ52" i="28"/>
  <c r="AQ53" i="28"/>
  <c r="AQ54" i="28"/>
  <c r="AQ55" i="28"/>
  <c r="AQ56" i="28"/>
  <c r="AQ57" i="28"/>
  <c r="AQ58" i="28"/>
  <c r="AQ59" i="28"/>
  <c r="AQ60" i="28"/>
  <c r="AQ61" i="28"/>
  <c r="AQ62" i="28"/>
  <c r="AQ63" i="28"/>
  <c r="AQ64" i="28"/>
  <c r="AQ65" i="28"/>
  <c r="AQ66" i="28"/>
  <c r="AQ67" i="28"/>
  <c r="AQ68" i="28"/>
  <c r="AQ69" i="28"/>
  <c r="AQ70" i="28"/>
  <c r="AQ71" i="28"/>
  <c r="AQ72" i="28"/>
  <c r="AQ73" i="28"/>
  <c r="AQ74" i="28"/>
  <c r="AQ75" i="28"/>
  <c r="AQ76" i="28"/>
  <c r="AQ77" i="28"/>
  <c r="AQ78" i="28"/>
  <c r="AQ79" i="28"/>
  <c r="AQ80" i="28"/>
  <c r="AQ81" i="28"/>
  <c r="AQ82" i="28"/>
  <c r="AQ83" i="28"/>
  <c r="AQ84" i="28"/>
  <c r="AQ85" i="28"/>
  <c r="AQ86" i="28"/>
  <c r="AQ87" i="28"/>
  <c r="AQ88" i="28"/>
  <c r="AQ89" i="28"/>
  <c r="AQ90" i="28"/>
  <c r="AQ91" i="28"/>
  <c r="AQ92" i="28"/>
  <c r="AQ93" i="28"/>
  <c r="AQ94" i="28"/>
  <c r="AQ95" i="28"/>
  <c r="AQ96" i="28"/>
  <c r="AQ97" i="28"/>
  <c r="AQ98" i="28"/>
  <c r="AQ99" i="28"/>
  <c r="AQ100" i="28"/>
  <c r="AQ101" i="28"/>
  <c r="AQ102" i="28"/>
  <c r="AQ103" i="28"/>
  <c r="AQ104" i="28"/>
  <c r="AQ105" i="28"/>
  <c r="AQ106" i="28"/>
  <c r="AQ107" i="28"/>
  <c r="AQ108" i="28"/>
  <c r="AQ109" i="28"/>
  <c r="AQ110" i="28"/>
  <c r="AQ111" i="28"/>
  <c r="AQ112" i="28"/>
  <c r="AQ113" i="28"/>
  <c r="AQ114" i="28"/>
  <c r="AQ115" i="28"/>
  <c r="AQ116" i="28"/>
  <c r="AQ117" i="28"/>
  <c r="AQ118" i="28"/>
  <c r="AQ119" i="28"/>
  <c r="AQ120" i="28"/>
  <c r="AQ121" i="28"/>
  <c r="AQ122" i="28"/>
  <c r="AQ123" i="28"/>
  <c r="AQ124" i="28"/>
  <c r="AQ125" i="28"/>
  <c r="AQ4" i="28"/>
  <c r="AO5" i="28"/>
  <c r="AO6" i="28"/>
  <c r="AO7" i="28"/>
  <c r="AO8" i="28"/>
  <c r="AO9" i="28"/>
  <c r="AO10" i="28"/>
  <c r="AO11" i="28"/>
  <c r="AO12" i="28"/>
  <c r="AO13" i="28"/>
  <c r="AO14" i="28"/>
  <c r="AO15" i="28"/>
  <c r="AO16" i="28"/>
  <c r="AO17" i="28"/>
  <c r="AO18" i="28"/>
  <c r="AO19" i="28"/>
  <c r="AO20" i="28"/>
  <c r="AO21" i="28"/>
  <c r="AO22" i="28"/>
  <c r="AO23" i="28"/>
  <c r="AO24" i="28"/>
  <c r="AO25" i="28"/>
  <c r="AO26" i="28"/>
  <c r="AO27" i="28"/>
  <c r="AO28" i="28"/>
  <c r="AO29" i="28"/>
  <c r="AO30" i="28"/>
  <c r="AO31" i="28"/>
  <c r="AO32" i="28"/>
  <c r="AO33" i="28"/>
  <c r="AO34" i="28"/>
  <c r="AO35" i="28"/>
  <c r="AO36" i="28"/>
  <c r="AO37" i="28"/>
  <c r="AO38" i="28"/>
  <c r="AO39" i="28"/>
  <c r="AO40" i="28"/>
  <c r="AO41" i="28"/>
  <c r="AO42" i="28"/>
  <c r="AO43" i="28"/>
  <c r="AO44" i="28"/>
  <c r="AO45" i="28"/>
  <c r="AO46" i="28"/>
  <c r="AO47" i="28"/>
  <c r="AO48" i="28"/>
  <c r="AO49" i="28"/>
  <c r="AO50" i="28"/>
  <c r="AO51" i="28"/>
  <c r="AO52" i="28"/>
  <c r="AO53" i="28"/>
  <c r="AO54" i="28"/>
  <c r="AO55" i="28"/>
  <c r="AO56" i="28"/>
  <c r="AO57" i="28"/>
  <c r="AO58" i="28"/>
  <c r="AO59" i="28"/>
  <c r="AO60" i="28"/>
  <c r="AO61" i="28"/>
  <c r="AO62" i="28"/>
  <c r="AO63" i="28"/>
  <c r="AO64" i="28"/>
  <c r="AO65" i="28"/>
  <c r="AO66" i="28"/>
  <c r="AO67" i="28"/>
  <c r="AO68" i="28"/>
  <c r="AO69" i="28"/>
  <c r="AO70" i="28"/>
  <c r="AO71" i="28"/>
  <c r="AO72" i="28"/>
  <c r="AO73" i="28"/>
  <c r="AO74" i="28"/>
  <c r="AO75" i="28"/>
  <c r="AO76" i="28"/>
  <c r="AO77" i="28"/>
  <c r="AO78" i="28"/>
  <c r="AO79" i="28"/>
  <c r="AO80" i="28"/>
  <c r="AO81" i="28"/>
  <c r="AO82" i="28"/>
  <c r="AO83" i="28"/>
  <c r="AO84" i="28"/>
  <c r="AO85" i="28"/>
  <c r="AO86" i="28"/>
  <c r="AO87" i="28"/>
  <c r="AO88" i="28"/>
  <c r="AO89" i="28"/>
  <c r="AO90" i="28"/>
  <c r="AO91" i="28"/>
  <c r="AO92" i="28"/>
  <c r="AO93" i="28"/>
  <c r="AO94" i="28"/>
  <c r="AO95" i="28"/>
  <c r="AO96" i="28"/>
  <c r="AO97" i="28"/>
  <c r="AO98" i="28"/>
  <c r="AO99" i="28"/>
  <c r="AO100" i="28"/>
  <c r="AO101" i="28"/>
  <c r="AO102" i="28"/>
  <c r="AO103" i="28"/>
  <c r="AO104" i="28"/>
  <c r="AO105" i="28"/>
  <c r="AO106" i="28"/>
  <c r="AO107" i="28"/>
  <c r="AO108" i="28"/>
  <c r="AO109" i="28"/>
  <c r="AO110" i="28"/>
  <c r="AO111" i="28"/>
  <c r="AO112" i="28"/>
  <c r="AO113" i="28"/>
  <c r="AO114" i="28"/>
  <c r="AO115" i="28"/>
  <c r="AO116" i="28"/>
  <c r="AO117" i="28"/>
  <c r="AO118" i="28"/>
  <c r="AO119" i="28"/>
  <c r="AO120" i="28"/>
  <c r="AO121" i="28"/>
  <c r="AO122" i="28"/>
  <c r="AO123" i="28"/>
  <c r="AO124" i="28"/>
  <c r="AO125" i="28"/>
  <c r="AO4" i="28"/>
  <c r="AM5" i="28"/>
  <c r="AM6" i="28"/>
  <c r="AM7" i="28"/>
  <c r="AM8" i="28"/>
  <c r="AM9" i="28"/>
  <c r="AM10" i="28"/>
  <c r="AM11" i="28"/>
  <c r="AM12" i="28"/>
  <c r="AM13" i="28"/>
  <c r="AM14" i="28"/>
  <c r="AM15" i="28"/>
  <c r="AM16" i="28"/>
  <c r="AM17" i="28"/>
  <c r="AM18" i="28"/>
  <c r="AM19" i="28"/>
  <c r="AM20" i="28"/>
  <c r="AM21" i="28"/>
  <c r="AM22" i="28"/>
  <c r="AM23" i="28"/>
  <c r="AM24" i="28"/>
  <c r="AM25" i="28"/>
  <c r="AM26" i="28"/>
  <c r="AM27" i="28"/>
  <c r="AM28" i="28"/>
  <c r="AM29" i="28"/>
  <c r="AM30" i="28"/>
  <c r="AM31" i="28"/>
  <c r="AM32" i="28"/>
  <c r="AM33" i="28"/>
  <c r="AM34" i="28"/>
  <c r="AM35" i="28"/>
  <c r="AM36" i="28"/>
  <c r="AM37" i="28"/>
  <c r="AM38" i="28"/>
  <c r="AM39" i="28"/>
  <c r="AM40" i="28"/>
  <c r="AM41" i="28"/>
  <c r="AM42" i="28"/>
  <c r="AM43" i="28"/>
  <c r="AM44" i="28"/>
  <c r="AM45" i="28"/>
  <c r="AM46" i="28"/>
  <c r="AM47" i="28"/>
  <c r="AM48" i="28"/>
  <c r="AM49" i="28"/>
  <c r="AM50" i="28"/>
  <c r="AM51" i="28"/>
  <c r="AM52" i="28"/>
  <c r="AM53" i="28"/>
  <c r="AM54" i="28"/>
  <c r="AM55" i="28"/>
  <c r="AM56" i="28"/>
  <c r="AM57" i="28"/>
  <c r="AM58" i="28"/>
  <c r="AM59" i="28"/>
  <c r="AM60" i="28"/>
  <c r="AM61" i="28"/>
  <c r="AM62" i="28"/>
  <c r="AM63" i="28"/>
  <c r="AM64" i="28"/>
  <c r="AM65" i="28"/>
  <c r="AM66" i="28"/>
  <c r="AM67" i="28"/>
  <c r="AM68" i="28"/>
  <c r="AM69" i="28"/>
  <c r="AM70" i="28"/>
  <c r="AM71" i="28"/>
  <c r="AM72" i="28"/>
  <c r="AM73" i="28"/>
  <c r="AM74" i="28"/>
  <c r="AM75" i="28"/>
  <c r="AM76" i="28"/>
  <c r="AM77" i="28"/>
  <c r="AM78" i="28"/>
  <c r="AM79" i="28"/>
  <c r="AM80" i="28"/>
  <c r="AM81" i="28"/>
  <c r="AM82" i="28"/>
  <c r="AM83" i="28"/>
  <c r="AM84" i="28"/>
  <c r="AM85" i="28"/>
  <c r="AM86" i="28"/>
  <c r="AM87" i="28"/>
  <c r="AM88" i="28"/>
  <c r="AM89" i="28"/>
  <c r="AM90" i="28"/>
  <c r="AM91" i="28"/>
  <c r="AM92" i="28"/>
  <c r="AM93" i="28"/>
  <c r="AM94" i="28"/>
  <c r="AM95" i="28"/>
  <c r="AM96" i="28"/>
  <c r="AM97" i="28"/>
  <c r="AM98" i="28"/>
  <c r="AM99" i="28"/>
  <c r="AM100" i="28"/>
  <c r="AM101" i="28"/>
  <c r="AM102" i="28"/>
  <c r="AM103" i="28"/>
  <c r="AM104" i="28"/>
  <c r="AM105" i="28"/>
  <c r="AM106" i="28"/>
  <c r="AM107" i="28"/>
  <c r="AM108" i="28"/>
  <c r="AM109" i="28"/>
  <c r="AM110" i="28"/>
  <c r="AM111" i="28"/>
  <c r="AM112" i="28"/>
  <c r="AM113" i="28"/>
  <c r="AM114" i="28"/>
  <c r="AM115" i="28"/>
  <c r="AM116" i="28"/>
  <c r="AM117" i="28"/>
  <c r="AM118" i="28"/>
  <c r="AM119" i="28"/>
  <c r="AM120" i="28"/>
  <c r="AM121" i="28"/>
  <c r="AM122" i="28"/>
  <c r="AM123" i="28"/>
  <c r="AM124" i="28"/>
  <c r="AM125" i="28"/>
  <c r="AM4" i="28"/>
  <c r="AK5" i="28"/>
  <c r="AK6" i="28"/>
  <c r="AK7" i="28"/>
  <c r="AK8" i="28"/>
  <c r="AK9" i="28"/>
  <c r="AK10" i="28"/>
  <c r="AK11" i="28"/>
  <c r="AK12" i="28"/>
  <c r="AK13" i="28"/>
  <c r="AK14" i="28"/>
  <c r="AK15" i="28"/>
  <c r="AK16" i="28"/>
  <c r="AK17" i="28"/>
  <c r="AK18" i="28"/>
  <c r="AK19" i="28"/>
  <c r="AK20" i="28"/>
  <c r="AK21" i="28"/>
  <c r="AK22" i="28"/>
  <c r="AK23" i="28"/>
  <c r="AK24" i="28"/>
  <c r="AK25" i="28"/>
  <c r="AK26" i="28"/>
  <c r="AK27" i="28"/>
  <c r="AK28" i="28"/>
  <c r="AK29" i="28"/>
  <c r="AK30" i="28"/>
  <c r="AK31" i="28"/>
  <c r="AK32" i="28"/>
  <c r="AK33" i="28"/>
  <c r="AK34" i="28"/>
  <c r="AK35" i="28"/>
  <c r="AK36" i="28"/>
  <c r="AK37" i="28"/>
  <c r="AK38" i="28"/>
  <c r="AK39" i="28"/>
  <c r="AK40" i="28"/>
  <c r="AK41" i="28"/>
  <c r="AK42" i="28"/>
  <c r="AK43" i="28"/>
  <c r="AK44" i="28"/>
  <c r="AK45" i="28"/>
  <c r="AK46" i="28"/>
  <c r="AK47" i="28"/>
  <c r="AK48" i="28"/>
  <c r="AK49" i="28"/>
  <c r="AK50" i="28"/>
  <c r="AK51" i="28"/>
  <c r="AK52" i="28"/>
  <c r="AK53" i="28"/>
  <c r="AK54" i="28"/>
  <c r="AK55" i="28"/>
  <c r="AK56" i="28"/>
  <c r="AK57" i="28"/>
  <c r="AK58" i="28"/>
  <c r="AK59" i="28"/>
  <c r="AK60" i="28"/>
  <c r="AK61" i="28"/>
  <c r="AK62" i="28"/>
  <c r="AK63" i="28"/>
  <c r="AK64" i="28"/>
  <c r="AK65" i="28"/>
  <c r="AK66" i="28"/>
  <c r="AK67" i="28"/>
  <c r="AK68" i="28"/>
  <c r="AK69" i="28"/>
  <c r="AK70" i="28"/>
  <c r="AK71" i="28"/>
  <c r="AK72" i="28"/>
  <c r="AK73" i="28"/>
  <c r="AK74" i="28"/>
  <c r="AK75" i="28"/>
  <c r="AK76" i="28"/>
  <c r="AK77" i="28"/>
  <c r="AK78" i="28"/>
  <c r="AK79" i="28"/>
  <c r="AK80" i="28"/>
  <c r="AK81" i="28"/>
  <c r="AK82" i="28"/>
  <c r="AK83" i="28"/>
  <c r="AK84" i="28"/>
  <c r="AK85" i="28"/>
  <c r="AK86" i="28"/>
  <c r="AK87" i="28"/>
  <c r="AK88" i="28"/>
  <c r="AK89" i="28"/>
  <c r="AK90" i="28"/>
  <c r="AK91" i="28"/>
  <c r="AK92" i="28"/>
  <c r="AK93" i="28"/>
  <c r="AK94" i="28"/>
  <c r="AK95" i="28"/>
  <c r="AK96" i="28"/>
  <c r="AK97" i="28"/>
  <c r="AK98" i="28"/>
  <c r="AK99" i="28"/>
  <c r="AK100" i="28"/>
  <c r="AK101" i="28"/>
  <c r="AK102" i="28"/>
  <c r="AK103" i="28"/>
  <c r="AK104" i="28"/>
  <c r="AK105" i="28"/>
  <c r="AK106" i="28"/>
  <c r="AK107" i="28"/>
  <c r="AK108" i="28"/>
  <c r="AK109" i="28"/>
  <c r="AK110" i="28"/>
  <c r="AK111" i="28"/>
  <c r="AK112" i="28"/>
  <c r="AK113" i="28"/>
  <c r="AK114" i="28"/>
  <c r="AK115" i="28"/>
  <c r="AK116" i="28"/>
  <c r="AK117" i="28"/>
  <c r="AK118" i="28"/>
  <c r="AK119" i="28"/>
  <c r="AK120" i="28"/>
  <c r="AK121" i="28"/>
  <c r="AK122" i="28"/>
  <c r="AK123" i="28"/>
  <c r="AK124" i="28"/>
  <c r="AK125" i="28"/>
  <c r="AK4" i="28"/>
  <c r="AI5" i="28"/>
  <c r="AI6" i="28"/>
  <c r="AI7" i="28"/>
  <c r="AI8" i="28"/>
  <c r="AI9" i="28"/>
  <c r="AI10" i="28"/>
  <c r="AI11" i="28"/>
  <c r="AI12" i="28"/>
  <c r="AI13" i="28"/>
  <c r="AI14" i="28"/>
  <c r="AI15" i="28"/>
  <c r="AI16" i="28"/>
  <c r="AI17" i="28"/>
  <c r="AI18" i="28"/>
  <c r="AI19" i="28"/>
  <c r="AI20" i="28"/>
  <c r="AI21" i="28"/>
  <c r="AI22" i="28"/>
  <c r="AI23" i="28"/>
  <c r="AI24" i="28"/>
  <c r="AI25" i="28"/>
  <c r="AI26" i="28"/>
  <c r="AI27" i="28"/>
  <c r="AI28" i="28"/>
  <c r="AI29" i="28"/>
  <c r="AI30" i="28"/>
  <c r="AI31" i="28"/>
  <c r="AI32" i="28"/>
  <c r="AI33" i="28"/>
  <c r="AI34" i="28"/>
  <c r="AI35" i="28"/>
  <c r="AI36" i="28"/>
  <c r="AI37" i="28"/>
  <c r="AI38" i="28"/>
  <c r="AI39" i="28"/>
  <c r="AI40" i="28"/>
  <c r="AI41" i="28"/>
  <c r="AI42" i="28"/>
  <c r="AI43" i="28"/>
  <c r="AI44" i="28"/>
  <c r="AI45" i="28"/>
  <c r="AI46" i="28"/>
  <c r="AI47" i="28"/>
  <c r="AI48" i="28"/>
  <c r="AI49" i="28"/>
  <c r="AI50" i="28"/>
  <c r="AI51" i="28"/>
  <c r="AI52" i="28"/>
  <c r="AI53" i="28"/>
  <c r="AI54" i="28"/>
  <c r="AI55" i="28"/>
  <c r="AI56" i="28"/>
  <c r="AI57" i="28"/>
  <c r="AI58" i="28"/>
  <c r="AI59" i="28"/>
  <c r="AI60" i="28"/>
  <c r="AI61" i="28"/>
  <c r="AI62" i="28"/>
  <c r="AI63" i="28"/>
  <c r="AI64" i="28"/>
  <c r="AI65" i="28"/>
  <c r="AI66" i="28"/>
  <c r="AI67" i="28"/>
  <c r="AI68" i="28"/>
  <c r="AI69" i="28"/>
  <c r="AI70" i="28"/>
  <c r="AI71" i="28"/>
  <c r="AI72" i="28"/>
  <c r="AI73" i="28"/>
  <c r="AI74" i="28"/>
  <c r="AI75" i="28"/>
  <c r="AI76" i="28"/>
  <c r="AI77" i="28"/>
  <c r="AI78" i="28"/>
  <c r="AI79" i="28"/>
  <c r="AI80" i="28"/>
  <c r="AI81" i="28"/>
  <c r="AI82" i="28"/>
  <c r="AI83" i="28"/>
  <c r="AI84" i="28"/>
  <c r="AI85" i="28"/>
  <c r="AI86" i="28"/>
  <c r="AI87" i="28"/>
  <c r="AI88" i="28"/>
  <c r="AI89" i="28"/>
  <c r="AI90" i="28"/>
  <c r="AI91" i="28"/>
  <c r="AI92" i="28"/>
  <c r="AI93" i="28"/>
  <c r="AI94" i="28"/>
  <c r="AI95" i="28"/>
  <c r="AI96" i="28"/>
  <c r="AI97" i="28"/>
  <c r="AI98" i="28"/>
  <c r="AI99" i="28"/>
  <c r="AI100" i="28"/>
  <c r="AI101" i="28"/>
  <c r="AI102" i="28"/>
  <c r="AI103" i="28"/>
  <c r="AI104" i="28"/>
  <c r="AI105" i="28"/>
  <c r="AI106" i="28"/>
  <c r="AI107" i="28"/>
  <c r="AI108" i="28"/>
  <c r="AI109" i="28"/>
  <c r="AI110" i="28"/>
  <c r="AI111" i="28"/>
  <c r="AI112" i="28"/>
  <c r="AI113" i="28"/>
  <c r="AI114" i="28"/>
  <c r="AI115" i="28"/>
  <c r="AI116" i="28"/>
  <c r="AI117" i="28"/>
  <c r="AI118" i="28"/>
  <c r="AI119" i="28"/>
  <c r="AI120" i="28"/>
  <c r="AI121" i="28"/>
  <c r="AI122" i="28"/>
  <c r="AI123" i="28"/>
  <c r="AI124" i="28"/>
  <c r="AI125" i="28"/>
  <c r="AI4" i="28"/>
  <c r="AG5" i="28"/>
  <c r="AG6" i="28"/>
  <c r="AG7" i="28"/>
  <c r="AG8" i="28"/>
  <c r="AG9" i="28"/>
  <c r="AG10" i="28"/>
  <c r="AG11" i="28"/>
  <c r="AG12" i="28"/>
  <c r="AG13" i="28"/>
  <c r="AG14" i="28"/>
  <c r="AG15" i="28"/>
  <c r="AG16" i="28"/>
  <c r="AG17" i="28"/>
  <c r="AG18" i="28"/>
  <c r="AG19" i="28"/>
  <c r="AG20" i="28"/>
  <c r="AG21" i="28"/>
  <c r="AG22" i="28"/>
  <c r="AG23" i="28"/>
  <c r="AG24" i="28"/>
  <c r="AG25" i="28"/>
  <c r="AG26" i="28"/>
  <c r="AG27" i="28"/>
  <c r="AG28" i="28"/>
  <c r="AG29" i="28"/>
  <c r="AG30" i="28"/>
  <c r="AG31" i="28"/>
  <c r="AG32" i="28"/>
  <c r="AG33" i="28"/>
  <c r="AG34" i="28"/>
  <c r="AG35" i="28"/>
  <c r="AG36" i="28"/>
  <c r="AG37" i="28"/>
  <c r="AG38" i="28"/>
  <c r="AG39" i="28"/>
  <c r="AG40" i="28"/>
  <c r="AG41" i="28"/>
  <c r="AG42" i="28"/>
  <c r="AG43" i="28"/>
  <c r="AG44" i="28"/>
  <c r="AG45" i="28"/>
  <c r="AG46" i="28"/>
  <c r="AG47" i="28"/>
  <c r="AG48" i="28"/>
  <c r="AG49" i="28"/>
  <c r="AG50" i="28"/>
  <c r="AG51" i="28"/>
  <c r="AG52" i="28"/>
  <c r="AG53" i="28"/>
  <c r="AG54" i="28"/>
  <c r="AG55" i="28"/>
  <c r="AG56" i="28"/>
  <c r="AG57" i="28"/>
  <c r="AG58" i="28"/>
  <c r="AG59" i="28"/>
  <c r="AG60" i="28"/>
  <c r="AG61" i="28"/>
  <c r="AG62" i="28"/>
  <c r="AG63" i="28"/>
  <c r="AG64" i="28"/>
  <c r="AG65" i="28"/>
  <c r="AG66" i="28"/>
  <c r="AG67" i="28"/>
  <c r="AG68" i="28"/>
  <c r="AG69" i="28"/>
  <c r="AG70" i="28"/>
  <c r="AG71" i="28"/>
  <c r="AG72" i="28"/>
  <c r="AG73" i="28"/>
  <c r="AG74" i="28"/>
  <c r="AG75" i="28"/>
  <c r="AG76" i="28"/>
  <c r="AG77" i="28"/>
  <c r="AG78" i="28"/>
  <c r="AG79" i="28"/>
  <c r="AG80" i="28"/>
  <c r="AG81" i="28"/>
  <c r="AG82" i="28"/>
  <c r="AG83" i="28"/>
  <c r="AG84" i="28"/>
  <c r="AG85" i="28"/>
  <c r="AG86" i="28"/>
  <c r="AG87" i="28"/>
  <c r="AG88" i="28"/>
  <c r="AG89" i="28"/>
  <c r="AG90" i="28"/>
  <c r="AG91" i="28"/>
  <c r="AG92" i="28"/>
  <c r="AG93" i="28"/>
  <c r="AG94" i="28"/>
  <c r="AG95" i="28"/>
  <c r="AG96" i="28"/>
  <c r="AG97" i="28"/>
  <c r="AG98" i="28"/>
  <c r="AG99" i="28"/>
  <c r="AG100" i="28"/>
  <c r="AG101" i="28"/>
  <c r="AG102" i="28"/>
  <c r="AG103" i="28"/>
  <c r="AG104" i="28"/>
  <c r="AG105" i="28"/>
  <c r="AG106" i="28"/>
  <c r="AG107" i="28"/>
  <c r="AG108" i="28"/>
  <c r="AG109" i="28"/>
  <c r="AG110" i="28"/>
  <c r="AG111" i="28"/>
  <c r="AG112" i="28"/>
  <c r="AG113" i="28"/>
  <c r="AG114" i="28"/>
  <c r="AG115" i="28"/>
  <c r="AG116" i="28"/>
  <c r="AG117" i="28"/>
  <c r="AG118" i="28"/>
  <c r="AG119" i="28"/>
  <c r="AG120" i="28"/>
  <c r="AG121" i="28"/>
  <c r="AG122" i="28"/>
  <c r="AG123" i="28"/>
  <c r="AG124" i="28"/>
  <c r="AG125" i="28"/>
  <c r="AG4" i="28"/>
  <c r="AE5" i="28"/>
  <c r="AE6" i="28"/>
  <c r="AE7" i="28"/>
  <c r="AE8" i="28"/>
  <c r="AE9" i="28"/>
  <c r="AE10" i="28"/>
  <c r="AE11" i="28"/>
  <c r="AE12" i="28"/>
  <c r="AE13" i="28"/>
  <c r="AE14" i="28"/>
  <c r="AE15" i="28"/>
  <c r="AE16" i="28"/>
  <c r="AE17" i="28"/>
  <c r="AE18" i="28"/>
  <c r="AE19" i="28"/>
  <c r="AE20" i="28"/>
  <c r="AE21" i="28"/>
  <c r="AE22" i="28"/>
  <c r="AE23" i="28"/>
  <c r="AE24" i="28"/>
  <c r="AE25" i="28"/>
  <c r="AE26" i="28"/>
  <c r="AE27" i="28"/>
  <c r="AE28" i="28"/>
  <c r="AE29" i="28"/>
  <c r="AE30" i="28"/>
  <c r="AE31" i="28"/>
  <c r="AE32" i="28"/>
  <c r="AE33" i="28"/>
  <c r="AE34" i="28"/>
  <c r="AE35" i="28"/>
  <c r="AE36" i="28"/>
  <c r="AE37" i="28"/>
  <c r="AE38" i="28"/>
  <c r="AE39" i="28"/>
  <c r="AE40" i="28"/>
  <c r="AE41" i="28"/>
  <c r="AE42" i="28"/>
  <c r="AE43" i="28"/>
  <c r="AE44" i="28"/>
  <c r="AE45" i="28"/>
  <c r="AE46" i="28"/>
  <c r="AE47" i="28"/>
  <c r="AE48" i="28"/>
  <c r="AE49" i="28"/>
  <c r="AE50" i="28"/>
  <c r="AE51" i="28"/>
  <c r="AE52" i="28"/>
  <c r="AE53" i="28"/>
  <c r="AE54" i="28"/>
  <c r="AE55" i="28"/>
  <c r="AE56" i="28"/>
  <c r="AE57" i="28"/>
  <c r="AE58" i="28"/>
  <c r="AE59" i="28"/>
  <c r="AE60" i="28"/>
  <c r="AE61" i="28"/>
  <c r="AE62" i="28"/>
  <c r="AE63" i="28"/>
  <c r="AE64" i="28"/>
  <c r="AE65" i="28"/>
  <c r="AE66" i="28"/>
  <c r="AE67" i="28"/>
  <c r="AE68" i="28"/>
  <c r="AE69" i="28"/>
  <c r="AE70" i="28"/>
  <c r="AE71" i="28"/>
  <c r="AE72" i="28"/>
  <c r="AE73" i="28"/>
  <c r="AE74" i="28"/>
  <c r="AE75" i="28"/>
  <c r="AE76" i="28"/>
  <c r="AE77" i="28"/>
  <c r="AE78" i="28"/>
  <c r="AE79" i="28"/>
  <c r="AE80" i="28"/>
  <c r="AE81" i="28"/>
  <c r="AE82" i="28"/>
  <c r="AE83" i="28"/>
  <c r="AE84" i="28"/>
  <c r="AE85" i="28"/>
  <c r="AE86" i="28"/>
  <c r="AE87" i="28"/>
  <c r="AE88" i="28"/>
  <c r="AE89" i="28"/>
  <c r="AE90" i="28"/>
  <c r="AE91" i="28"/>
  <c r="AE92" i="28"/>
  <c r="AE93" i="28"/>
  <c r="AE94" i="28"/>
  <c r="AE95" i="28"/>
  <c r="AE96" i="28"/>
  <c r="AE97" i="28"/>
  <c r="AE98" i="28"/>
  <c r="AE99" i="28"/>
  <c r="AE100" i="28"/>
  <c r="AE101" i="28"/>
  <c r="AE102" i="28"/>
  <c r="AE103" i="28"/>
  <c r="AE104" i="28"/>
  <c r="AE105" i="28"/>
  <c r="AE106" i="28"/>
  <c r="AE107" i="28"/>
  <c r="AE108" i="28"/>
  <c r="AE109" i="28"/>
  <c r="AE110" i="28"/>
  <c r="AE111" i="28"/>
  <c r="AE112" i="28"/>
  <c r="AE113" i="28"/>
  <c r="AE114" i="28"/>
  <c r="AE115" i="28"/>
  <c r="AE116" i="28"/>
  <c r="AE117" i="28"/>
  <c r="AE118" i="28"/>
  <c r="AE119" i="28"/>
  <c r="AE120" i="28"/>
  <c r="AE121" i="28"/>
  <c r="AE122" i="28"/>
  <c r="AE123" i="28"/>
  <c r="AE124" i="28"/>
  <c r="AE125" i="28"/>
  <c r="AE4" i="28"/>
  <c r="AC5" i="28"/>
  <c r="AC6" i="28"/>
  <c r="AC7" i="28"/>
  <c r="AC8" i="28"/>
  <c r="AC9" i="28"/>
  <c r="AC10" i="28"/>
  <c r="AC11" i="28"/>
  <c r="AC12" i="28"/>
  <c r="AC13" i="28"/>
  <c r="AC14" i="28"/>
  <c r="AC15" i="28"/>
  <c r="AC16" i="28"/>
  <c r="AC17" i="28"/>
  <c r="AC18" i="28"/>
  <c r="AC19" i="28"/>
  <c r="AC20" i="28"/>
  <c r="AC21" i="28"/>
  <c r="AC22" i="28"/>
  <c r="AC23" i="28"/>
  <c r="AC24" i="28"/>
  <c r="AC25" i="28"/>
  <c r="AC26" i="28"/>
  <c r="AC27" i="28"/>
  <c r="AC28" i="28"/>
  <c r="AC29" i="28"/>
  <c r="AC30" i="28"/>
  <c r="AC31" i="28"/>
  <c r="AC32" i="28"/>
  <c r="AC33" i="28"/>
  <c r="AC34" i="28"/>
  <c r="AC35" i="28"/>
  <c r="AC36" i="28"/>
  <c r="AC37" i="28"/>
  <c r="AC38" i="28"/>
  <c r="AC39" i="28"/>
  <c r="AC40" i="28"/>
  <c r="AC41" i="28"/>
  <c r="AC42" i="28"/>
  <c r="AC43" i="28"/>
  <c r="AC44" i="28"/>
  <c r="AC45" i="28"/>
  <c r="AC46" i="28"/>
  <c r="AC47" i="28"/>
  <c r="AC48" i="28"/>
  <c r="AC49" i="28"/>
  <c r="AC50" i="28"/>
  <c r="AC51" i="28"/>
  <c r="AC52" i="28"/>
  <c r="AC53" i="28"/>
  <c r="AC54" i="28"/>
  <c r="AC55" i="28"/>
  <c r="AC56" i="28"/>
  <c r="AC57" i="28"/>
  <c r="AC58" i="28"/>
  <c r="AC59" i="28"/>
  <c r="AC60" i="28"/>
  <c r="AC61" i="28"/>
  <c r="AC62" i="28"/>
  <c r="AC63" i="28"/>
  <c r="AC64" i="28"/>
  <c r="AC65" i="28"/>
  <c r="AC66" i="28"/>
  <c r="AC67" i="28"/>
  <c r="AC68" i="28"/>
  <c r="AC69" i="28"/>
  <c r="AC70" i="28"/>
  <c r="AC71" i="28"/>
  <c r="AC72" i="28"/>
  <c r="AC73" i="28"/>
  <c r="AC74" i="28"/>
  <c r="AC75" i="28"/>
  <c r="AC76" i="28"/>
  <c r="AC77" i="28"/>
  <c r="AC78" i="28"/>
  <c r="AC79" i="28"/>
  <c r="AC80" i="28"/>
  <c r="AC81" i="28"/>
  <c r="AC82" i="28"/>
  <c r="AC83" i="28"/>
  <c r="AC84" i="28"/>
  <c r="AC85" i="28"/>
  <c r="AC86" i="28"/>
  <c r="AC87" i="28"/>
  <c r="AC88" i="28"/>
  <c r="AC89" i="28"/>
  <c r="AC90" i="28"/>
  <c r="AC91" i="28"/>
  <c r="AC92" i="28"/>
  <c r="AC93" i="28"/>
  <c r="AC94" i="28"/>
  <c r="AC95" i="28"/>
  <c r="AC96" i="28"/>
  <c r="AC97" i="28"/>
  <c r="AC98" i="28"/>
  <c r="AC99" i="28"/>
  <c r="AC100" i="28"/>
  <c r="AC101" i="28"/>
  <c r="AC102" i="28"/>
  <c r="AC103" i="28"/>
  <c r="AC104" i="28"/>
  <c r="AC105" i="28"/>
  <c r="AC106" i="28"/>
  <c r="AC107" i="28"/>
  <c r="AC108" i="28"/>
  <c r="AC109" i="28"/>
  <c r="AC110" i="28"/>
  <c r="AC111" i="28"/>
  <c r="AC112" i="28"/>
  <c r="AC113" i="28"/>
  <c r="AC114" i="28"/>
  <c r="AC115" i="28"/>
  <c r="AC116" i="28"/>
  <c r="AC117" i="28"/>
  <c r="AC118" i="28"/>
  <c r="AC119" i="28"/>
  <c r="AC120" i="28"/>
  <c r="AC121" i="28"/>
  <c r="AC122" i="28"/>
  <c r="AC123" i="28"/>
  <c r="AC124" i="28"/>
  <c r="AC125" i="28"/>
  <c r="AC4" i="28"/>
  <c r="AA5" i="28"/>
  <c r="AA6" i="28"/>
  <c r="AA7" i="28"/>
  <c r="AA8" i="28"/>
  <c r="AA9" i="28"/>
  <c r="AA10" i="28"/>
  <c r="AA11" i="28"/>
  <c r="AA12" i="28"/>
  <c r="AA13" i="28"/>
  <c r="AA14" i="28"/>
  <c r="AA15" i="28"/>
  <c r="AA16" i="28"/>
  <c r="AA17" i="28"/>
  <c r="AA18" i="28"/>
  <c r="AA19" i="28"/>
  <c r="AA20" i="28"/>
  <c r="AA21" i="28"/>
  <c r="AA22" i="28"/>
  <c r="AA23" i="28"/>
  <c r="AA24" i="28"/>
  <c r="AA25" i="28"/>
  <c r="AA26" i="28"/>
  <c r="AA27" i="28"/>
  <c r="AA28" i="28"/>
  <c r="AA29" i="28"/>
  <c r="AA30" i="28"/>
  <c r="AA31" i="28"/>
  <c r="AA32" i="28"/>
  <c r="AA33" i="28"/>
  <c r="AA34" i="28"/>
  <c r="AA35" i="28"/>
  <c r="AA36" i="28"/>
  <c r="AA37" i="28"/>
  <c r="AA38" i="28"/>
  <c r="AA39" i="28"/>
  <c r="AA40" i="28"/>
  <c r="AA41" i="28"/>
  <c r="AA42" i="28"/>
  <c r="AA43" i="28"/>
  <c r="AA44" i="28"/>
  <c r="AA45" i="28"/>
  <c r="AA46" i="28"/>
  <c r="AA47" i="28"/>
  <c r="AA48" i="28"/>
  <c r="AA49" i="28"/>
  <c r="AA50" i="28"/>
  <c r="AA51" i="28"/>
  <c r="AA52" i="28"/>
  <c r="AA53" i="28"/>
  <c r="AA54" i="28"/>
  <c r="AA55" i="28"/>
  <c r="AA56" i="28"/>
  <c r="AA57" i="28"/>
  <c r="AA58" i="28"/>
  <c r="AA59" i="28"/>
  <c r="AA60" i="28"/>
  <c r="AA61" i="28"/>
  <c r="AA62" i="28"/>
  <c r="AA63" i="28"/>
  <c r="AA64" i="28"/>
  <c r="AA65" i="28"/>
  <c r="AA66" i="28"/>
  <c r="AA67" i="28"/>
  <c r="AA68" i="28"/>
  <c r="AA69" i="28"/>
  <c r="AA70" i="28"/>
  <c r="AA71" i="28"/>
  <c r="AA72" i="28"/>
  <c r="AA73" i="28"/>
  <c r="AA74" i="28"/>
  <c r="AA75" i="28"/>
  <c r="AA76" i="28"/>
  <c r="AA77" i="28"/>
  <c r="AA78" i="28"/>
  <c r="AA79" i="28"/>
  <c r="AA80" i="28"/>
  <c r="AA81" i="28"/>
  <c r="AA82" i="28"/>
  <c r="AA83" i="28"/>
  <c r="AA84" i="28"/>
  <c r="AA85" i="28"/>
  <c r="AA86" i="28"/>
  <c r="AA87" i="28"/>
  <c r="AA88" i="28"/>
  <c r="AA89" i="28"/>
  <c r="AA90" i="28"/>
  <c r="AA91" i="28"/>
  <c r="AA92" i="28"/>
  <c r="AA93" i="28"/>
  <c r="AA94" i="28"/>
  <c r="AA95" i="28"/>
  <c r="AA96" i="28"/>
  <c r="AA97" i="28"/>
  <c r="AA98" i="28"/>
  <c r="AA99" i="28"/>
  <c r="AA100" i="28"/>
  <c r="AA101" i="28"/>
  <c r="AA102" i="28"/>
  <c r="AA103" i="28"/>
  <c r="AA104" i="28"/>
  <c r="AA105" i="28"/>
  <c r="AA106" i="28"/>
  <c r="AA107" i="28"/>
  <c r="AA108" i="28"/>
  <c r="AA109" i="28"/>
  <c r="AA110" i="28"/>
  <c r="AA111" i="28"/>
  <c r="AA112" i="28"/>
  <c r="AA113" i="28"/>
  <c r="AA114" i="28"/>
  <c r="AA115" i="28"/>
  <c r="AA116" i="28"/>
  <c r="AA117" i="28"/>
  <c r="AA118" i="28"/>
  <c r="AA119" i="28"/>
  <c r="AA120" i="28"/>
  <c r="AA121" i="28"/>
  <c r="AA122" i="28"/>
  <c r="AA123" i="28"/>
  <c r="AA124" i="28"/>
  <c r="AA125" i="28"/>
  <c r="AA4" i="28"/>
  <c r="Y5" i="28"/>
  <c r="Y6" i="28"/>
  <c r="Y7" i="28"/>
  <c r="Y8" i="28"/>
  <c r="Y9" i="28"/>
  <c r="Y10" i="28"/>
  <c r="Y11" i="28"/>
  <c r="Y12" i="28"/>
  <c r="Y13" i="28"/>
  <c r="Y14" i="28"/>
  <c r="Y15" i="28"/>
  <c r="Y16" i="28"/>
  <c r="Y17" i="28"/>
  <c r="Y18" i="28"/>
  <c r="Y19" i="28"/>
  <c r="Y20" i="28"/>
  <c r="Y21" i="28"/>
  <c r="Y22" i="28"/>
  <c r="Y23" i="28"/>
  <c r="Y24" i="28"/>
  <c r="Y25" i="28"/>
  <c r="Y26" i="28"/>
  <c r="Y27" i="28"/>
  <c r="Y28" i="28"/>
  <c r="Y29" i="28"/>
  <c r="Y30" i="28"/>
  <c r="Y31" i="28"/>
  <c r="Y32" i="28"/>
  <c r="Y33" i="28"/>
  <c r="Y34" i="28"/>
  <c r="Y35" i="28"/>
  <c r="Y36" i="28"/>
  <c r="Y37" i="28"/>
  <c r="Y38" i="28"/>
  <c r="Y39" i="28"/>
  <c r="Y40" i="28"/>
  <c r="Y41" i="28"/>
  <c r="Y42" i="28"/>
  <c r="Y43" i="28"/>
  <c r="Y44" i="28"/>
  <c r="Y45" i="28"/>
  <c r="Y46" i="28"/>
  <c r="Y47" i="28"/>
  <c r="Y48" i="28"/>
  <c r="Y49" i="28"/>
  <c r="Y50" i="28"/>
  <c r="Y51" i="28"/>
  <c r="Y52" i="28"/>
  <c r="Y53" i="28"/>
  <c r="Y54" i="28"/>
  <c r="Y55" i="28"/>
  <c r="Y56" i="28"/>
  <c r="Y57" i="28"/>
  <c r="Y58" i="28"/>
  <c r="Y59" i="28"/>
  <c r="Y60" i="28"/>
  <c r="Y61" i="28"/>
  <c r="Y62" i="28"/>
  <c r="Y63" i="28"/>
  <c r="Y64" i="28"/>
  <c r="Y65" i="28"/>
  <c r="Y66" i="28"/>
  <c r="Y67" i="28"/>
  <c r="Y68" i="28"/>
  <c r="Y69" i="28"/>
  <c r="Y70" i="28"/>
  <c r="Y71" i="28"/>
  <c r="Y72" i="28"/>
  <c r="Y73" i="28"/>
  <c r="Y74" i="28"/>
  <c r="Y75" i="28"/>
  <c r="Y76" i="28"/>
  <c r="Y77" i="28"/>
  <c r="Y78" i="28"/>
  <c r="Y79" i="28"/>
  <c r="Y80" i="28"/>
  <c r="Y81" i="28"/>
  <c r="Y82" i="28"/>
  <c r="Y83" i="28"/>
  <c r="Y84" i="28"/>
  <c r="Y85" i="28"/>
  <c r="Y86" i="28"/>
  <c r="Y87" i="28"/>
  <c r="Y88" i="28"/>
  <c r="Y89" i="28"/>
  <c r="Y90" i="28"/>
  <c r="Y91" i="28"/>
  <c r="Y92" i="28"/>
  <c r="Y93" i="28"/>
  <c r="Y94" i="28"/>
  <c r="Y95" i="28"/>
  <c r="Y96" i="28"/>
  <c r="Y97" i="28"/>
  <c r="Y98" i="28"/>
  <c r="Y99" i="28"/>
  <c r="Y100" i="28"/>
  <c r="Y101" i="28"/>
  <c r="Y102" i="28"/>
  <c r="Y103" i="28"/>
  <c r="Y104" i="28"/>
  <c r="Y105" i="28"/>
  <c r="Y106" i="28"/>
  <c r="Y107" i="28"/>
  <c r="Y108" i="28"/>
  <c r="Y109" i="28"/>
  <c r="Y110" i="28"/>
  <c r="Y111" i="28"/>
  <c r="Y112" i="28"/>
  <c r="Y113" i="28"/>
  <c r="Y114" i="28"/>
  <c r="Y115" i="28"/>
  <c r="Y116" i="28"/>
  <c r="Y117" i="28"/>
  <c r="Y118" i="28"/>
  <c r="Y119" i="28"/>
  <c r="Y120" i="28"/>
  <c r="Y121" i="28"/>
  <c r="Y122" i="28"/>
  <c r="Y123" i="28"/>
  <c r="Y124" i="28"/>
  <c r="Y125" i="28"/>
  <c r="Y4" i="28"/>
  <c r="W5" i="28"/>
  <c r="W6" i="28"/>
  <c r="W7" i="28"/>
  <c r="W8" i="28"/>
  <c r="W9" i="28"/>
  <c r="W10" i="28"/>
  <c r="W11" i="28"/>
  <c r="W12" i="28"/>
  <c r="W13" i="28"/>
  <c r="W14" i="28"/>
  <c r="W15" i="28"/>
  <c r="W16" i="28"/>
  <c r="W17" i="28"/>
  <c r="W18" i="28"/>
  <c r="W19" i="28"/>
  <c r="W20" i="28"/>
  <c r="W21" i="28"/>
  <c r="W22" i="28"/>
  <c r="W23" i="28"/>
  <c r="W24" i="28"/>
  <c r="W25" i="28"/>
  <c r="W26" i="28"/>
  <c r="W27" i="28"/>
  <c r="W28" i="28"/>
  <c r="W29" i="28"/>
  <c r="W30" i="28"/>
  <c r="W31" i="28"/>
  <c r="W32" i="28"/>
  <c r="W33" i="28"/>
  <c r="W34" i="28"/>
  <c r="W35" i="28"/>
  <c r="W36" i="28"/>
  <c r="W37" i="28"/>
  <c r="W38" i="28"/>
  <c r="W39" i="28"/>
  <c r="W40" i="28"/>
  <c r="W41" i="28"/>
  <c r="W42" i="28"/>
  <c r="W43" i="28"/>
  <c r="W44" i="28"/>
  <c r="W45" i="28"/>
  <c r="W46" i="28"/>
  <c r="W47" i="28"/>
  <c r="W48" i="28"/>
  <c r="W49" i="28"/>
  <c r="W50" i="28"/>
  <c r="W51" i="28"/>
  <c r="W52" i="28"/>
  <c r="W53" i="28"/>
  <c r="W54" i="28"/>
  <c r="W55" i="28"/>
  <c r="W56" i="28"/>
  <c r="W57" i="28"/>
  <c r="W58" i="28"/>
  <c r="W59" i="28"/>
  <c r="W60" i="28"/>
  <c r="W61" i="28"/>
  <c r="W62" i="28"/>
  <c r="W63" i="28"/>
  <c r="W64" i="28"/>
  <c r="W65" i="28"/>
  <c r="W66" i="28"/>
  <c r="W67" i="28"/>
  <c r="W68" i="28"/>
  <c r="W69" i="28"/>
  <c r="W70" i="28"/>
  <c r="W71" i="28"/>
  <c r="W72" i="28"/>
  <c r="W73" i="28"/>
  <c r="W74" i="28"/>
  <c r="W75" i="28"/>
  <c r="W76" i="28"/>
  <c r="W77" i="28"/>
  <c r="W78" i="28"/>
  <c r="W79" i="28"/>
  <c r="W80" i="28"/>
  <c r="W81" i="28"/>
  <c r="W82" i="28"/>
  <c r="W83" i="28"/>
  <c r="W84" i="28"/>
  <c r="W85" i="28"/>
  <c r="W86" i="28"/>
  <c r="W87" i="28"/>
  <c r="W88" i="28"/>
  <c r="W89" i="28"/>
  <c r="W90" i="28"/>
  <c r="W91" i="28"/>
  <c r="W92" i="28"/>
  <c r="W93" i="28"/>
  <c r="W94" i="28"/>
  <c r="W95" i="28"/>
  <c r="W96" i="28"/>
  <c r="W97" i="28"/>
  <c r="W98" i="28"/>
  <c r="W99" i="28"/>
  <c r="W100" i="28"/>
  <c r="W101" i="28"/>
  <c r="W102" i="28"/>
  <c r="W103" i="28"/>
  <c r="W104" i="28"/>
  <c r="W105" i="28"/>
  <c r="W106" i="28"/>
  <c r="W107" i="28"/>
  <c r="W108" i="28"/>
  <c r="W109" i="28"/>
  <c r="W110" i="28"/>
  <c r="W111" i="28"/>
  <c r="W112" i="28"/>
  <c r="W113" i="28"/>
  <c r="W114" i="28"/>
  <c r="W115" i="28"/>
  <c r="W116" i="28"/>
  <c r="W117" i="28"/>
  <c r="W118" i="28"/>
  <c r="W119" i="28"/>
  <c r="W120" i="28"/>
  <c r="W121" i="28"/>
  <c r="W122" i="28"/>
  <c r="W123" i="28"/>
  <c r="W124" i="28"/>
  <c r="W125" i="28"/>
  <c r="W4" i="28"/>
  <c r="U5" i="28"/>
  <c r="U6" i="28"/>
  <c r="U7" i="28"/>
  <c r="U8" i="28"/>
  <c r="U9" i="28"/>
  <c r="U10" i="28"/>
  <c r="U11" i="28"/>
  <c r="U12" i="28"/>
  <c r="U13" i="28"/>
  <c r="U14" i="28"/>
  <c r="U15" i="28"/>
  <c r="U16" i="28"/>
  <c r="U17" i="28"/>
  <c r="U18" i="28"/>
  <c r="U19" i="28"/>
  <c r="U20" i="28"/>
  <c r="U21" i="28"/>
  <c r="U22" i="28"/>
  <c r="U23" i="28"/>
  <c r="U24" i="28"/>
  <c r="U25" i="28"/>
  <c r="U26" i="28"/>
  <c r="U27" i="28"/>
  <c r="U28" i="28"/>
  <c r="U29" i="28"/>
  <c r="U30" i="28"/>
  <c r="U31" i="28"/>
  <c r="U32" i="28"/>
  <c r="U33" i="28"/>
  <c r="U34" i="28"/>
  <c r="U35" i="28"/>
  <c r="U36" i="28"/>
  <c r="U37" i="28"/>
  <c r="U38" i="28"/>
  <c r="U39" i="28"/>
  <c r="U40" i="28"/>
  <c r="U41" i="28"/>
  <c r="U42" i="28"/>
  <c r="U43" i="28"/>
  <c r="U44" i="28"/>
  <c r="U45" i="28"/>
  <c r="U46" i="28"/>
  <c r="U47" i="28"/>
  <c r="U48" i="28"/>
  <c r="U49" i="28"/>
  <c r="U50" i="28"/>
  <c r="U51" i="28"/>
  <c r="U52" i="28"/>
  <c r="U53" i="28"/>
  <c r="U54" i="28"/>
  <c r="U55" i="28"/>
  <c r="U56" i="28"/>
  <c r="U57" i="28"/>
  <c r="U58" i="28"/>
  <c r="U59" i="28"/>
  <c r="U60" i="28"/>
  <c r="U61" i="28"/>
  <c r="U62" i="28"/>
  <c r="U63" i="28"/>
  <c r="U64" i="28"/>
  <c r="U65" i="28"/>
  <c r="U66" i="28"/>
  <c r="U67" i="28"/>
  <c r="U68" i="28"/>
  <c r="U69" i="28"/>
  <c r="U70" i="28"/>
  <c r="U71" i="28"/>
  <c r="U72" i="28"/>
  <c r="U73" i="28"/>
  <c r="U74" i="28"/>
  <c r="U75" i="28"/>
  <c r="U76" i="28"/>
  <c r="U77" i="28"/>
  <c r="U78" i="28"/>
  <c r="U79" i="28"/>
  <c r="U80" i="28"/>
  <c r="U81" i="28"/>
  <c r="U82" i="28"/>
  <c r="U83" i="28"/>
  <c r="U84" i="28"/>
  <c r="U85" i="28"/>
  <c r="U86" i="28"/>
  <c r="U87" i="28"/>
  <c r="U88" i="28"/>
  <c r="U89" i="28"/>
  <c r="U90" i="28"/>
  <c r="U91" i="28"/>
  <c r="U92" i="28"/>
  <c r="U93" i="28"/>
  <c r="U94" i="28"/>
  <c r="U95" i="28"/>
  <c r="U96" i="28"/>
  <c r="U97" i="28"/>
  <c r="U98" i="28"/>
  <c r="U99" i="28"/>
  <c r="U100" i="28"/>
  <c r="U101" i="28"/>
  <c r="U102" i="28"/>
  <c r="U103" i="28"/>
  <c r="U104" i="28"/>
  <c r="U105" i="28"/>
  <c r="U106" i="28"/>
  <c r="U107" i="28"/>
  <c r="U108" i="28"/>
  <c r="U109" i="28"/>
  <c r="U110" i="28"/>
  <c r="U111" i="28"/>
  <c r="U112" i="28"/>
  <c r="U113" i="28"/>
  <c r="U114" i="28"/>
  <c r="U115" i="28"/>
  <c r="U116" i="28"/>
  <c r="U117" i="28"/>
  <c r="U118" i="28"/>
  <c r="U119" i="28"/>
  <c r="U120" i="28"/>
  <c r="U121" i="28"/>
  <c r="U122" i="28"/>
  <c r="U123" i="28"/>
  <c r="U124" i="28"/>
  <c r="U125" i="28"/>
  <c r="U4" i="28"/>
  <c r="S5" i="28"/>
  <c r="S6" i="28"/>
  <c r="S7" i="28"/>
  <c r="S8" i="28"/>
  <c r="S9" i="28"/>
  <c r="S10" i="28"/>
  <c r="S11" i="28"/>
  <c r="S12" i="28"/>
  <c r="S13" i="28"/>
  <c r="S14" i="28"/>
  <c r="S15" i="28"/>
  <c r="S16" i="28"/>
  <c r="S17" i="28"/>
  <c r="S18" i="28"/>
  <c r="S19" i="28"/>
  <c r="S20" i="28"/>
  <c r="S21" i="28"/>
  <c r="S22" i="28"/>
  <c r="S23" i="28"/>
  <c r="S24" i="28"/>
  <c r="S25" i="28"/>
  <c r="S26" i="28"/>
  <c r="S27" i="28"/>
  <c r="S28" i="28"/>
  <c r="S29" i="28"/>
  <c r="S30" i="28"/>
  <c r="S31" i="28"/>
  <c r="S32" i="28"/>
  <c r="S33" i="28"/>
  <c r="S34" i="28"/>
  <c r="S35" i="28"/>
  <c r="S36" i="28"/>
  <c r="S37" i="28"/>
  <c r="S38" i="28"/>
  <c r="S39" i="28"/>
  <c r="S40" i="28"/>
  <c r="S41" i="28"/>
  <c r="S42" i="28"/>
  <c r="S43" i="28"/>
  <c r="S44" i="28"/>
  <c r="S45" i="28"/>
  <c r="S46" i="28"/>
  <c r="S47" i="28"/>
  <c r="S48" i="28"/>
  <c r="S49" i="28"/>
  <c r="S50" i="28"/>
  <c r="S51" i="28"/>
  <c r="S52" i="28"/>
  <c r="S53" i="28"/>
  <c r="S54" i="28"/>
  <c r="S55" i="28"/>
  <c r="S56" i="28"/>
  <c r="S57" i="28"/>
  <c r="S58" i="28"/>
  <c r="S59" i="28"/>
  <c r="S60" i="28"/>
  <c r="S61" i="28"/>
  <c r="S62" i="28"/>
  <c r="S63" i="28"/>
  <c r="S64" i="28"/>
  <c r="S65" i="28"/>
  <c r="S66" i="28"/>
  <c r="S67" i="28"/>
  <c r="S68" i="28"/>
  <c r="S69" i="28"/>
  <c r="S70" i="28"/>
  <c r="S71" i="28"/>
  <c r="S72" i="28"/>
  <c r="S73" i="28"/>
  <c r="S74" i="28"/>
  <c r="S75" i="28"/>
  <c r="S76" i="28"/>
  <c r="S77" i="28"/>
  <c r="S78" i="28"/>
  <c r="S79" i="28"/>
  <c r="S80" i="28"/>
  <c r="S81" i="28"/>
  <c r="S82" i="28"/>
  <c r="S83" i="28"/>
  <c r="S84" i="28"/>
  <c r="S85" i="28"/>
  <c r="S86" i="28"/>
  <c r="S87" i="28"/>
  <c r="S88" i="28"/>
  <c r="S89" i="28"/>
  <c r="S90" i="28"/>
  <c r="S91" i="28"/>
  <c r="S92" i="28"/>
  <c r="S93" i="28"/>
  <c r="S94" i="28"/>
  <c r="S95" i="28"/>
  <c r="S96" i="28"/>
  <c r="S97" i="28"/>
  <c r="S98" i="28"/>
  <c r="S99" i="28"/>
  <c r="S100" i="28"/>
  <c r="S101" i="28"/>
  <c r="S102" i="28"/>
  <c r="S103" i="28"/>
  <c r="S104" i="28"/>
  <c r="S105" i="28"/>
  <c r="S106" i="28"/>
  <c r="S107" i="28"/>
  <c r="S108" i="28"/>
  <c r="S109" i="28"/>
  <c r="S110" i="28"/>
  <c r="S111" i="28"/>
  <c r="S112" i="28"/>
  <c r="S113" i="28"/>
  <c r="S114" i="28"/>
  <c r="S115" i="28"/>
  <c r="S116" i="28"/>
  <c r="S117" i="28"/>
  <c r="S118" i="28"/>
  <c r="S119" i="28"/>
  <c r="S120" i="28"/>
  <c r="S121" i="28"/>
  <c r="S122" i="28"/>
  <c r="S123" i="28"/>
  <c r="S124" i="28"/>
  <c r="S125" i="28"/>
  <c r="S4" i="28"/>
  <c r="Q5" i="28"/>
  <c r="Q6" i="28"/>
  <c r="Q7" i="28"/>
  <c r="Q8" i="28"/>
  <c r="Q9" i="28"/>
  <c r="Q10" i="28"/>
  <c r="Q11" i="28"/>
  <c r="Q12" i="28"/>
  <c r="Q13" i="28"/>
  <c r="Q14" i="28"/>
  <c r="Q15" i="28"/>
  <c r="Q16" i="28"/>
  <c r="Q17" i="28"/>
  <c r="Q18" i="28"/>
  <c r="Q19" i="28"/>
  <c r="Q20" i="28"/>
  <c r="Q21" i="28"/>
  <c r="Q22" i="28"/>
  <c r="Q23" i="28"/>
  <c r="Q24" i="28"/>
  <c r="Q25" i="28"/>
  <c r="Q26" i="28"/>
  <c r="Q27" i="28"/>
  <c r="Q28" i="28"/>
  <c r="Q29" i="28"/>
  <c r="Q30" i="28"/>
  <c r="Q31" i="28"/>
  <c r="Q32" i="28"/>
  <c r="Q33" i="28"/>
  <c r="Q34" i="28"/>
  <c r="Q35" i="28"/>
  <c r="Q36" i="28"/>
  <c r="Q37" i="28"/>
  <c r="Q38" i="28"/>
  <c r="Q39" i="28"/>
  <c r="Q40" i="28"/>
  <c r="Q41" i="28"/>
  <c r="Q42" i="28"/>
  <c r="Q43" i="28"/>
  <c r="Q44" i="28"/>
  <c r="Q45" i="28"/>
  <c r="Q46" i="28"/>
  <c r="Q47" i="28"/>
  <c r="Q48" i="28"/>
  <c r="Q49" i="28"/>
  <c r="Q50" i="28"/>
  <c r="Q51" i="28"/>
  <c r="Q52" i="28"/>
  <c r="Q53" i="28"/>
  <c r="Q54" i="28"/>
  <c r="Q55" i="28"/>
  <c r="Q56" i="28"/>
  <c r="Q57" i="28"/>
  <c r="Q58" i="28"/>
  <c r="Q59" i="28"/>
  <c r="Q60" i="28"/>
  <c r="Q61" i="28"/>
  <c r="Q62" i="28"/>
  <c r="Q63" i="28"/>
  <c r="Q64" i="28"/>
  <c r="Q65" i="28"/>
  <c r="Q66" i="28"/>
  <c r="Q67" i="28"/>
  <c r="Q68" i="28"/>
  <c r="Q69" i="28"/>
  <c r="Q70" i="28"/>
  <c r="Q71" i="28"/>
  <c r="Q72" i="28"/>
  <c r="Q73" i="28"/>
  <c r="Q74" i="28"/>
  <c r="Q75" i="28"/>
  <c r="Q76" i="28"/>
  <c r="Q77" i="28"/>
  <c r="Q78" i="28"/>
  <c r="Q79" i="28"/>
  <c r="Q80" i="28"/>
  <c r="Q81" i="28"/>
  <c r="Q82" i="28"/>
  <c r="Q83" i="28"/>
  <c r="Q84" i="28"/>
  <c r="Q85" i="28"/>
  <c r="Q86" i="28"/>
  <c r="Q87" i="28"/>
  <c r="Q88" i="28"/>
  <c r="Q89" i="28"/>
  <c r="Q90" i="28"/>
  <c r="Q91" i="28"/>
  <c r="Q92" i="28"/>
  <c r="Q93" i="28"/>
  <c r="Q94" i="28"/>
  <c r="Q95" i="28"/>
  <c r="Q96" i="28"/>
  <c r="Q97" i="28"/>
  <c r="Q98" i="28"/>
  <c r="Q99" i="28"/>
  <c r="Q100" i="28"/>
  <c r="Q101" i="28"/>
  <c r="Q102" i="28"/>
  <c r="Q103" i="28"/>
  <c r="Q104" i="28"/>
  <c r="Q105" i="28"/>
  <c r="Q106" i="28"/>
  <c r="Q107" i="28"/>
  <c r="Q108" i="28"/>
  <c r="Q109" i="28"/>
  <c r="Q110" i="28"/>
  <c r="Q111" i="28"/>
  <c r="Q112" i="28"/>
  <c r="Q113" i="28"/>
  <c r="Q114" i="28"/>
  <c r="Q115" i="28"/>
  <c r="Q116" i="28"/>
  <c r="Q117" i="28"/>
  <c r="Q118" i="28"/>
  <c r="Q119" i="28"/>
  <c r="Q120" i="28"/>
  <c r="Q121" i="28"/>
  <c r="Q122" i="28"/>
  <c r="Q123" i="28"/>
  <c r="Q124" i="28"/>
  <c r="Q125" i="28"/>
  <c r="Q4" i="28"/>
  <c r="O5" i="28"/>
  <c r="O6" i="28"/>
  <c r="O7" i="28"/>
  <c r="O8" i="28"/>
  <c r="O9" i="28"/>
  <c r="O10" i="28"/>
  <c r="O11" i="28"/>
  <c r="O12" i="28"/>
  <c r="O13" i="28"/>
  <c r="O14" i="28"/>
  <c r="O15" i="28"/>
  <c r="O16" i="28"/>
  <c r="O17" i="28"/>
  <c r="O18" i="28"/>
  <c r="O19" i="28"/>
  <c r="O20" i="28"/>
  <c r="O21" i="28"/>
  <c r="O22" i="28"/>
  <c r="O23" i="28"/>
  <c r="O24" i="28"/>
  <c r="O25" i="28"/>
  <c r="O26" i="28"/>
  <c r="O27" i="28"/>
  <c r="O28" i="28"/>
  <c r="O29" i="28"/>
  <c r="O30" i="28"/>
  <c r="O31" i="28"/>
  <c r="O32" i="28"/>
  <c r="O33" i="28"/>
  <c r="O34" i="28"/>
  <c r="O35" i="28"/>
  <c r="O36" i="28"/>
  <c r="O37" i="28"/>
  <c r="O38" i="28"/>
  <c r="O39" i="28"/>
  <c r="O40" i="28"/>
  <c r="O41" i="28"/>
  <c r="O42" i="28"/>
  <c r="O43" i="28"/>
  <c r="O44" i="28"/>
  <c r="O45" i="28"/>
  <c r="O46" i="28"/>
  <c r="O47" i="28"/>
  <c r="O48" i="28"/>
  <c r="O49" i="28"/>
  <c r="O50" i="28"/>
  <c r="O51" i="28"/>
  <c r="O52" i="28"/>
  <c r="O53" i="28"/>
  <c r="O54" i="28"/>
  <c r="O55" i="28"/>
  <c r="O56" i="28"/>
  <c r="O57" i="28"/>
  <c r="O58" i="28"/>
  <c r="O59" i="28"/>
  <c r="O60" i="28"/>
  <c r="O61" i="28"/>
  <c r="O62" i="28"/>
  <c r="O63" i="28"/>
  <c r="O64" i="28"/>
  <c r="O65" i="28"/>
  <c r="O66" i="28"/>
  <c r="O67" i="28"/>
  <c r="O68" i="28"/>
  <c r="O69" i="28"/>
  <c r="O70" i="28"/>
  <c r="O71" i="28"/>
  <c r="O72" i="28"/>
  <c r="O73" i="28"/>
  <c r="O74" i="28"/>
  <c r="O75" i="28"/>
  <c r="O76" i="28"/>
  <c r="O77" i="28"/>
  <c r="O78" i="28"/>
  <c r="O79" i="28"/>
  <c r="O80" i="28"/>
  <c r="O81" i="28"/>
  <c r="O82" i="28"/>
  <c r="O83" i="28"/>
  <c r="O84" i="28"/>
  <c r="O85" i="28"/>
  <c r="O86" i="28"/>
  <c r="O87" i="28"/>
  <c r="O88" i="28"/>
  <c r="O89" i="28"/>
  <c r="O90" i="28"/>
  <c r="O91" i="28"/>
  <c r="O92" i="28"/>
  <c r="O93" i="28"/>
  <c r="O94" i="28"/>
  <c r="O95" i="28"/>
  <c r="O96" i="28"/>
  <c r="O97" i="28"/>
  <c r="O98" i="28"/>
  <c r="O99" i="28"/>
  <c r="O100" i="28"/>
  <c r="O101" i="28"/>
  <c r="O102" i="28"/>
  <c r="O103" i="28"/>
  <c r="O104" i="28"/>
  <c r="O105" i="28"/>
  <c r="O106" i="28"/>
  <c r="O107" i="28"/>
  <c r="O108" i="28"/>
  <c r="O109" i="28"/>
  <c r="O110" i="28"/>
  <c r="O111" i="28"/>
  <c r="O112" i="28"/>
  <c r="O113" i="28"/>
  <c r="O114" i="28"/>
  <c r="O115" i="28"/>
  <c r="O116" i="28"/>
  <c r="O117" i="28"/>
  <c r="O118" i="28"/>
  <c r="O119" i="28"/>
  <c r="O120" i="28"/>
  <c r="O121" i="28"/>
  <c r="O122" i="28"/>
  <c r="O123" i="28"/>
  <c r="O124" i="28"/>
  <c r="O125" i="28"/>
  <c r="O4" i="28"/>
  <c r="M5" i="28"/>
  <c r="M6" i="28"/>
  <c r="M7" i="28"/>
  <c r="M8" i="28"/>
  <c r="M9" i="28"/>
  <c r="M10" i="28"/>
  <c r="M11" i="28"/>
  <c r="M12" i="28"/>
  <c r="M13" i="28"/>
  <c r="M14" i="28"/>
  <c r="M15" i="28"/>
  <c r="M16" i="28"/>
  <c r="M17" i="28"/>
  <c r="M18" i="28"/>
  <c r="M19" i="28"/>
  <c r="M20" i="28"/>
  <c r="M21" i="28"/>
  <c r="M22" i="28"/>
  <c r="M23" i="28"/>
  <c r="M24" i="28"/>
  <c r="M25" i="28"/>
  <c r="M26" i="28"/>
  <c r="M27" i="28"/>
  <c r="M28" i="28"/>
  <c r="M29" i="28"/>
  <c r="M30" i="28"/>
  <c r="M31" i="28"/>
  <c r="M32" i="28"/>
  <c r="M33" i="28"/>
  <c r="M34" i="28"/>
  <c r="M35" i="28"/>
  <c r="M36" i="28"/>
  <c r="M37" i="28"/>
  <c r="M38" i="28"/>
  <c r="M39" i="28"/>
  <c r="M40" i="28"/>
  <c r="M41" i="28"/>
  <c r="M42" i="28"/>
  <c r="M43" i="28"/>
  <c r="M44" i="28"/>
  <c r="M45" i="28"/>
  <c r="M46" i="28"/>
  <c r="M47" i="28"/>
  <c r="M48" i="28"/>
  <c r="M49" i="28"/>
  <c r="M50" i="28"/>
  <c r="M51" i="28"/>
  <c r="M52" i="28"/>
  <c r="M53" i="28"/>
  <c r="M54" i="28"/>
  <c r="M55" i="28"/>
  <c r="M56" i="28"/>
  <c r="M57" i="28"/>
  <c r="M58" i="28"/>
  <c r="M59" i="28"/>
  <c r="M60" i="28"/>
  <c r="M61" i="28"/>
  <c r="M62" i="28"/>
  <c r="M63" i="28"/>
  <c r="M64" i="28"/>
  <c r="M65" i="28"/>
  <c r="M66" i="28"/>
  <c r="M67" i="28"/>
  <c r="M68" i="28"/>
  <c r="M69" i="28"/>
  <c r="M70" i="28"/>
  <c r="M71" i="28"/>
  <c r="M72" i="28"/>
  <c r="M73" i="28"/>
  <c r="M74" i="28"/>
  <c r="M75" i="28"/>
  <c r="M76" i="28"/>
  <c r="M77" i="28"/>
  <c r="M78" i="28"/>
  <c r="M79" i="28"/>
  <c r="M80" i="28"/>
  <c r="M81" i="28"/>
  <c r="M82" i="28"/>
  <c r="M83" i="28"/>
  <c r="M84" i="28"/>
  <c r="M85" i="28"/>
  <c r="M86" i="28"/>
  <c r="M87" i="28"/>
  <c r="M88" i="28"/>
  <c r="M89" i="28"/>
  <c r="M90" i="28"/>
  <c r="M91" i="28"/>
  <c r="M92" i="28"/>
  <c r="M93" i="28"/>
  <c r="M94" i="28"/>
  <c r="M95" i="28"/>
  <c r="M96" i="28"/>
  <c r="M97" i="28"/>
  <c r="M98" i="28"/>
  <c r="M99" i="28"/>
  <c r="M100" i="28"/>
  <c r="M101" i="28"/>
  <c r="M102" i="28"/>
  <c r="M103" i="28"/>
  <c r="M104" i="28"/>
  <c r="M105" i="28"/>
  <c r="M106" i="28"/>
  <c r="M107" i="28"/>
  <c r="M108" i="28"/>
  <c r="M109" i="28"/>
  <c r="M110" i="28"/>
  <c r="M111" i="28"/>
  <c r="M112" i="28"/>
  <c r="M113" i="28"/>
  <c r="M114" i="28"/>
  <c r="M115" i="28"/>
  <c r="M116" i="28"/>
  <c r="M117" i="28"/>
  <c r="M118" i="28"/>
  <c r="M119" i="28"/>
  <c r="M120" i="28"/>
  <c r="M121" i="28"/>
  <c r="M122" i="28"/>
  <c r="M123" i="28"/>
  <c r="M124" i="28"/>
  <c r="M125" i="28"/>
  <c r="M4" i="28"/>
  <c r="K5" i="28"/>
  <c r="K6" i="28"/>
  <c r="K7" i="28"/>
  <c r="K8" i="28"/>
  <c r="K9" i="28"/>
  <c r="K10" i="28"/>
  <c r="K11" i="28"/>
  <c r="K12" i="28"/>
  <c r="K13" i="28"/>
  <c r="K14" i="28"/>
  <c r="K15" i="28"/>
  <c r="K16" i="28"/>
  <c r="K17" i="28"/>
  <c r="K18" i="28"/>
  <c r="K19" i="28"/>
  <c r="K20" i="28"/>
  <c r="K21" i="28"/>
  <c r="K22" i="28"/>
  <c r="K23" i="28"/>
  <c r="K24" i="28"/>
  <c r="K25" i="28"/>
  <c r="K26" i="28"/>
  <c r="K27" i="28"/>
  <c r="K28" i="28"/>
  <c r="K29" i="28"/>
  <c r="K30" i="28"/>
  <c r="K31" i="28"/>
  <c r="K32" i="28"/>
  <c r="K33" i="28"/>
  <c r="K34" i="28"/>
  <c r="K35" i="28"/>
  <c r="K36" i="28"/>
  <c r="K37" i="28"/>
  <c r="K38" i="28"/>
  <c r="K39" i="28"/>
  <c r="K40" i="28"/>
  <c r="K41" i="28"/>
  <c r="K42" i="28"/>
  <c r="K43" i="28"/>
  <c r="K44" i="28"/>
  <c r="K45" i="28"/>
  <c r="K46" i="28"/>
  <c r="K47" i="28"/>
  <c r="K48" i="28"/>
  <c r="K49" i="28"/>
  <c r="K50" i="28"/>
  <c r="K51" i="28"/>
  <c r="K52" i="28"/>
  <c r="K53" i="28"/>
  <c r="K54" i="28"/>
  <c r="K55" i="28"/>
  <c r="K56" i="28"/>
  <c r="K57" i="28"/>
  <c r="K58" i="28"/>
  <c r="K59" i="28"/>
  <c r="K60" i="28"/>
  <c r="K61" i="28"/>
  <c r="K62" i="28"/>
  <c r="K63" i="28"/>
  <c r="K64" i="28"/>
  <c r="K65" i="28"/>
  <c r="K66" i="28"/>
  <c r="K67" i="28"/>
  <c r="K68" i="28"/>
  <c r="K69" i="28"/>
  <c r="K70" i="28"/>
  <c r="K71" i="28"/>
  <c r="K72" i="28"/>
  <c r="K73" i="28"/>
  <c r="K74" i="28"/>
  <c r="K75" i="28"/>
  <c r="K76" i="28"/>
  <c r="K77" i="28"/>
  <c r="K78" i="28"/>
  <c r="K79" i="28"/>
  <c r="K80" i="28"/>
  <c r="K81" i="28"/>
  <c r="K82" i="28"/>
  <c r="K83" i="28"/>
  <c r="K84" i="28"/>
  <c r="K85" i="28"/>
  <c r="K86" i="28"/>
  <c r="K87" i="28"/>
  <c r="K88" i="28"/>
  <c r="K89" i="28"/>
  <c r="K90" i="28"/>
  <c r="K91" i="28"/>
  <c r="K92" i="28"/>
  <c r="K93" i="28"/>
  <c r="K94" i="28"/>
  <c r="K95" i="28"/>
  <c r="K96" i="28"/>
  <c r="K97" i="28"/>
  <c r="K98" i="28"/>
  <c r="K99" i="28"/>
  <c r="K100" i="28"/>
  <c r="K101" i="28"/>
  <c r="K102" i="28"/>
  <c r="K103" i="28"/>
  <c r="K104" i="28"/>
  <c r="K105" i="28"/>
  <c r="K106" i="28"/>
  <c r="K107" i="28"/>
  <c r="K108" i="28"/>
  <c r="K109" i="28"/>
  <c r="K110" i="28"/>
  <c r="K111" i="28"/>
  <c r="K112" i="28"/>
  <c r="K113" i="28"/>
  <c r="K114" i="28"/>
  <c r="K115" i="28"/>
  <c r="K116" i="28"/>
  <c r="K117" i="28"/>
  <c r="K118" i="28"/>
  <c r="K119" i="28"/>
  <c r="K120" i="28"/>
  <c r="K121" i="28"/>
  <c r="K122" i="28"/>
  <c r="K123" i="28"/>
  <c r="K124" i="28"/>
  <c r="K125" i="28"/>
  <c r="K4" i="28"/>
  <c r="I5" i="28"/>
  <c r="I6" i="28"/>
  <c r="I7" i="28"/>
  <c r="I8" i="28"/>
  <c r="I9" i="28"/>
  <c r="I10" i="28"/>
  <c r="I11" i="28"/>
  <c r="I12" i="28"/>
  <c r="I13" i="28"/>
  <c r="I14" i="28"/>
  <c r="I15" i="28"/>
  <c r="I16" i="28"/>
  <c r="I17" i="28"/>
  <c r="I18" i="28"/>
  <c r="I19" i="28"/>
  <c r="I20" i="28"/>
  <c r="I21" i="28"/>
  <c r="I22" i="28"/>
  <c r="I23" i="28"/>
  <c r="I24" i="28"/>
  <c r="I25" i="28"/>
  <c r="I26" i="28"/>
  <c r="I27" i="28"/>
  <c r="I28" i="28"/>
  <c r="I29" i="28"/>
  <c r="I30" i="28"/>
  <c r="I31" i="28"/>
  <c r="I32" i="28"/>
  <c r="I33" i="28"/>
  <c r="I34" i="28"/>
  <c r="I35" i="28"/>
  <c r="I36" i="28"/>
  <c r="I37" i="28"/>
  <c r="I38" i="28"/>
  <c r="I39" i="28"/>
  <c r="I40" i="28"/>
  <c r="I41" i="28"/>
  <c r="I42" i="28"/>
  <c r="I43" i="28"/>
  <c r="I44" i="28"/>
  <c r="I45" i="28"/>
  <c r="I46" i="28"/>
  <c r="I47" i="28"/>
  <c r="I48" i="28"/>
  <c r="I49" i="28"/>
  <c r="I50" i="28"/>
  <c r="I51" i="28"/>
  <c r="I52" i="28"/>
  <c r="I53" i="28"/>
  <c r="I54" i="28"/>
  <c r="I55" i="28"/>
  <c r="I56" i="28"/>
  <c r="I57" i="28"/>
  <c r="I58" i="28"/>
  <c r="I59" i="28"/>
  <c r="I60" i="28"/>
  <c r="I61" i="28"/>
  <c r="I62" i="28"/>
  <c r="I63" i="28"/>
  <c r="I64" i="28"/>
  <c r="I65" i="28"/>
  <c r="I66" i="28"/>
  <c r="I67" i="28"/>
  <c r="I68" i="28"/>
  <c r="I69" i="28"/>
  <c r="I70" i="28"/>
  <c r="I71" i="28"/>
  <c r="I72" i="28"/>
  <c r="I73" i="28"/>
  <c r="I74" i="28"/>
  <c r="I75" i="28"/>
  <c r="I76" i="28"/>
  <c r="I77" i="28"/>
  <c r="I78" i="28"/>
  <c r="I79" i="28"/>
  <c r="I80" i="28"/>
  <c r="I81" i="28"/>
  <c r="I82" i="28"/>
  <c r="I83" i="28"/>
  <c r="I84" i="28"/>
  <c r="I85" i="28"/>
  <c r="I86" i="28"/>
  <c r="I87" i="28"/>
  <c r="I88" i="28"/>
  <c r="I89" i="28"/>
  <c r="I90" i="28"/>
  <c r="I91" i="28"/>
  <c r="I92" i="28"/>
  <c r="I93" i="28"/>
  <c r="I94" i="28"/>
  <c r="I95" i="28"/>
  <c r="I96" i="28"/>
  <c r="I97" i="28"/>
  <c r="I98" i="28"/>
  <c r="I99" i="28"/>
  <c r="I100" i="28"/>
  <c r="I101" i="28"/>
  <c r="I102" i="28"/>
  <c r="I103" i="28"/>
  <c r="I104" i="28"/>
  <c r="I105" i="28"/>
  <c r="I106" i="28"/>
  <c r="I107" i="28"/>
  <c r="I108" i="28"/>
  <c r="I109" i="28"/>
  <c r="I110" i="28"/>
  <c r="I111" i="28"/>
  <c r="I112" i="28"/>
  <c r="I113" i="28"/>
  <c r="I114" i="28"/>
  <c r="I115" i="28"/>
  <c r="I116" i="28"/>
  <c r="I117" i="28"/>
  <c r="I118" i="28"/>
  <c r="I119" i="28"/>
  <c r="I120" i="28"/>
  <c r="I121" i="28"/>
  <c r="I122" i="28"/>
  <c r="I123" i="28"/>
  <c r="I124" i="28"/>
  <c r="I125" i="28"/>
  <c r="I4" i="28"/>
  <c r="G5" i="28"/>
  <c r="G6" i="28"/>
  <c r="G7" i="28"/>
  <c r="G8" i="28"/>
  <c r="G9" i="28"/>
  <c r="G10" i="28"/>
  <c r="G11" i="28"/>
  <c r="G12" i="28"/>
  <c r="G13" i="28"/>
  <c r="G14" i="28"/>
  <c r="G15" i="28"/>
  <c r="G16" i="28"/>
  <c r="G17" i="28"/>
  <c r="G18" i="28"/>
  <c r="G19" i="28"/>
  <c r="G20" i="28"/>
  <c r="G21" i="28"/>
  <c r="G22" i="28"/>
  <c r="G23" i="28"/>
  <c r="G24" i="28"/>
  <c r="G25" i="28"/>
  <c r="G26" i="28"/>
  <c r="G27" i="28"/>
  <c r="G28" i="28"/>
  <c r="G29" i="28"/>
  <c r="G30" i="28"/>
  <c r="G31" i="28"/>
  <c r="G32" i="28"/>
  <c r="G33" i="28"/>
  <c r="G34" i="28"/>
  <c r="G35" i="28"/>
  <c r="G36" i="28"/>
  <c r="G37" i="28"/>
  <c r="G38" i="28"/>
  <c r="G39" i="28"/>
  <c r="G40" i="28"/>
  <c r="G41" i="28"/>
  <c r="G42" i="28"/>
  <c r="G43" i="28"/>
  <c r="G44" i="28"/>
  <c r="G45" i="28"/>
  <c r="G46" i="28"/>
  <c r="G47" i="28"/>
  <c r="G48" i="28"/>
  <c r="G49" i="28"/>
  <c r="G50" i="28"/>
  <c r="G51" i="28"/>
  <c r="G52" i="28"/>
  <c r="G53" i="28"/>
  <c r="G54" i="28"/>
  <c r="G55" i="28"/>
  <c r="G56" i="28"/>
  <c r="G57" i="28"/>
  <c r="G58" i="28"/>
  <c r="G59" i="28"/>
  <c r="G60" i="28"/>
  <c r="G61" i="28"/>
  <c r="G62" i="28"/>
  <c r="G63" i="28"/>
  <c r="G64" i="28"/>
  <c r="G65" i="28"/>
  <c r="G66" i="28"/>
  <c r="G67" i="28"/>
  <c r="G68" i="28"/>
  <c r="G69" i="28"/>
  <c r="G70" i="28"/>
  <c r="G71" i="28"/>
  <c r="G72" i="28"/>
  <c r="G73" i="28"/>
  <c r="G74" i="28"/>
  <c r="G75" i="28"/>
  <c r="G76" i="28"/>
  <c r="G77" i="28"/>
  <c r="G78" i="28"/>
  <c r="G79" i="28"/>
  <c r="G80" i="28"/>
  <c r="G81" i="28"/>
  <c r="G82" i="28"/>
  <c r="G83" i="28"/>
  <c r="G84" i="28"/>
  <c r="G85" i="28"/>
  <c r="G86" i="28"/>
  <c r="G87" i="28"/>
  <c r="G88" i="28"/>
  <c r="G89" i="28"/>
  <c r="G90" i="28"/>
  <c r="G91" i="28"/>
  <c r="G92" i="28"/>
  <c r="G93" i="28"/>
  <c r="G94" i="28"/>
  <c r="G95" i="28"/>
  <c r="G96" i="28"/>
  <c r="G97" i="28"/>
  <c r="G98" i="28"/>
  <c r="G99" i="28"/>
  <c r="G100" i="28"/>
  <c r="G101" i="28"/>
  <c r="G102" i="28"/>
  <c r="G103" i="28"/>
  <c r="G104" i="28"/>
  <c r="G105" i="28"/>
  <c r="G106" i="28"/>
  <c r="G107" i="28"/>
  <c r="G108" i="28"/>
  <c r="G109" i="28"/>
  <c r="G110" i="28"/>
  <c r="G111" i="28"/>
  <c r="G112" i="28"/>
  <c r="G113" i="28"/>
  <c r="G114" i="28"/>
  <c r="G115" i="28"/>
  <c r="G116" i="28"/>
  <c r="G117" i="28"/>
  <c r="G118" i="28"/>
  <c r="G119" i="28"/>
  <c r="G120" i="28"/>
  <c r="G121" i="28"/>
  <c r="G122" i="28"/>
  <c r="G123" i="28"/>
  <c r="G124" i="28"/>
  <c r="G125" i="28"/>
  <c r="G4" i="28"/>
  <c r="E5" i="28"/>
  <c r="E6" i="28"/>
  <c r="E7" i="28"/>
  <c r="E8" i="28"/>
  <c r="E9" i="28"/>
  <c r="E10" i="28"/>
  <c r="E11" i="28"/>
  <c r="E12" i="28"/>
  <c r="E13" i="28"/>
  <c r="E14" i="28"/>
  <c r="E15" i="28"/>
  <c r="E16" i="28"/>
  <c r="E17" i="28"/>
  <c r="E18" i="28"/>
  <c r="E19" i="28"/>
  <c r="E20" i="28"/>
  <c r="E21" i="28"/>
  <c r="E22" i="28"/>
  <c r="E23" i="28"/>
  <c r="E24" i="28"/>
  <c r="E25" i="28"/>
  <c r="E26" i="28"/>
  <c r="E27" i="28"/>
  <c r="E28" i="28"/>
  <c r="E29" i="28"/>
  <c r="E30" i="28"/>
  <c r="E31" i="28"/>
  <c r="E32" i="28"/>
  <c r="E33" i="28"/>
  <c r="E34" i="28"/>
  <c r="E35" i="28"/>
  <c r="E36" i="28"/>
  <c r="E37" i="28"/>
  <c r="E38" i="28"/>
  <c r="E39" i="28"/>
  <c r="E40" i="28"/>
  <c r="E41" i="28"/>
  <c r="E42" i="28"/>
  <c r="E43" i="28"/>
  <c r="E44" i="28"/>
  <c r="E45" i="28"/>
  <c r="E46" i="28"/>
  <c r="E47" i="28"/>
  <c r="E48" i="28"/>
  <c r="E49" i="28"/>
  <c r="E50" i="28"/>
  <c r="E51" i="28"/>
  <c r="E52" i="28"/>
  <c r="E53" i="28"/>
  <c r="E54" i="28"/>
  <c r="E55" i="28"/>
  <c r="E56" i="28"/>
  <c r="E57" i="28"/>
  <c r="E58" i="28"/>
  <c r="E59" i="28"/>
  <c r="E60" i="28"/>
  <c r="E61" i="28"/>
  <c r="E62" i="28"/>
  <c r="E63" i="28"/>
  <c r="E64" i="28"/>
  <c r="E65" i="28"/>
  <c r="E66" i="28"/>
  <c r="E67" i="28"/>
  <c r="E68" i="28"/>
  <c r="E69" i="28"/>
  <c r="E70" i="28"/>
  <c r="E71" i="28"/>
  <c r="E72" i="28"/>
  <c r="E73" i="28"/>
  <c r="E74" i="28"/>
  <c r="E75" i="28"/>
  <c r="E76" i="28"/>
  <c r="E77" i="28"/>
  <c r="E78" i="28"/>
  <c r="E79" i="28"/>
  <c r="E80" i="28"/>
  <c r="E81" i="28"/>
  <c r="E82" i="28"/>
  <c r="E83" i="28"/>
  <c r="E84" i="28"/>
  <c r="E85" i="28"/>
  <c r="E86" i="28"/>
  <c r="E87" i="28"/>
  <c r="E88" i="28"/>
  <c r="E89" i="28"/>
  <c r="E90" i="28"/>
  <c r="E91" i="28"/>
  <c r="E92" i="28"/>
  <c r="E93" i="28"/>
  <c r="E94" i="28"/>
  <c r="E95" i="28"/>
  <c r="E96" i="28"/>
  <c r="E97" i="28"/>
  <c r="E98" i="28"/>
  <c r="E99" i="28"/>
  <c r="E100" i="28"/>
  <c r="E101" i="28"/>
  <c r="E102" i="28"/>
  <c r="E103" i="28"/>
  <c r="E104" i="28"/>
  <c r="E105" i="28"/>
  <c r="E106" i="28"/>
  <c r="E107" i="28"/>
  <c r="E108" i="28"/>
  <c r="E109" i="28"/>
  <c r="E110" i="28"/>
  <c r="E111" i="28"/>
  <c r="E112" i="28"/>
  <c r="E113" i="28"/>
  <c r="E114" i="28"/>
  <c r="E115" i="28"/>
  <c r="E116" i="28"/>
  <c r="E117" i="28"/>
  <c r="E118" i="28"/>
  <c r="E119" i="28"/>
  <c r="E120" i="28"/>
  <c r="E121" i="28"/>
  <c r="E122" i="28"/>
  <c r="E123" i="28"/>
  <c r="E124" i="28"/>
  <c r="E125" i="28"/>
  <c r="E4" i="28"/>
  <c r="BE134" i="26"/>
  <c r="BE135" i="26"/>
  <c r="BE136" i="26"/>
  <c r="BE137" i="26"/>
  <c r="BE138" i="26"/>
  <c r="BE139" i="26"/>
  <c r="BE140" i="26"/>
  <c r="BE141" i="26"/>
  <c r="BE142" i="26"/>
  <c r="BE143" i="26"/>
  <c r="BE144" i="26"/>
  <c r="BE145" i="26"/>
  <c r="BE146" i="26"/>
  <c r="BE147" i="26"/>
  <c r="BE148" i="26"/>
  <c r="BE149" i="26"/>
  <c r="BE150" i="26"/>
  <c r="BE151" i="26"/>
  <c r="BE152" i="26"/>
  <c r="BE153" i="26"/>
  <c r="BE154" i="26"/>
  <c r="BE155" i="26"/>
  <c r="BE156" i="26"/>
  <c r="BE157" i="26"/>
  <c r="BE158" i="26"/>
  <c r="BE159" i="26"/>
  <c r="BE160" i="26"/>
  <c r="BE161" i="26"/>
  <c r="BE162" i="26"/>
  <c r="BE163" i="26"/>
  <c r="BE164" i="26"/>
  <c r="BE165" i="26"/>
  <c r="BE166" i="26"/>
  <c r="BE167" i="26"/>
  <c r="BE168" i="26"/>
  <c r="BE169" i="26"/>
  <c r="BE170" i="26"/>
  <c r="BE171" i="26"/>
  <c r="BE172" i="26"/>
  <c r="BE173" i="26"/>
  <c r="BE174" i="26"/>
  <c r="BE175" i="26"/>
  <c r="BE176" i="26"/>
  <c r="BE177" i="26"/>
  <c r="BE178" i="26"/>
  <c r="BE179" i="26"/>
  <c r="BE180" i="26"/>
  <c r="BE181" i="26"/>
  <c r="BE182" i="26"/>
  <c r="BE183" i="26"/>
  <c r="BE184" i="26"/>
  <c r="BE185" i="26"/>
  <c r="BE186" i="26"/>
  <c r="BE187" i="26"/>
  <c r="BE188" i="26"/>
  <c r="BE189" i="26"/>
  <c r="BE190" i="26"/>
  <c r="BE191" i="26"/>
  <c r="BE192" i="26"/>
  <c r="BE193" i="26"/>
  <c r="BE194" i="26"/>
  <c r="BE195" i="26"/>
  <c r="BE196" i="26"/>
  <c r="BE197" i="26"/>
  <c r="BE198" i="26"/>
  <c r="BE199" i="26"/>
  <c r="BE200" i="26"/>
  <c r="BE201" i="26"/>
  <c r="BE202" i="26"/>
  <c r="BE203" i="26"/>
  <c r="BE204" i="26"/>
  <c r="BE205" i="26"/>
  <c r="BE206" i="26"/>
  <c r="BE207" i="26"/>
  <c r="BE208" i="26"/>
  <c r="BE209" i="26"/>
  <c r="BE210" i="26"/>
  <c r="BE211" i="26"/>
  <c r="BE212" i="26"/>
  <c r="BE213" i="26"/>
  <c r="BE214" i="26"/>
  <c r="BE215" i="26"/>
  <c r="BE216" i="26"/>
  <c r="BE217" i="26"/>
  <c r="BE218" i="26"/>
  <c r="BE219" i="26"/>
  <c r="BE220" i="26"/>
  <c r="BE221" i="26"/>
  <c r="BE222" i="26"/>
  <c r="BE223" i="26"/>
  <c r="BE224" i="26"/>
  <c r="BE225" i="26"/>
  <c r="BE226" i="26"/>
  <c r="BE227" i="26"/>
  <c r="BE228" i="26"/>
  <c r="BE229" i="26"/>
  <c r="BE230" i="26"/>
  <c r="BE231" i="26"/>
  <c r="BE232" i="26"/>
  <c r="BE233" i="26"/>
  <c r="BE234" i="26"/>
  <c r="BE235" i="26"/>
  <c r="BE236" i="26"/>
  <c r="BE237" i="26"/>
  <c r="BE238" i="26"/>
  <c r="BE239" i="26"/>
  <c r="BE240" i="26"/>
  <c r="BE241" i="26"/>
  <c r="BE242" i="26"/>
  <c r="BE243" i="26"/>
  <c r="BE244" i="26"/>
  <c r="BE245" i="26"/>
  <c r="BE246" i="26"/>
  <c r="BE247" i="26"/>
  <c r="BE248" i="26"/>
  <c r="BE249" i="26"/>
  <c r="BE250" i="26"/>
  <c r="BE251" i="26"/>
  <c r="BE252" i="26"/>
  <c r="BE253" i="26"/>
  <c r="BE254" i="26"/>
  <c r="BE133" i="26"/>
  <c r="BC134" i="26"/>
  <c r="BC135" i="26"/>
  <c r="BC136" i="26"/>
  <c r="BC137" i="26"/>
  <c r="BC138" i="26"/>
  <c r="BC139" i="26"/>
  <c r="BC140" i="26"/>
  <c r="BC141" i="26"/>
  <c r="BC142" i="26"/>
  <c r="BC143" i="26"/>
  <c r="BC144" i="26"/>
  <c r="BC145" i="26"/>
  <c r="BC146" i="26"/>
  <c r="BC147" i="26"/>
  <c r="BC148" i="26"/>
  <c r="BC149" i="26"/>
  <c r="BC150" i="26"/>
  <c r="BC151" i="26"/>
  <c r="BC152" i="26"/>
  <c r="BC153" i="26"/>
  <c r="BC154" i="26"/>
  <c r="BC155" i="26"/>
  <c r="BC156" i="26"/>
  <c r="BC157" i="26"/>
  <c r="BC158" i="26"/>
  <c r="BC159" i="26"/>
  <c r="BC160" i="26"/>
  <c r="BC161" i="26"/>
  <c r="BC162" i="26"/>
  <c r="BC163" i="26"/>
  <c r="BC164" i="26"/>
  <c r="BC165" i="26"/>
  <c r="BC166" i="26"/>
  <c r="BC167" i="26"/>
  <c r="BC168" i="26"/>
  <c r="BC169" i="26"/>
  <c r="BC170" i="26"/>
  <c r="BC171" i="26"/>
  <c r="BC172" i="26"/>
  <c r="BC173" i="26"/>
  <c r="BC174" i="26"/>
  <c r="BC175" i="26"/>
  <c r="BC176" i="26"/>
  <c r="BC177" i="26"/>
  <c r="BC178" i="26"/>
  <c r="BC179" i="26"/>
  <c r="BC180" i="26"/>
  <c r="BC181" i="26"/>
  <c r="BC182" i="26"/>
  <c r="BC183" i="26"/>
  <c r="BC184" i="26"/>
  <c r="BC185" i="26"/>
  <c r="BC186" i="26"/>
  <c r="BC187" i="26"/>
  <c r="BC188" i="26"/>
  <c r="BC189" i="26"/>
  <c r="BC190" i="26"/>
  <c r="BC191" i="26"/>
  <c r="BC192" i="26"/>
  <c r="BC193" i="26"/>
  <c r="BC194" i="26"/>
  <c r="BC195" i="26"/>
  <c r="BC196" i="26"/>
  <c r="BC197" i="26"/>
  <c r="BC198" i="26"/>
  <c r="BC199" i="26"/>
  <c r="BC200" i="26"/>
  <c r="BC201" i="26"/>
  <c r="BC202" i="26"/>
  <c r="BC203" i="26"/>
  <c r="BC204" i="26"/>
  <c r="BC205" i="26"/>
  <c r="BC206" i="26"/>
  <c r="BC207" i="26"/>
  <c r="BC208" i="26"/>
  <c r="BC209" i="26"/>
  <c r="BC210" i="26"/>
  <c r="BC211" i="26"/>
  <c r="BC212" i="26"/>
  <c r="BC213" i="26"/>
  <c r="BC214" i="26"/>
  <c r="BC215" i="26"/>
  <c r="BC216" i="26"/>
  <c r="BC217" i="26"/>
  <c r="BC218" i="26"/>
  <c r="BC219" i="26"/>
  <c r="BC220" i="26"/>
  <c r="BC221" i="26"/>
  <c r="BC222" i="26"/>
  <c r="BC223" i="26"/>
  <c r="BC224" i="26"/>
  <c r="BC225" i="26"/>
  <c r="BC226" i="26"/>
  <c r="BC227" i="26"/>
  <c r="BC228" i="26"/>
  <c r="BC229" i="26"/>
  <c r="BC230" i="26"/>
  <c r="BC231" i="26"/>
  <c r="BC232" i="26"/>
  <c r="BC233" i="26"/>
  <c r="BC234" i="26"/>
  <c r="BC235" i="26"/>
  <c r="BC236" i="26"/>
  <c r="BC237" i="26"/>
  <c r="BC238" i="26"/>
  <c r="BC239" i="26"/>
  <c r="BC240" i="26"/>
  <c r="BC241" i="26"/>
  <c r="BC242" i="26"/>
  <c r="BC243" i="26"/>
  <c r="BC244" i="26"/>
  <c r="BC245" i="26"/>
  <c r="BC246" i="26"/>
  <c r="BC247" i="26"/>
  <c r="BC248" i="26"/>
  <c r="BC249" i="26"/>
  <c r="BC250" i="26"/>
  <c r="BC251" i="26"/>
  <c r="BC252" i="26"/>
  <c r="BC253" i="26"/>
  <c r="BC254" i="26"/>
  <c r="BC133" i="26"/>
  <c r="BA134" i="26"/>
  <c r="BA135" i="26"/>
  <c r="BA136" i="26"/>
  <c r="BA137" i="26"/>
  <c r="BA138" i="26"/>
  <c r="BA139" i="26"/>
  <c r="BA140" i="26"/>
  <c r="BA141" i="26"/>
  <c r="BA142" i="26"/>
  <c r="BA143" i="26"/>
  <c r="BA144" i="26"/>
  <c r="BA145" i="26"/>
  <c r="BA146" i="26"/>
  <c r="BA147" i="26"/>
  <c r="BA148" i="26"/>
  <c r="BA149" i="26"/>
  <c r="BA150" i="26"/>
  <c r="BA151" i="26"/>
  <c r="BA152" i="26"/>
  <c r="BA153" i="26"/>
  <c r="BA154" i="26"/>
  <c r="BA155" i="26"/>
  <c r="BA156" i="26"/>
  <c r="BA157" i="26"/>
  <c r="BA158" i="26"/>
  <c r="BA159" i="26"/>
  <c r="BA160" i="26"/>
  <c r="BA161" i="26"/>
  <c r="BA162" i="26"/>
  <c r="BA163" i="26"/>
  <c r="BA164" i="26"/>
  <c r="BA165" i="26"/>
  <c r="BA166" i="26"/>
  <c r="BA167" i="26"/>
  <c r="BA168" i="26"/>
  <c r="BA169" i="26"/>
  <c r="BA170" i="26"/>
  <c r="BA171" i="26"/>
  <c r="BA172" i="26"/>
  <c r="BA173" i="26"/>
  <c r="BA174" i="26"/>
  <c r="BA175" i="26"/>
  <c r="BA176" i="26"/>
  <c r="BA177" i="26"/>
  <c r="BA178" i="26"/>
  <c r="BA179" i="26"/>
  <c r="BA180" i="26"/>
  <c r="BA181" i="26"/>
  <c r="BA182" i="26"/>
  <c r="BA183" i="26"/>
  <c r="BA184" i="26"/>
  <c r="BA185" i="26"/>
  <c r="BA186" i="26"/>
  <c r="BA187" i="26"/>
  <c r="BA188" i="26"/>
  <c r="BA189" i="26"/>
  <c r="BA190" i="26"/>
  <c r="BA191" i="26"/>
  <c r="BA192" i="26"/>
  <c r="BA193" i="26"/>
  <c r="BA194" i="26"/>
  <c r="BA195" i="26"/>
  <c r="BA196" i="26"/>
  <c r="BA197" i="26"/>
  <c r="BA198" i="26"/>
  <c r="BA199" i="26"/>
  <c r="BA200" i="26"/>
  <c r="BA201" i="26"/>
  <c r="BA202" i="26"/>
  <c r="BA203" i="26"/>
  <c r="BA204" i="26"/>
  <c r="BA205" i="26"/>
  <c r="BA206" i="26"/>
  <c r="BA207" i="26"/>
  <c r="BA208" i="26"/>
  <c r="BA209" i="26"/>
  <c r="BA210" i="26"/>
  <c r="BA211" i="26"/>
  <c r="BA212" i="26"/>
  <c r="BA213" i="26"/>
  <c r="BA214" i="26"/>
  <c r="BA215" i="26"/>
  <c r="BA216" i="26"/>
  <c r="BA217" i="26"/>
  <c r="BA218" i="26"/>
  <c r="BA219" i="26"/>
  <c r="BA220" i="26"/>
  <c r="BA221" i="26"/>
  <c r="BA222" i="26"/>
  <c r="BA223" i="26"/>
  <c r="BA224" i="26"/>
  <c r="BA225" i="26"/>
  <c r="BA226" i="26"/>
  <c r="BA227" i="26"/>
  <c r="BA228" i="26"/>
  <c r="BA229" i="26"/>
  <c r="BA230" i="26"/>
  <c r="BA231" i="26"/>
  <c r="BA232" i="26"/>
  <c r="BA233" i="26"/>
  <c r="BA234" i="26"/>
  <c r="BA235" i="26"/>
  <c r="BA236" i="26"/>
  <c r="BA237" i="26"/>
  <c r="BA238" i="26"/>
  <c r="BA239" i="26"/>
  <c r="BA240" i="26"/>
  <c r="BA241" i="26"/>
  <c r="BA242" i="26"/>
  <c r="BA243" i="26"/>
  <c r="BA244" i="26"/>
  <c r="BA245" i="26"/>
  <c r="BA246" i="26"/>
  <c r="BA247" i="26"/>
  <c r="BA248" i="26"/>
  <c r="BA249" i="26"/>
  <c r="BA250" i="26"/>
  <c r="BA251" i="26"/>
  <c r="BA252" i="26"/>
  <c r="BA253" i="26"/>
  <c r="BA254" i="26"/>
  <c r="BA133" i="26"/>
  <c r="AY134" i="26"/>
  <c r="AY135" i="26"/>
  <c r="AY136" i="26"/>
  <c r="AY137" i="26"/>
  <c r="AY138" i="26"/>
  <c r="AY139" i="26"/>
  <c r="AY140" i="26"/>
  <c r="AY141" i="26"/>
  <c r="AY142" i="26"/>
  <c r="AY143" i="26"/>
  <c r="AY144" i="26"/>
  <c r="AY145" i="26"/>
  <c r="AY146" i="26"/>
  <c r="AY147" i="26"/>
  <c r="AY148" i="26"/>
  <c r="AY149" i="26"/>
  <c r="AY150" i="26"/>
  <c r="AY151" i="26"/>
  <c r="AY152" i="26"/>
  <c r="AY153" i="26"/>
  <c r="AY154" i="26"/>
  <c r="AY155" i="26"/>
  <c r="AY156" i="26"/>
  <c r="AY157" i="26"/>
  <c r="AY158" i="26"/>
  <c r="AY159" i="26"/>
  <c r="AY160" i="26"/>
  <c r="AY161" i="26"/>
  <c r="AY162" i="26"/>
  <c r="AY163" i="26"/>
  <c r="AY164" i="26"/>
  <c r="AY165" i="26"/>
  <c r="AY166" i="26"/>
  <c r="AY167" i="26"/>
  <c r="AY168" i="26"/>
  <c r="AY169" i="26"/>
  <c r="AY170" i="26"/>
  <c r="AY171" i="26"/>
  <c r="AY172" i="26"/>
  <c r="AY173" i="26"/>
  <c r="AY174" i="26"/>
  <c r="AY175" i="26"/>
  <c r="AY176" i="26"/>
  <c r="AY177" i="26"/>
  <c r="AY178" i="26"/>
  <c r="AY179" i="26"/>
  <c r="AY180" i="26"/>
  <c r="AY181" i="26"/>
  <c r="AY182" i="26"/>
  <c r="AY183" i="26"/>
  <c r="AY184" i="26"/>
  <c r="AY185" i="26"/>
  <c r="AY186" i="26"/>
  <c r="AY187" i="26"/>
  <c r="AY188" i="26"/>
  <c r="AY189" i="26"/>
  <c r="AY190" i="26"/>
  <c r="AY191" i="26"/>
  <c r="AY192" i="26"/>
  <c r="AY193" i="26"/>
  <c r="AY194" i="26"/>
  <c r="AY195" i="26"/>
  <c r="AY196" i="26"/>
  <c r="AY197" i="26"/>
  <c r="AY198" i="26"/>
  <c r="AY199" i="26"/>
  <c r="AY200" i="26"/>
  <c r="AY201" i="26"/>
  <c r="AY202" i="26"/>
  <c r="AY203" i="26"/>
  <c r="AY204" i="26"/>
  <c r="AY205" i="26"/>
  <c r="AY206" i="26"/>
  <c r="AY207" i="26"/>
  <c r="AY208" i="26"/>
  <c r="AY209" i="26"/>
  <c r="AY210" i="26"/>
  <c r="AY211" i="26"/>
  <c r="AY212" i="26"/>
  <c r="AY213" i="26"/>
  <c r="AY214" i="26"/>
  <c r="AY215" i="26"/>
  <c r="AY216" i="26"/>
  <c r="AY217" i="26"/>
  <c r="AY218" i="26"/>
  <c r="AY219" i="26"/>
  <c r="AY220" i="26"/>
  <c r="AY221" i="26"/>
  <c r="AY222" i="26"/>
  <c r="AY223" i="26"/>
  <c r="AY224" i="26"/>
  <c r="AY225" i="26"/>
  <c r="AY226" i="26"/>
  <c r="AY227" i="26"/>
  <c r="AY228" i="26"/>
  <c r="AY229" i="26"/>
  <c r="AY230" i="26"/>
  <c r="AY231" i="26"/>
  <c r="AY232" i="26"/>
  <c r="AY233" i="26"/>
  <c r="AY234" i="26"/>
  <c r="AY235" i="26"/>
  <c r="AY236" i="26"/>
  <c r="AY237" i="26"/>
  <c r="AY238" i="26"/>
  <c r="AY239" i="26"/>
  <c r="AY240" i="26"/>
  <c r="AY241" i="26"/>
  <c r="AY242" i="26"/>
  <c r="AY243" i="26"/>
  <c r="AY244" i="26"/>
  <c r="AY245" i="26"/>
  <c r="AY246" i="26"/>
  <c r="AY247" i="26"/>
  <c r="AY248" i="26"/>
  <c r="AY249" i="26"/>
  <c r="AY250" i="26"/>
  <c r="AY251" i="26"/>
  <c r="AY252" i="26"/>
  <c r="AY253" i="26"/>
  <c r="AY254" i="26"/>
  <c r="AY133" i="26"/>
  <c r="AW134" i="26"/>
  <c r="AW135" i="26"/>
  <c r="AW136" i="26"/>
  <c r="AW137" i="26"/>
  <c r="AW138" i="26"/>
  <c r="AW139" i="26"/>
  <c r="AW140" i="26"/>
  <c r="AW141" i="26"/>
  <c r="AW142" i="26"/>
  <c r="AW143" i="26"/>
  <c r="AW144" i="26"/>
  <c r="AW145" i="26"/>
  <c r="AW146" i="26"/>
  <c r="AW147" i="26"/>
  <c r="AW148" i="26"/>
  <c r="AW149" i="26"/>
  <c r="AW150" i="26"/>
  <c r="AW151" i="26"/>
  <c r="AW152" i="26"/>
  <c r="AW153" i="26"/>
  <c r="AW154" i="26"/>
  <c r="AW155" i="26"/>
  <c r="AW156" i="26"/>
  <c r="AW157" i="26"/>
  <c r="AW158" i="26"/>
  <c r="AW159" i="26"/>
  <c r="AW160" i="26"/>
  <c r="AW161" i="26"/>
  <c r="AW162" i="26"/>
  <c r="AW163" i="26"/>
  <c r="AW164" i="26"/>
  <c r="AW165" i="26"/>
  <c r="AW166" i="26"/>
  <c r="AW167" i="26"/>
  <c r="AW168" i="26"/>
  <c r="AW169" i="26"/>
  <c r="AW170" i="26"/>
  <c r="AW171" i="26"/>
  <c r="AW172" i="26"/>
  <c r="AW173" i="26"/>
  <c r="AW174" i="26"/>
  <c r="AW175" i="26"/>
  <c r="AW176" i="26"/>
  <c r="AW177" i="26"/>
  <c r="AW178" i="26"/>
  <c r="AW179" i="26"/>
  <c r="AW180" i="26"/>
  <c r="AW181" i="26"/>
  <c r="AW182" i="26"/>
  <c r="AW183" i="26"/>
  <c r="AW184" i="26"/>
  <c r="AW185" i="26"/>
  <c r="AW186" i="26"/>
  <c r="AW187" i="26"/>
  <c r="AW188" i="26"/>
  <c r="AW189" i="26"/>
  <c r="AW190" i="26"/>
  <c r="AW191" i="26"/>
  <c r="AW192" i="26"/>
  <c r="AW193" i="26"/>
  <c r="AW194" i="26"/>
  <c r="AW195" i="26"/>
  <c r="AW196" i="26"/>
  <c r="AW197" i="26"/>
  <c r="AW198" i="26"/>
  <c r="AW199" i="26"/>
  <c r="AW200" i="26"/>
  <c r="AW201" i="26"/>
  <c r="AW202" i="26"/>
  <c r="AW203" i="26"/>
  <c r="AW204" i="26"/>
  <c r="AW205" i="26"/>
  <c r="AW206" i="26"/>
  <c r="AW207" i="26"/>
  <c r="AW208" i="26"/>
  <c r="AW209" i="26"/>
  <c r="AW210" i="26"/>
  <c r="AW211" i="26"/>
  <c r="AW212" i="26"/>
  <c r="AW213" i="26"/>
  <c r="AW214" i="26"/>
  <c r="AW215" i="26"/>
  <c r="AW216" i="26"/>
  <c r="AW217" i="26"/>
  <c r="AW218" i="26"/>
  <c r="AW219" i="26"/>
  <c r="AW220" i="26"/>
  <c r="AW221" i="26"/>
  <c r="AW222" i="26"/>
  <c r="AW223" i="26"/>
  <c r="AW224" i="26"/>
  <c r="AW225" i="26"/>
  <c r="AW226" i="26"/>
  <c r="AW227" i="26"/>
  <c r="AW228" i="26"/>
  <c r="AW229" i="26"/>
  <c r="AW230" i="26"/>
  <c r="AW231" i="26"/>
  <c r="AW232" i="26"/>
  <c r="AW233" i="26"/>
  <c r="AW234" i="26"/>
  <c r="AW235" i="26"/>
  <c r="AW236" i="26"/>
  <c r="AW237" i="26"/>
  <c r="AW238" i="26"/>
  <c r="AW239" i="26"/>
  <c r="AW240" i="26"/>
  <c r="AW241" i="26"/>
  <c r="AW242" i="26"/>
  <c r="AW243" i="26"/>
  <c r="AW244" i="26"/>
  <c r="AW245" i="26"/>
  <c r="AW246" i="26"/>
  <c r="AW247" i="26"/>
  <c r="AW248" i="26"/>
  <c r="AW249" i="26"/>
  <c r="AW250" i="26"/>
  <c r="AW251" i="26"/>
  <c r="AW252" i="26"/>
  <c r="AW253" i="26"/>
  <c r="AW254" i="26"/>
  <c r="AW133" i="26"/>
  <c r="AU134" i="26"/>
  <c r="AU135" i="26"/>
  <c r="AU136" i="26"/>
  <c r="AU137" i="26"/>
  <c r="AU138" i="26"/>
  <c r="AU139" i="26"/>
  <c r="AU140" i="26"/>
  <c r="AU141" i="26"/>
  <c r="AU142" i="26"/>
  <c r="AU143" i="26"/>
  <c r="AU144" i="26"/>
  <c r="AU145" i="26"/>
  <c r="AU146" i="26"/>
  <c r="AU147" i="26"/>
  <c r="AU148" i="26"/>
  <c r="AU149" i="26"/>
  <c r="AU150" i="26"/>
  <c r="AU151" i="26"/>
  <c r="AU152" i="26"/>
  <c r="AU153" i="26"/>
  <c r="AU154" i="26"/>
  <c r="AU155" i="26"/>
  <c r="AU156" i="26"/>
  <c r="AU157" i="26"/>
  <c r="AU158" i="26"/>
  <c r="AU159" i="26"/>
  <c r="AU160" i="26"/>
  <c r="AU161" i="26"/>
  <c r="AU162" i="26"/>
  <c r="AU163" i="26"/>
  <c r="AU164" i="26"/>
  <c r="AU165" i="26"/>
  <c r="AU166" i="26"/>
  <c r="AU167" i="26"/>
  <c r="AU168" i="26"/>
  <c r="AU169" i="26"/>
  <c r="AU170" i="26"/>
  <c r="AU171" i="26"/>
  <c r="AU172" i="26"/>
  <c r="AU173" i="26"/>
  <c r="AU174" i="26"/>
  <c r="AU175" i="26"/>
  <c r="AU176" i="26"/>
  <c r="AU177" i="26"/>
  <c r="AU178" i="26"/>
  <c r="AU179" i="26"/>
  <c r="AU180" i="26"/>
  <c r="AU181" i="26"/>
  <c r="AU182" i="26"/>
  <c r="AU183" i="26"/>
  <c r="AU184" i="26"/>
  <c r="AU185" i="26"/>
  <c r="AU186" i="26"/>
  <c r="AU187" i="26"/>
  <c r="AU188" i="26"/>
  <c r="AU189" i="26"/>
  <c r="AU190" i="26"/>
  <c r="AU191" i="26"/>
  <c r="AU192" i="26"/>
  <c r="AU193" i="26"/>
  <c r="AU194" i="26"/>
  <c r="AU195" i="26"/>
  <c r="AU196" i="26"/>
  <c r="AU197" i="26"/>
  <c r="AU198" i="26"/>
  <c r="AU199" i="26"/>
  <c r="AU200" i="26"/>
  <c r="AU201" i="26"/>
  <c r="AU202" i="26"/>
  <c r="AU203" i="26"/>
  <c r="AU204" i="26"/>
  <c r="AU205" i="26"/>
  <c r="AU206" i="26"/>
  <c r="AU207" i="26"/>
  <c r="AU208" i="26"/>
  <c r="AU209" i="26"/>
  <c r="AU210" i="26"/>
  <c r="AU211" i="26"/>
  <c r="AU212" i="26"/>
  <c r="AU213" i="26"/>
  <c r="AU214" i="26"/>
  <c r="AU215" i="26"/>
  <c r="AU216" i="26"/>
  <c r="AU217" i="26"/>
  <c r="AU218" i="26"/>
  <c r="AU219" i="26"/>
  <c r="AU220" i="26"/>
  <c r="AU221" i="26"/>
  <c r="AU222" i="26"/>
  <c r="AU223" i="26"/>
  <c r="AU224" i="26"/>
  <c r="AU225" i="26"/>
  <c r="AU226" i="26"/>
  <c r="AU227" i="26"/>
  <c r="AU228" i="26"/>
  <c r="AU229" i="26"/>
  <c r="AU230" i="26"/>
  <c r="AU231" i="26"/>
  <c r="AU232" i="26"/>
  <c r="AU233" i="26"/>
  <c r="AU234" i="26"/>
  <c r="AU235" i="26"/>
  <c r="AU236" i="26"/>
  <c r="AU237" i="26"/>
  <c r="AU238" i="26"/>
  <c r="AU239" i="26"/>
  <c r="AU240" i="26"/>
  <c r="AU241" i="26"/>
  <c r="AU242" i="26"/>
  <c r="AU243" i="26"/>
  <c r="AU244" i="26"/>
  <c r="AU245" i="26"/>
  <c r="AU246" i="26"/>
  <c r="AU247" i="26"/>
  <c r="AU248" i="26"/>
  <c r="AU249" i="26"/>
  <c r="AU250" i="26"/>
  <c r="AU251" i="26"/>
  <c r="AU252" i="26"/>
  <c r="AU253" i="26"/>
  <c r="AU254" i="26"/>
  <c r="AU133" i="26"/>
  <c r="AS134" i="26"/>
  <c r="AS135" i="26"/>
  <c r="AS136" i="26"/>
  <c r="AS137" i="26"/>
  <c r="AS138" i="26"/>
  <c r="AS139" i="26"/>
  <c r="AS140" i="26"/>
  <c r="AS141" i="26"/>
  <c r="AS142" i="26"/>
  <c r="AS143" i="26"/>
  <c r="AS144" i="26"/>
  <c r="AS145" i="26"/>
  <c r="AS146" i="26"/>
  <c r="AS147" i="26"/>
  <c r="AS148" i="26"/>
  <c r="AS149" i="26"/>
  <c r="AS150" i="26"/>
  <c r="AS151" i="26"/>
  <c r="AS152" i="26"/>
  <c r="AS153" i="26"/>
  <c r="AS154" i="26"/>
  <c r="AS155" i="26"/>
  <c r="AS156" i="26"/>
  <c r="AS157" i="26"/>
  <c r="AS158" i="26"/>
  <c r="AS159" i="26"/>
  <c r="AS160" i="26"/>
  <c r="AS161" i="26"/>
  <c r="AS162" i="26"/>
  <c r="AS163" i="26"/>
  <c r="AS164" i="26"/>
  <c r="AS165" i="26"/>
  <c r="AS166" i="26"/>
  <c r="AS167" i="26"/>
  <c r="AS168" i="26"/>
  <c r="AS169" i="26"/>
  <c r="AS170" i="26"/>
  <c r="AS171" i="26"/>
  <c r="AS172" i="26"/>
  <c r="AS173" i="26"/>
  <c r="AS174" i="26"/>
  <c r="AS175" i="26"/>
  <c r="AS176" i="26"/>
  <c r="AS177" i="26"/>
  <c r="AS178" i="26"/>
  <c r="AS179" i="26"/>
  <c r="AS180" i="26"/>
  <c r="AS181" i="26"/>
  <c r="AS182" i="26"/>
  <c r="AS183" i="26"/>
  <c r="AS184" i="26"/>
  <c r="AS185" i="26"/>
  <c r="AS186" i="26"/>
  <c r="AS187" i="26"/>
  <c r="AS188" i="26"/>
  <c r="AS189" i="26"/>
  <c r="AS190" i="26"/>
  <c r="AS191" i="26"/>
  <c r="AS192" i="26"/>
  <c r="AS193" i="26"/>
  <c r="AS194" i="26"/>
  <c r="AS195" i="26"/>
  <c r="AS196" i="26"/>
  <c r="AS197" i="26"/>
  <c r="AS198" i="26"/>
  <c r="AS199" i="26"/>
  <c r="AS200" i="26"/>
  <c r="AS201" i="26"/>
  <c r="AS202" i="26"/>
  <c r="AS203" i="26"/>
  <c r="AS204" i="26"/>
  <c r="AS205" i="26"/>
  <c r="AS206" i="26"/>
  <c r="AS207" i="26"/>
  <c r="AS208" i="26"/>
  <c r="AS209" i="26"/>
  <c r="AS210" i="26"/>
  <c r="AS211" i="26"/>
  <c r="AS212" i="26"/>
  <c r="AS213" i="26"/>
  <c r="AS214" i="26"/>
  <c r="AS215" i="26"/>
  <c r="AS216" i="26"/>
  <c r="AS217" i="26"/>
  <c r="AS218" i="26"/>
  <c r="AS219" i="26"/>
  <c r="AS220" i="26"/>
  <c r="AS221" i="26"/>
  <c r="AS222" i="26"/>
  <c r="AS223" i="26"/>
  <c r="AS224" i="26"/>
  <c r="AS225" i="26"/>
  <c r="AS226" i="26"/>
  <c r="AS227" i="26"/>
  <c r="AS228" i="26"/>
  <c r="AS229" i="26"/>
  <c r="AS230" i="26"/>
  <c r="AS231" i="26"/>
  <c r="AS232" i="26"/>
  <c r="AS233" i="26"/>
  <c r="AS234" i="26"/>
  <c r="AS235" i="26"/>
  <c r="AS236" i="26"/>
  <c r="AS237" i="26"/>
  <c r="AS238" i="26"/>
  <c r="AS239" i="26"/>
  <c r="AS240" i="26"/>
  <c r="AS241" i="26"/>
  <c r="AS242" i="26"/>
  <c r="AS243" i="26"/>
  <c r="AS244" i="26"/>
  <c r="AS245" i="26"/>
  <c r="AS246" i="26"/>
  <c r="AS247" i="26"/>
  <c r="AS248" i="26"/>
  <c r="AS249" i="26"/>
  <c r="AS250" i="26"/>
  <c r="AS251" i="26"/>
  <c r="AS252" i="26"/>
  <c r="AS253" i="26"/>
  <c r="AS254" i="26"/>
  <c r="AS133" i="26"/>
  <c r="AQ134" i="26"/>
  <c r="AQ135" i="26"/>
  <c r="AQ136" i="26"/>
  <c r="AQ137" i="26"/>
  <c r="AQ138" i="26"/>
  <c r="AQ139" i="26"/>
  <c r="AQ140" i="26"/>
  <c r="AQ141" i="26"/>
  <c r="AQ142" i="26"/>
  <c r="AQ143" i="26"/>
  <c r="AQ144" i="26"/>
  <c r="AQ145" i="26"/>
  <c r="AQ146" i="26"/>
  <c r="AQ147" i="26"/>
  <c r="AQ148" i="26"/>
  <c r="AQ149" i="26"/>
  <c r="AQ150" i="26"/>
  <c r="AQ151" i="26"/>
  <c r="AQ152" i="26"/>
  <c r="AQ153" i="26"/>
  <c r="AQ154" i="26"/>
  <c r="AQ155" i="26"/>
  <c r="AQ156" i="26"/>
  <c r="AQ157" i="26"/>
  <c r="AQ158" i="26"/>
  <c r="AQ159" i="26"/>
  <c r="AQ160" i="26"/>
  <c r="AQ161" i="26"/>
  <c r="AQ162" i="26"/>
  <c r="AQ163" i="26"/>
  <c r="AQ164" i="26"/>
  <c r="AQ165" i="26"/>
  <c r="AQ166" i="26"/>
  <c r="AQ167" i="26"/>
  <c r="AQ168" i="26"/>
  <c r="AQ169" i="26"/>
  <c r="AQ170" i="26"/>
  <c r="AQ171" i="26"/>
  <c r="AQ172" i="26"/>
  <c r="AQ173" i="26"/>
  <c r="AQ174" i="26"/>
  <c r="AQ175" i="26"/>
  <c r="AQ176" i="26"/>
  <c r="AQ177" i="26"/>
  <c r="AQ178" i="26"/>
  <c r="AQ179" i="26"/>
  <c r="AQ180" i="26"/>
  <c r="AQ181" i="26"/>
  <c r="AQ182" i="26"/>
  <c r="AQ183" i="26"/>
  <c r="AQ184" i="26"/>
  <c r="AQ185" i="26"/>
  <c r="AQ186" i="26"/>
  <c r="AQ187" i="26"/>
  <c r="AQ188" i="26"/>
  <c r="AQ189" i="26"/>
  <c r="AQ190" i="26"/>
  <c r="AQ191" i="26"/>
  <c r="AQ192" i="26"/>
  <c r="AQ193" i="26"/>
  <c r="AQ194" i="26"/>
  <c r="AQ195" i="26"/>
  <c r="AQ196" i="26"/>
  <c r="AQ197" i="26"/>
  <c r="AQ198" i="26"/>
  <c r="AQ199" i="26"/>
  <c r="AQ200" i="26"/>
  <c r="AQ201" i="26"/>
  <c r="AQ202" i="26"/>
  <c r="AQ203" i="26"/>
  <c r="AQ204" i="26"/>
  <c r="AQ205" i="26"/>
  <c r="AQ206" i="26"/>
  <c r="AQ207" i="26"/>
  <c r="AQ208" i="26"/>
  <c r="AQ209" i="26"/>
  <c r="AQ210" i="26"/>
  <c r="AQ211" i="26"/>
  <c r="AQ212" i="26"/>
  <c r="AQ213" i="26"/>
  <c r="AQ214" i="26"/>
  <c r="AQ215" i="26"/>
  <c r="AQ216" i="26"/>
  <c r="AQ217" i="26"/>
  <c r="AQ218" i="26"/>
  <c r="AQ219" i="26"/>
  <c r="AQ220" i="26"/>
  <c r="AQ221" i="26"/>
  <c r="AQ222" i="26"/>
  <c r="AQ223" i="26"/>
  <c r="AQ224" i="26"/>
  <c r="AQ225" i="26"/>
  <c r="AQ226" i="26"/>
  <c r="AQ227" i="26"/>
  <c r="AQ228" i="26"/>
  <c r="AQ229" i="26"/>
  <c r="AQ230" i="26"/>
  <c r="AQ231" i="26"/>
  <c r="AQ232" i="26"/>
  <c r="AQ233" i="26"/>
  <c r="AQ234" i="26"/>
  <c r="AQ235" i="26"/>
  <c r="AQ236" i="26"/>
  <c r="AQ237" i="26"/>
  <c r="AQ238" i="26"/>
  <c r="AQ239" i="26"/>
  <c r="AQ240" i="26"/>
  <c r="AQ241" i="26"/>
  <c r="AQ242" i="26"/>
  <c r="AQ243" i="26"/>
  <c r="AQ244" i="26"/>
  <c r="AQ245" i="26"/>
  <c r="AQ246" i="26"/>
  <c r="AQ247" i="26"/>
  <c r="AQ248" i="26"/>
  <c r="AQ249" i="26"/>
  <c r="AQ250" i="26"/>
  <c r="AQ251" i="26"/>
  <c r="AQ252" i="26"/>
  <c r="AQ253" i="26"/>
  <c r="AQ254" i="26"/>
  <c r="AQ133" i="26"/>
  <c r="AO134" i="26"/>
  <c r="AO135" i="26"/>
  <c r="AO136" i="26"/>
  <c r="AO137" i="26"/>
  <c r="AO138" i="26"/>
  <c r="AO139" i="26"/>
  <c r="AO140" i="26"/>
  <c r="AO141" i="26"/>
  <c r="AO142" i="26"/>
  <c r="AO143" i="26"/>
  <c r="AO144" i="26"/>
  <c r="AO145" i="26"/>
  <c r="AO146" i="26"/>
  <c r="AO147" i="26"/>
  <c r="AO148" i="26"/>
  <c r="AO149" i="26"/>
  <c r="AO150" i="26"/>
  <c r="AO151" i="26"/>
  <c r="AO152" i="26"/>
  <c r="AO153" i="26"/>
  <c r="AO154" i="26"/>
  <c r="AO155" i="26"/>
  <c r="AO156" i="26"/>
  <c r="AO157" i="26"/>
  <c r="AO158" i="26"/>
  <c r="AO159" i="26"/>
  <c r="AO160" i="26"/>
  <c r="AO161" i="26"/>
  <c r="AO162" i="26"/>
  <c r="AO163" i="26"/>
  <c r="AO164" i="26"/>
  <c r="AO165" i="26"/>
  <c r="AO166" i="26"/>
  <c r="AO167" i="26"/>
  <c r="AO168" i="26"/>
  <c r="AO169" i="26"/>
  <c r="AO170" i="26"/>
  <c r="AO171" i="26"/>
  <c r="AO172" i="26"/>
  <c r="AO173" i="26"/>
  <c r="AO174" i="26"/>
  <c r="AO175" i="26"/>
  <c r="AO176" i="26"/>
  <c r="AO177" i="26"/>
  <c r="AO178" i="26"/>
  <c r="AO179" i="26"/>
  <c r="AO180" i="26"/>
  <c r="AO181" i="26"/>
  <c r="AO182" i="26"/>
  <c r="AO183" i="26"/>
  <c r="AO184" i="26"/>
  <c r="AO185" i="26"/>
  <c r="AO186" i="26"/>
  <c r="AO187" i="26"/>
  <c r="AO188" i="26"/>
  <c r="AO189" i="26"/>
  <c r="AO190" i="26"/>
  <c r="AO191" i="26"/>
  <c r="AO192" i="26"/>
  <c r="AO193" i="26"/>
  <c r="AO194" i="26"/>
  <c r="AO195" i="26"/>
  <c r="AO196" i="26"/>
  <c r="AO197" i="26"/>
  <c r="AO198" i="26"/>
  <c r="AO199" i="26"/>
  <c r="AO200" i="26"/>
  <c r="AO201" i="26"/>
  <c r="AO202" i="26"/>
  <c r="AO203" i="26"/>
  <c r="AO204" i="26"/>
  <c r="AO205" i="26"/>
  <c r="AO206" i="26"/>
  <c r="AO207" i="26"/>
  <c r="AO208" i="26"/>
  <c r="AO209" i="26"/>
  <c r="AO210" i="26"/>
  <c r="AO211" i="26"/>
  <c r="AO212" i="26"/>
  <c r="AO213" i="26"/>
  <c r="AO214" i="26"/>
  <c r="AO215" i="26"/>
  <c r="AO216" i="26"/>
  <c r="AO217" i="26"/>
  <c r="AO218" i="26"/>
  <c r="AO219" i="26"/>
  <c r="AO220" i="26"/>
  <c r="AO221" i="26"/>
  <c r="AO222" i="26"/>
  <c r="AO223" i="26"/>
  <c r="AO224" i="26"/>
  <c r="AO225" i="26"/>
  <c r="AO226" i="26"/>
  <c r="AO227" i="26"/>
  <c r="AO228" i="26"/>
  <c r="AO229" i="26"/>
  <c r="AO230" i="26"/>
  <c r="AO231" i="26"/>
  <c r="AO232" i="26"/>
  <c r="AO233" i="26"/>
  <c r="AO234" i="26"/>
  <c r="AO235" i="26"/>
  <c r="AO236" i="26"/>
  <c r="AO237" i="26"/>
  <c r="AO238" i="26"/>
  <c r="AO239" i="26"/>
  <c r="AO240" i="26"/>
  <c r="AO241" i="26"/>
  <c r="AO242" i="26"/>
  <c r="AO243" i="26"/>
  <c r="AO244" i="26"/>
  <c r="AO245" i="26"/>
  <c r="AO246" i="26"/>
  <c r="AO247" i="26"/>
  <c r="AO248" i="26"/>
  <c r="AO249" i="26"/>
  <c r="AO250" i="26"/>
  <c r="AO251" i="26"/>
  <c r="AO252" i="26"/>
  <c r="AO253" i="26"/>
  <c r="AO254" i="26"/>
  <c r="AO133" i="26"/>
  <c r="AM134" i="26"/>
  <c r="AM135" i="26"/>
  <c r="AM136" i="26"/>
  <c r="AM137" i="26"/>
  <c r="AM138" i="26"/>
  <c r="AM139" i="26"/>
  <c r="AM140" i="26"/>
  <c r="AM141" i="26"/>
  <c r="AM142" i="26"/>
  <c r="AM143" i="26"/>
  <c r="AM144" i="26"/>
  <c r="AM145" i="26"/>
  <c r="AM146" i="26"/>
  <c r="AM147" i="26"/>
  <c r="AM148" i="26"/>
  <c r="AM149" i="26"/>
  <c r="AM150" i="26"/>
  <c r="AM151" i="26"/>
  <c r="AM152" i="26"/>
  <c r="AM153" i="26"/>
  <c r="AM154" i="26"/>
  <c r="AM155" i="26"/>
  <c r="AM156" i="26"/>
  <c r="AM157" i="26"/>
  <c r="AM158" i="26"/>
  <c r="AM159" i="26"/>
  <c r="AM160" i="26"/>
  <c r="AM161" i="26"/>
  <c r="AM162" i="26"/>
  <c r="AM163" i="26"/>
  <c r="AM164" i="26"/>
  <c r="AM165" i="26"/>
  <c r="AM166" i="26"/>
  <c r="AM167" i="26"/>
  <c r="AM168" i="26"/>
  <c r="AM169" i="26"/>
  <c r="AM170" i="26"/>
  <c r="AM171" i="26"/>
  <c r="AM172" i="26"/>
  <c r="AM173" i="26"/>
  <c r="AM174" i="26"/>
  <c r="AM175" i="26"/>
  <c r="AM176" i="26"/>
  <c r="AM177" i="26"/>
  <c r="AM178" i="26"/>
  <c r="AM179" i="26"/>
  <c r="AM180" i="26"/>
  <c r="AM181" i="26"/>
  <c r="AM182" i="26"/>
  <c r="AM183" i="26"/>
  <c r="AM184" i="26"/>
  <c r="AM185" i="26"/>
  <c r="AM186" i="26"/>
  <c r="AM187" i="26"/>
  <c r="AM188" i="26"/>
  <c r="AM189" i="26"/>
  <c r="AM190" i="26"/>
  <c r="AM191" i="26"/>
  <c r="AM192" i="26"/>
  <c r="AM193" i="26"/>
  <c r="AM194" i="26"/>
  <c r="AM195" i="26"/>
  <c r="AM196" i="26"/>
  <c r="AM197" i="26"/>
  <c r="AM198" i="26"/>
  <c r="AM199" i="26"/>
  <c r="AM200" i="26"/>
  <c r="AM201" i="26"/>
  <c r="AM202" i="26"/>
  <c r="AM203" i="26"/>
  <c r="AM204" i="26"/>
  <c r="AM205" i="26"/>
  <c r="AM206" i="26"/>
  <c r="AM207" i="26"/>
  <c r="AM208" i="26"/>
  <c r="AM209" i="26"/>
  <c r="AM210" i="26"/>
  <c r="AM211" i="26"/>
  <c r="AM212" i="26"/>
  <c r="AM213" i="26"/>
  <c r="AM214" i="26"/>
  <c r="AM215" i="26"/>
  <c r="AM216" i="26"/>
  <c r="AM217" i="26"/>
  <c r="AM218" i="26"/>
  <c r="AM219" i="26"/>
  <c r="AM220" i="26"/>
  <c r="AM221" i="26"/>
  <c r="AM222" i="26"/>
  <c r="AM223" i="26"/>
  <c r="AM224" i="26"/>
  <c r="AM225" i="26"/>
  <c r="AM226" i="26"/>
  <c r="AM227" i="26"/>
  <c r="AM228" i="26"/>
  <c r="AM229" i="26"/>
  <c r="AM230" i="26"/>
  <c r="AM231" i="26"/>
  <c r="AM232" i="26"/>
  <c r="AM233" i="26"/>
  <c r="AM234" i="26"/>
  <c r="AM235" i="26"/>
  <c r="AM236" i="26"/>
  <c r="AM237" i="26"/>
  <c r="AM238" i="26"/>
  <c r="AM239" i="26"/>
  <c r="AM240" i="26"/>
  <c r="AM241" i="26"/>
  <c r="AM242" i="26"/>
  <c r="AM243" i="26"/>
  <c r="AM244" i="26"/>
  <c r="AM245" i="26"/>
  <c r="AM246" i="26"/>
  <c r="AM247" i="26"/>
  <c r="AM248" i="26"/>
  <c r="AM249" i="26"/>
  <c r="AM250" i="26"/>
  <c r="AM251" i="26"/>
  <c r="AM252" i="26"/>
  <c r="AM253" i="26"/>
  <c r="AM254" i="26"/>
  <c r="AM133" i="26"/>
  <c r="AK134" i="26"/>
  <c r="AK135" i="26"/>
  <c r="AK136" i="26"/>
  <c r="AK137" i="26"/>
  <c r="AK138" i="26"/>
  <c r="AK139" i="26"/>
  <c r="AK140" i="26"/>
  <c r="AK141" i="26"/>
  <c r="AK142" i="26"/>
  <c r="AK143" i="26"/>
  <c r="AK144" i="26"/>
  <c r="AK145" i="26"/>
  <c r="AK146" i="26"/>
  <c r="AK147" i="26"/>
  <c r="AK148" i="26"/>
  <c r="AK149" i="26"/>
  <c r="AK150" i="26"/>
  <c r="AK151" i="26"/>
  <c r="AK152" i="26"/>
  <c r="AK153" i="26"/>
  <c r="AK154" i="26"/>
  <c r="AK155" i="26"/>
  <c r="AK156" i="26"/>
  <c r="AK157" i="26"/>
  <c r="AK158" i="26"/>
  <c r="AK159" i="26"/>
  <c r="AK160" i="26"/>
  <c r="AK161" i="26"/>
  <c r="AK162" i="26"/>
  <c r="AK163" i="26"/>
  <c r="AK164" i="26"/>
  <c r="AK165" i="26"/>
  <c r="AK166" i="26"/>
  <c r="AK167" i="26"/>
  <c r="AK168" i="26"/>
  <c r="AK169" i="26"/>
  <c r="AK170" i="26"/>
  <c r="AK171" i="26"/>
  <c r="AK172" i="26"/>
  <c r="AK173" i="26"/>
  <c r="AK174" i="26"/>
  <c r="AK175" i="26"/>
  <c r="AK176" i="26"/>
  <c r="AK177" i="26"/>
  <c r="AK178" i="26"/>
  <c r="AK179" i="26"/>
  <c r="AK180" i="26"/>
  <c r="AK181" i="26"/>
  <c r="AK182" i="26"/>
  <c r="AK183" i="26"/>
  <c r="AK184" i="26"/>
  <c r="AK185" i="26"/>
  <c r="AK186" i="26"/>
  <c r="AK187" i="26"/>
  <c r="AK188" i="26"/>
  <c r="AK189" i="26"/>
  <c r="AK190" i="26"/>
  <c r="AK191" i="26"/>
  <c r="AK192" i="26"/>
  <c r="AK193" i="26"/>
  <c r="AK194" i="26"/>
  <c r="AK195" i="26"/>
  <c r="AK196" i="26"/>
  <c r="AK197" i="26"/>
  <c r="AK198" i="26"/>
  <c r="AK199" i="26"/>
  <c r="AK200" i="26"/>
  <c r="AK201" i="26"/>
  <c r="AK202" i="26"/>
  <c r="AK203" i="26"/>
  <c r="AK204" i="26"/>
  <c r="AK205" i="26"/>
  <c r="AK206" i="26"/>
  <c r="AK207" i="26"/>
  <c r="AK208" i="26"/>
  <c r="AK209" i="26"/>
  <c r="AK210" i="26"/>
  <c r="AK211" i="26"/>
  <c r="AK212" i="26"/>
  <c r="AK213" i="26"/>
  <c r="AK214" i="26"/>
  <c r="AK215" i="26"/>
  <c r="AK216" i="26"/>
  <c r="AK217" i="26"/>
  <c r="AK218" i="26"/>
  <c r="AK219" i="26"/>
  <c r="AK220" i="26"/>
  <c r="AK221" i="26"/>
  <c r="AK222" i="26"/>
  <c r="AK223" i="26"/>
  <c r="AK224" i="26"/>
  <c r="AK225" i="26"/>
  <c r="AK226" i="26"/>
  <c r="AK227" i="26"/>
  <c r="AK228" i="26"/>
  <c r="AK229" i="26"/>
  <c r="AK230" i="26"/>
  <c r="AK231" i="26"/>
  <c r="AK232" i="26"/>
  <c r="AK233" i="26"/>
  <c r="AK234" i="26"/>
  <c r="AK235" i="26"/>
  <c r="AK236" i="26"/>
  <c r="AK237" i="26"/>
  <c r="AK238" i="26"/>
  <c r="AK239" i="26"/>
  <c r="AK240" i="26"/>
  <c r="AK241" i="26"/>
  <c r="AK242" i="26"/>
  <c r="AK243" i="26"/>
  <c r="AK244" i="26"/>
  <c r="AK245" i="26"/>
  <c r="AK246" i="26"/>
  <c r="AK247" i="26"/>
  <c r="AK248" i="26"/>
  <c r="AK249" i="26"/>
  <c r="AK250" i="26"/>
  <c r="AK251" i="26"/>
  <c r="AK252" i="26"/>
  <c r="AK253" i="26"/>
  <c r="AK254" i="26"/>
  <c r="AK133" i="26"/>
  <c r="AI134" i="26"/>
  <c r="AI135" i="26"/>
  <c r="AI136" i="26"/>
  <c r="AI137" i="26"/>
  <c r="AI138" i="26"/>
  <c r="AI139" i="26"/>
  <c r="AI140" i="26"/>
  <c r="AI141" i="26"/>
  <c r="AI142" i="26"/>
  <c r="AI143" i="26"/>
  <c r="AI144" i="26"/>
  <c r="AI145" i="26"/>
  <c r="AI146" i="26"/>
  <c r="AI147" i="26"/>
  <c r="AI148" i="26"/>
  <c r="AI149" i="26"/>
  <c r="AI150" i="26"/>
  <c r="AI151" i="26"/>
  <c r="AI152" i="26"/>
  <c r="AI153" i="26"/>
  <c r="AI154" i="26"/>
  <c r="AI155" i="26"/>
  <c r="AI156" i="26"/>
  <c r="AI157" i="26"/>
  <c r="AI158" i="26"/>
  <c r="AI159" i="26"/>
  <c r="AI160" i="26"/>
  <c r="AI161" i="26"/>
  <c r="AI162" i="26"/>
  <c r="AI163" i="26"/>
  <c r="AI164" i="26"/>
  <c r="AI165" i="26"/>
  <c r="AI166" i="26"/>
  <c r="AI167" i="26"/>
  <c r="AI168" i="26"/>
  <c r="AI169" i="26"/>
  <c r="AI170" i="26"/>
  <c r="AI171" i="26"/>
  <c r="AI172" i="26"/>
  <c r="AI173" i="26"/>
  <c r="AI174" i="26"/>
  <c r="AI175" i="26"/>
  <c r="AI176" i="26"/>
  <c r="AI177" i="26"/>
  <c r="AI178" i="26"/>
  <c r="AI179" i="26"/>
  <c r="AI180" i="26"/>
  <c r="AI181" i="26"/>
  <c r="AI182" i="26"/>
  <c r="AI183" i="26"/>
  <c r="AI184" i="26"/>
  <c r="AI185" i="26"/>
  <c r="AI186" i="26"/>
  <c r="AI187" i="26"/>
  <c r="AI188" i="26"/>
  <c r="AI189" i="26"/>
  <c r="AI190" i="26"/>
  <c r="AI191" i="26"/>
  <c r="AI192" i="26"/>
  <c r="AI193" i="26"/>
  <c r="AI194" i="26"/>
  <c r="AI195" i="26"/>
  <c r="AI196" i="26"/>
  <c r="AI197" i="26"/>
  <c r="AI198" i="26"/>
  <c r="AI199" i="26"/>
  <c r="AI200" i="26"/>
  <c r="AI201" i="26"/>
  <c r="AI202" i="26"/>
  <c r="AI203" i="26"/>
  <c r="AI204" i="26"/>
  <c r="AI205" i="26"/>
  <c r="AI206" i="26"/>
  <c r="AI207" i="26"/>
  <c r="AI208" i="26"/>
  <c r="AI209" i="26"/>
  <c r="AI210" i="26"/>
  <c r="AI211" i="26"/>
  <c r="AI212" i="26"/>
  <c r="AI213" i="26"/>
  <c r="AI214" i="26"/>
  <c r="AI215" i="26"/>
  <c r="AI216" i="26"/>
  <c r="AI217" i="26"/>
  <c r="AI218" i="26"/>
  <c r="AI219" i="26"/>
  <c r="AI220" i="26"/>
  <c r="AI221" i="26"/>
  <c r="AI222" i="26"/>
  <c r="AI223" i="26"/>
  <c r="AI224" i="26"/>
  <c r="AI225" i="26"/>
  <c r="AI226" i="26"/>
  <c r="AI227" i="26"/>
  <c r="AI228" i="26"/>
  <c r="AI229" i="26"/>
  <c r="AI230" i="26"/>
  <c r="AI231" i="26"/>
  <c r="AI232" i="26"/>
  <c r="AI233" i="26"/>
  <c r="AI234" i="26"/>
  <c r="AI235" i="26"/>
  <c r="AI236" i="26"/>
  <c r="AI237" i="26"/>
  <c r="AI238" i="26"/>
  <c r="AI239" i="26"/>
  <c r="AI240" i="26"/>
  <c r="AI241" i="26"/>
  <c r="AI242" i="26"/>
  <c r="AI243" i="26"/>
  <c r="AI244" i="26"/>
  <c r="AI245" i="26"/>
  <c r="AI246" i="26"/>
  <c r="AI247" i="26"/>
  <c r="AI248" i="26"/>
  <c r="AI249" i="26"/>
  <c r="AI250" i="26"/>
  <c r="AI251" i="26"/>
  <c r="AI252" i="26"/>
  <c r="AI253" i="26"/>
  <c r="AI254" i="26"/>
  <c r="AI133" i="26"/>
  <c r="AG134" i="26"/>
  <c r="AG135" i="26"/>
  <c r="AG136" i="26"/>
  <c r="AG137" i="26"/>
  <c r="AG138" i="26"/>
  <c r="AG139" i="26"/>
  <c r="AG140" i="26"/>
  <c r="AG141" i="26"/>
  <c r="AG142" i="26"/>
  <c r="AG143" i="26"/>
  <c r="AG144" i="26"/>
  <c r="AG145" i="26"/>
  <c r="AG146" i="26"/>
  <c r="AG147" i="26"/>
  <c r="AG148" i="26"/>
  <c r="AG149" i="26"/>
  <c r="AG150" i="26"/>
  <c r="AG151" i="26"/>
  <c r="AG152" i="26"/>
  <c r="AG153" i="26"/>
  <c r="AG154" i="26"/>
  <c r="AG155" i="26"/>
  <c r="AG156" i="26"/>
  <c r="AG157" i="26"/>
  <c r="AG158" i="26"/>
  <c r="AG159" i="26"/>
  <c r="AG160" i="26"/>
  <c r="AG161" i="26"/>
  <c r="AG162" i="26"/>
  <c r="AG163" i="26"/>
  <c r="AG164" i="26"/>
  <c r="AG165" i="26"/>
  <c r="AG166" i="26"/>
  <c r="AG167" i="26"/>
  <c r="AG168" i="26"/>
  <c r="AG169" i="26"/>
  <c r="AG170" i="26"/>
  <c r="AG171" i="26"/>
  <c r="AG172" i="26"/>
  <c r="AG173" i="26"/>
  <c r="AG174" i="26"/>
  <c r="AG175" i="26"/>
  <c r="AG176" i="26"/>
  <c r="AG177" i="26"/>
  <c r="AG178" i="26"/>
  <c r="AG179" i="26"/>
  <c r="AG180" i="26"/>
  <c r="AG181" i="26"/>
  <c r="AG182" i="26"/>
  <c r="AG183" i="26"/>
  <c r="AG184" i="26"/>
  <c r="AG185" i="26"/>
  <c r="AG186" i="26"/>
  <c r="AG187" i="26"/>
  <c r="AG188" i="26"/>
  <c r="AG189" i="26"/>
  <c r="AG190" i="26"/>
  <c r="AG191" i="26"/>
  <c r="AG192" i="26"/>
  <c r="AG193" i="26"/>
  <c r="AG194" i="26"/>
  <c r="AG195" i="26"/>
  <c r="AG196" i="26"/>
  <c r="AG197" i="26"/>
  <c r="AG198" i="26"/>
  <c r="AG199" i="26"/>
  <c r="AG200" i="26"/>
  <c r="AG201" i="26"/>
  <c r="AG202" i="26"/>
  <c r="AG203" i="26"/>
  <c r="AG204" i="26"/>
  <c r="AG205" i="26"/>
  <c r="AG206" i="26"/>
  <c r="AG207" i="26"/>
  <c r="AG208" i="26"/>
  <c r="AG209" i="26"/>
  <c r="AG210" i="26"/>
  <c r="AG211" i="26"/>
  <c r="AG212" i="26"/>
  <c r="AG213" i="26"/>
  <c r="AG214" i="26"/>
  <c r="AG215" i="26"/>
  <c r="AG216" i="26"/>
  <c r="AG217" i="26"/>
  <c r="AG218" i="26"/>
  <c r="AG219" i="26"/>
  <c r="AG220" i="26"/>
  <c r="AG221" i="26"/>
  <c r="AG222" i="26"/>
  <c r="AG223" i="26"/>
  <c r="AG224" i="26"/>
  <c r="AG225" i="26"/>
  <c r="AG226" i="26"/>
  <c r="AG227" i="26"/>
  <c r="AG228" i="26"/>
  <c r="AG229" i="26"/>
  <c r="AG230" i="26"/>
  <c r="AG231" i="26"/>
  <c r="AG232" i="26"/>
  <c r="AG233" i="26"/>
  <c r="AG234" i="26"/>
  <c r="AG235" i="26"/>
  <c r="AG236" i="26"/>
  <c r="AG237" i="26"/>
  <c r="AG238" i="26"/>
  <c r="AG239" i="26"/>
  <c r="AG240" i="26"/>
  <c r="AG241" i="26"/>
  <c r="AG242" i="26"/>
  <c r="AG243" i="26"/>
  <c r="AG244" i="26"/>
  <c r="AG245" i="26"/>
  <c r="AG246" i="26"/>
  <c r="AG247" i="26"/>
  <c r="AG248" i="26"/>
  <c r="AG249" i="26"/>
  <c r="AG250" i="26"/>
  <c r="AG251" i="26"/>
  <c r="AG252" i="26"/>
  <c r="AG253" i="26"/>
  <c r="AG254" i="26"/>
  <c r="AG133" i="26"/>
  <c r="AE134" i="26"/>
  <c r="AE135" i="26"/>
  <c r="AE136" i="26"/>
  <c r="AE137" i="26"/>
  <c r="AE138" i="26"/>
  <c r="AE139" i="26"/>
  <c r="AE140" i="26"/>
  <c r="AE141" i="26"/>
  <c r="AE142" i="26"/>
  <c r="AE143" i="26"/>
  <c r="AE144" i="26"/>
  <c r="AE145" i="26"/>
  <c r="AE146" i="26"/>
  <c r="AE147" i="26"/>
  <c r="AE148" i="26"/>
  <c r="AE149" i="26"/>
  <c r="AE150" i="26"/>
  <c r="AE151" i="26"/>
  <c r="AE152" i="26"/>
  <c r="AE153" i="26"/>
  <c r="AE154" i="26"/>
  <c r="AE155" i="26"/>
  <c r="AE156" i="26"/>
  <c r="AE157" i="26"/>
  <c r="AE158" i="26"/>
  <c r="AE159" i="26"/>
  <c r="AE160" i="26"/>
  <c r="AE161" i="26"/>
  <c r="AE162" i="26"/>
  <c r="AE163" i="26"/>
  <c r="AE164" i="26"/>
  <c r="AE165" i="26"/>
  <c r="AE166" i="26"/>
  <c r="AE167" i="26"/>
  <c r="AE168" i="26"/>
  <c r="AE169" i="26"/>
  <c r="AE170" i="26"/>
  <c r="AE171" i="26"/>
  <c r="AE172" i="26"/>
  <c r="AE173" i="26"/>
  <c r="AE174" i="26"/>
  <c r="AE175" i="26"/>
  <c r="AE176" i="26"/>
  <c r="AE177" i="26"/>
  <c r="AE178" i="26"/>
  <c r="AE179" i="26"/>
  <c r="AE180" i="26"/>
  <c r="AE181" i="26"/>
  <c r="AE182" i="26"/>
  <c r="AE183" i="26"/>
  <c r="AE184" i="26"/>
  <c r="AE185" i="26"/>
  <c r="AE186" i="26"/>
  <c r="AE187" i="26"/>
  <c r="AE188" i="26"/>
  <c r="AE189" i="26"/>
  <c r="AE190" i="26"/>
  <c r="AE191" i="26"/>
  <c r="AE192" i="26"/>
  <c r="AE193" i="26"/>
  <c r="AE194" i="26"/>
  <c r="AE195" i="26"/>
  <c r="AE196" i="26"/>
  <c r="AE197" i="26"/>
  <c r="AE198" i="26"/>
  <c r="AE199" i="26"/>
  <c r="AE200" i="26"/>
  <c r="AE201" i="26"/>
  <c r="AE202" i="26"/>
  <c r="AE203" i="26"/>
  <c r="AE204" i="26"/>
  <c r="AE205" i="26"/>
  <c r="AE206" i="26"/>
  <c r="AE207" i="26"/>
  <c r="AE208" i="26"/>
  <c r="AE209" i="26"/>
  <c r="AE210" i="26"/>
  <c r="AE211" i="26"/>
  <c r="AE212" i="26"/>
  <c r="AE213" i="26"/>
  <c r="AE214" i="26"/>
  <c r="AE215" i="26"/>
  <c r="AE216" i="26"/>
  <c r="AE217" i="26"/>
  <c r="AE218" i="26"/>
  <c r="AE219" i="26"/>
  <c r="AE220" i="26"/>
  <c r="AE221" i="26"/>
  <c r="AE222" i="26"/>
  <c r="AE223" i="26"/>
  <c r="AE224" i="26"/>
  <c r="AE225" i="26"/>
  <c r="AE226" i="26"/>
  <c r="AE227" i="26"/>
  <c r="AE228" i="26"/>
  <c r="AE229" i="26"/>
  <c r="AE230" i="26"/>
  <c r="AE231" i="26"/>
  <c r="AE232" i="26"/>
  <c r="AE233" i="26"/>
  <c r="AE234" i="26"/>
  <c r="AE235" i="26"/>
  <c r="AE236" i="26"/>
  <c r="AE237" i="26"/>
  <c r="AE238" i="26"/>
  <c r="AE239" i="26"/>
  <c r="AE240" i="26"/>
  <c r="AE241" i="26"/>
  <c r="AE242" i="26"/>
  <c r="AE243" i="26"/>
  <c r="AE244" i="26"/>
  <c r="AE245" i="26"/>
  <c r="AE246" i="26"/>
  <c r="AE247" i="26"/>
  <c r="AE248" i="26"/>
  <c r="AE249" i="26"/>
  <c r="AE250" i="26"/>
  <c r="AE251" i="26"/>
  <c r="AE252" i="26"/>
  <c r="AE253" i="26"/>
  <c r="AE254" i="26"/>
  <c r="AE133" i="26"/>
  <c r="AC134" i="26"/>
  <c r="AC135" i="26"/>
  <c r="AC136" i="26"/>
  <c r="AC137" i="26"/>
  <c r="AC138" i="26"/>
  <c r="AC139" i="26"/>
  <c r="AC140" i="26"/>
  <c r="AC141" i="26"/>
  <c r="AC142" i="26"/>
  <c r="AC143" i="26"/>
  <c r="AC144" i="26"/>
  <c r="AC145" i="26"/>
  <c r="AC146" i="26"/>
  <c r="AC147" i="26"/>
  <c r="AC148" i="26"/>
  <c r="AC149" i="26"/>
  <c r="AC150" i="26"/>
  <c r="AC151" i="26"/>
  <c r="AC152" i="26"/>
  <c r="AC153" i="26"/>
  <c r="AC154" i="26"/>
  <c r="AC155" i="26"/>
  <c r="AC156" i="26"/>
  <c r="AC157" i="26"/>
  <c r="AC158" i="26"/>
  <c r="AC159" i="26"/>
  <c r="AC160" i="26"/>
  <c r="AC161" i="26"/>
  <c r="AC162" i="26"/>
  <c r="AC163" i="26"/>
  <c r="AC164" i="26"/>
  <c r="AC165" i="26"/>
  <c r="AC166" i="26"/>
  <c r="AC167" i="26"/>
  <c r="AC168" i="26"/>
  <c r="AC169" i="26"/>
  <c r="AC170" i="26"/>
  <c r="AC171" i="26"/>
  <c r="AC172" i="26"/>
  <c r="AC173" i="26"/>
  <c r="AC174" i="26"/>
  <c r="AC175" i="26"/>
  <c r="AC176" i="26"/>
  <c r="AC177" i="26"/>
  <c r="AC178" i="26"/>
  <c r="AC179" i="26"/>
  <c r="AC180" i="26"/>
  <c r="AC181" i="26"/>
  <c r="AC182" i="26"/>
  <c r="AC183" i="26"/>
  <c r="AC184" i="26"/>
  <c r="AC185" i="26"/>
  <c r="AC186" i="26"/>
  <c r="AC187" i="26"/>
  <c r="AC188" i="26"/>
  <c r="AC189" i="26"/>
  <c r="AC190" i="26"/>
  <c r="AC191" i="26"/>
  <c r="AC192" i="26"/>
  <c r="AC193" i="26"/>
  <c r="AC194" i="26"/>
  <c r="AC195" i="26"/>
  <c r="AC196" i="26"/>
  <c r="AC197" i="26"/>
  <c r="AC198" i="26"/>
  <c r="AC199" i="26"/>
  <c r="AC200" i="26"/>
  <c r="AC201" i="26"/>
  <c r="AC202" i="26"/>
  <c r="AC203" i="26"/>
  <c r="AC204" i="26"/>
  <c r="AC205" i="26"/>
  <c r="AC206" i="26"/>
  <c r="AC207" i="26"/>
  <c r="AC208" i="26"/>
  <c r="AC209" i="26"/>
  <c r="AC210" i="26"/>
  <c r="AC211" i="26"/>
  <c r="AC212" i="26"/>
  <c r="AC213" i="26"/>
  <c r="AC214" i="26"/>
  <c r="AC215" i="26"/>
  <c r="AC216" i="26"/>
  <c r="AC217" i="26"/>
  <c r="AC218" i="26"/>
  <c r="AC219" i="26"/>
  <c r="AC220" i="26"/>
  <c r="AC221" i="26"/>
  <c r="AC222" i="26"/>
  <c r="AC223" i="26"/>
  <c r="AC224" i="26"/>
  <c r="AC225" i="26"/>
  <c r="AC226" i="26"/>
  <c r="AC227" i="26"/>
  <c r="AC228" i="26"/>
  <c r="AC229" i="26"/>
  <c r="AC230" i="26"/>
  <c r="AC231" i="26"/>
  <c r="AC232" i="26"/>
  <c r="AC233" i="26"/>
  <c r="AC234" i="26"/>
  <c r="AC235" i="26"/>
  <c r="AC236" i="26"/>
  <c r="AC237" i="26"/>
  <c r="AC238" i="26"/>
  <c r="AC239" i="26"/>
  <c r="AC240" i="26"/>
  <c r="AC241" i="26"/>
  <c r="AC242" i="26"/>
  <c r="AC243" i="26"/>
  <c r="AC244" i="26"/>
  <c r="AC245" i="26"/>
  <c r="AC246" i="26"/>
  <c r="AC247" i="26"/>
  <c r="AC248" i="26"/>
  <c r="AC249" i="26"/>
  <c r="AC250" i="26"/>
  <c r="AC251" i="26"/>
  <c r="AC252" i="26"/>
  <c r="AC253" i="26"/>
  <c r="AC254" i="26"/>
  <c r="AC133" i="26"/>
  <c r="AA134" i="26"/>
  <c r="AA135" i="26"/>
  <c r="AA136" i="26"/>
  <c r="AA137" i="26"/>
  <c r="AA138" i="26"/>
  <c r="AA139" i="26"/>
  <c r="AA140" i="26"/>
  <c r="AA141" i="26"/>
  <c r="AA142" i="26"/>
  <c r="AA143" i="26"/>
  <c r="AA144" i="26"/>
  <c r="AA145" i="26"/>
  <c r="AA146" i="26"/>
  <c r="AA147" i="26"/>
  <c r="AA148" i="26"/>
  <c r="AA149" i="26"/>
  <c r="AA150" i="26"/>
  <c r="AA151" i="26"/>
  <c r="AA152" i="26"/>
  <c r="AA153" i="26"/>
  <c r="AA154" i="26"/>
  <c r="AA155" i="26"/>
  <c r="AA156" i="26"/>
  <c r="AA157" i="26"/>
  <c r="AA158" i="26"/>
  <c r="AA159" i="26"/>
  <c r="AA160" i="26"/>
  <c r="AA161" i="26"/>
  <c r="AA162" i="26"/>
  <c r="AA163" i="26"/>
  <c r="AA164" i="26"/>
  <c r="AA165" i="26"/>
  <c r="AA166" i="26"/>
  <c r="AA167" i="26"/>
  <c r="AA168" i="26"/>
  <c r="AA169" i="26"/>
  <c r="AA170" i="26"/>
  <c r="AA171" i="26"/>
  <c r="AA172" i="26"/>
  <c r="AA173" i="26"/>
  <c r="AA174" i="26"/>
  <c r="AA175" i="26"/>
  <c r="AA176" i="26"/>
  <c r="AA177" i="26"/>
  <c r="AA178" i="26"/>
  <c r="AA179" i="26"/>
  <c r="AA180" i="26"/>
  <c r="AA181" i="26"/>
  <c r="AA182" i="26"/>
  <c r="AA183" i="26"/>
  <c r="AA184" i="26"/>
  <c r="AA185" i="26"/>
  <c r="AA186" i="26"/>
  <c r="AA187" i="26"/>
  <c r="AA188" i="26"/>
  <c r="AA189" i="26"/>
  <c r="AA190" i="26"/>
  <c r="AA191" i="26"/>
  <c r="AA192" i="26"/>
  <c r="AA193" i="26"/>
  <c r="AA194" i="26"/>
  <c r="AA195" i="26"/>
  <c r="AA196" i="26"/>
  <c r="AA197" i="26"/>
  <c r="AA198" i="26"/>
  <c r="AA199" i="26"/>
  <c r="AA200" i="26"/>
  <c r="AA201" i="26"/>
  <c r="AA202" i="26"/>
  <c r="AA203" i="26"/>
  <c r="AA204" i="26"/>
  <c r="AA205" i="26"/>
  <c r="AA206" i="26"/>
  <c r="AA207" i="26"/>
  <c r="AA208" i="26"/>
  <c r="AA209" i="26"/>
  <c r="AA210" i="26"/>
  <c r="AA211" i="26"/>
  <c r="AA212" i="26"/>
  <c r="AA213" i="26"/>
  <c r="AA214" i="26"/>
  <c r="AA215" i="26"/>
  <c r="AA216" i="26"/>
  <c r="AA217" i="26"/>
  <c r="AA218" i="26"/>
  <c r="AA219" i="26"/>
  <c r="AA220" i="26"/>
  <c r="AA221" i="26"/>
  <c r="AA222" i="26"/>
  <c r="AA223" i="26"/>
  <c r="AA224" i="26"/>
  <c r="AA225" i="26"/>
  <c r="AA226" i="26"/>
  <c r="AA227" i="26"/>
  <c r="AA228" i="26"/>
  <c r="AA229" i="26"/>
  <c r="AA230" i="26"/>
  <c r="AA231" i="26"/>
  <c r="AA232" i="26"/>
  <c r="AA233" i="26"/>
  <c r="AA234" i="26"/>
  <c r="AA235" i="26"/>
  <c r="AA236" i="26"/>
  <c r="AA237" i="26"/>
  <c r="AA238" i="26"/>
  <c r="AA239" i="26"/>
  <c r="AA240" i="26"/>
  <c r="AA241" i="26"/>
  <c r="AA242" i="26"/>
  <c r="AA243" i="26"/>
  <c r="AA244" i="26"/>
  <c r="AA245" i="26"/>
  <c r="AA246" i="26"/>
  <c r="AA247" i="26"/>
  <c r="AA248" i="26"/>
  <c r="AA249" i="26"/>
  <c r="AA250" i="26"/>
  <c r="AA251" i="26"/>
  <c r="AA252" i="26"/>
  <c r="AA253" i="26"/>
  <c r="AA254" i="26"/>
  <c r="AA133" i="26"/>
  <c r="Y134" i="26"/>
  <c r="Y135" i="26"/>
  <c r="Y136" i="26"/>
  <c r="Y137" i="26"/>
  <c r="Y138" i="26"/>
  <c r="Y139" i="26"/>
  <c r="Y140" i="26"/>
  <c r="Y141" i="26"/>
  <c r="Y142" i="26"/>
  <c r="Y143" i="26"/>
  <c r="Y144" i="26"/>
  <c r="Y145" i="26"/>
  <c r="Y146" i="26"/>
  <c r="Y147" i="26"/>
  <c r="Y148" i="26"/>
  <c r="Y149" i="26"/>
  <c r="Y150" i="26"/>
  <c r="Y151" i="26"/>
  <c r="Y152" i="26"/>
  <c r="Y153" i="26"/>
  <c r="Y154" i="26"/>
  <c r="Y155" i="26"/>
  <c r="Y156" i="26"/>
  <c r="Y157" i="26"/>
  <c r="Y158" i="26"/>
  <c r="Y159" i="26"/>
  <c r="Y160" i="26"/>
  <c r="Y161" i="26"/>
  <c r="Y162" i="26"/>
  <c r="Y163" i="26"/>
  <c r="Y164" i="26"/>
  <c r="Y165" i="26"/>
  <c r="Y166" i="26"/>
  <c r="Y167" i="26"/>
  <c r="Y168" i="26"/>
  <c r="Y169" i="26"/>
  <c r="Y170" i="26"/>
  <c r="Y171" i="26"/>
  <c r="Y172" i="26"/>
  <c r="Y173" i="26"/>
  <c r="Y174" i="26"/>
  <c r="Y175" i="26"/>
  <c r="Y176" i="26"/>
  <c r="Y177" i="26"/>
  <c r="Y178" i="26"/>
  <c r="Y179" i="26"/>
  <c r="Y180" i="26"/>
  <c r="Y181" i="26"/>
  <c r="Y182" i="26"/>
  <c r="Y183" i="26"/>
  <c r="Y184" i="26"/>
  <c r="Y185" i="26"/>
  <c r="Y186" i="26"/>
  <c r="Y187" i="26"/>
  <c r="Y188" i="26"/>
  <c r="Y189" i="26"/>
  <c r="Y190" i="26"/>
  <c r="Y191" i="26"/>
  <c r="Y192" i="26"/>
  <c r="Y193" i="26"/>
  <c r="Y194" i="26"/>
  <c r="Y195" i="26"/>
  <c r="Y196" i="26"/>
  <c r="Y197" i="26"/>
  <c r="Y198" i="26"/>
  <c r="Y199" i="26"/>
  <c r="Y200" i="26"/>
  <c r="Y201" i="26"/>
  <c r="Y202" i="26"/>
  <c r="Y203" i="26"/>
  <c r="Y204" i="26"/>
  <c r="Y205" i="26"/>
  <c r="Y206" i="26"/>
  <c r="Y207" i="26"/>
  <c r="Y208" i="26"/>
  <c r="Y209" i="26"/>
  <c r="Y210" i="26"/>
  <c r="Y211" i="26"/>
  <c r="Y212" i="26"/>
  <c r="Y213" i="26"/>
  <c r="Y214" i="26"/>
  <c r="Y215" i="26"/>
  <c r="Y216" i="26"/>
  <c r="Y217" i="26"/>
  <c r="Y218" i="26"/>
  <c r="Y219" i="26"/>
  <c r="Y220" i="26"/>
  <c r="Y221" i="26"/>
  <c r="Y222" i="26"/>
  <c r="Y223" i="26"/>
  <c r="Y224" i="26"/>
  <c r="Y225" i="26"/>
  <c r="Y226" i="26"/>
  <c r="Y227" i="26"/>
  <c r="Y228" i="26"/>
  <c r="Y229" i="26"/>
  <c r="Y230" i="26"/>
  <c r="Y231" i="26"/>
  <c r="Y232" i="26"/>
  <c r="Y233" i="26"/>
  <c r="Y234" i="26"/>
  <c r="Y235" i="26"/>
  <c r="Y236" i="26"/>
  <c r="Y237" i="26"/>
  <c r="Y238" i="26"/>
  <c r="Y239" i="26"/>
  <c r="Y240" i="26"/>
  <c r="Y241" i="26"/>
  <c r="Y242" i="26"/>
  <c r="Y243" i="26"/>
  <c r="Y244" i="26"/>
  <c r="Y245" i="26"/>
  <c r="Y246" i="26"/>
  <c r="Y247" i="26"/>
  <c r="Y248" i="26"/>
  <c r="Y249" i="26"/>
  <c r="Y250" i="26"/>
  <c r="Y251" i="26"/>
  <c r="Y252" i="26"/>
  <c r="Y253" i="26"/>
  <c r="Y254" i="26"/>
  <c r="Y133" i="26"/>
  <c r="W134" i="26"/>
  <c r="W135" i="26"/>
  <c r="W136" i="26"/>
  <c r="W137" i="26"/>
  <c r="W138" i="26"/>
  <c r="W139" i="26"/>
  <c r="W140" i="26"/>
  <c r="W141" i="26"/>
  <c r="W142" i="26"/>
  <c r="W143" i="26"/>
  <c r="W144" i="26"/>
  <c r="W145" i="26"/>
  <c r="W146" i="26"/>
  <c r="W147" i="26"/>
  <c r="W148" i="26"/>
  <c r="W149" i="26"/>
  <c r="W150" i="26"/>
  <c r="W151" i="26"/>
  <c r="W152" i="26"/>
  <c r="W153" i="26"/>
  <c r="W154" i="26"/>
  <c r="W155" i="26"/>
  <c r="W156" i="26"/>
  <c r="W157" i="26"/>
  <c r="W158" i="26"/>
  <c r="W159" i="26"/>
  <c r="W160" i="26"/>
  <c r="W161" i="26"/>
  <c r="W162" i="26"/>
  <c r="W163" i="26"/>
  <c r="W164" i="26"/>
  <c r="W165" i="26"/>
  <c r="W166" i="26"/>
  <c r="W167" i="26"/>
  <c r="W168" i="26"/>
  <c r="W169" i="26"/>
  <c r="W170" i="26"/>
  <c r="W171" i="26"/>
  <c r="W172" i="26"/>
  <c r="W173" i="26"/>
  <c r="W174" i="26"/>
  <c r="W175" i="26"/>
  <c r="W176" i="26"/>
  <c r="W177" i="26"/>
  <c r="W178" i="26"/>
  <c r="W179" i="26"/>
  <c r="W180" i="26"/>
  <c r="W181" i="26"/>
  <c r="W182" i="26"/>
  <c r="W183" i="26"/>
  <c r="W184" i="26"/>
  <c r="W185" i="26"/>
  <c r="W186" i="26"/>
  <c r="W187" i="26"/>
  <c r="W188" i="26"/>
  <c r="W189" i="26"/>
  <c r="W190" i="26"/>
  <c r="W191" i="26"/>
  <c r="W192" i="26"/>
  <c r="W193" i="26"/>
  <c r="W194" i="26"/>
  <c r="W195" i="26"/>
  <c r="W196" i="26"/>
  <c r="W197" i="26"/>
  <c r="W198" i="26"/>
  <c r="W199" i="26"/>
  <c r="W200" i="26"/>
  <c r="W201" i="26"/>
  <c r="W202" i="26"/>
  <c r="W203" i="26"/>
  <c r="W204" i="26"/>
  <c r="W205" i="26"/>
  <c r="W206" i="26"/>
  <c r="W207" i="26"/>
  <c r="W208" i="26"/>
  <c r="W209" i="26"/>
  <c r="W210" i="26"/>
  <c r="W211" i="26"/>
  <c r="W212" i="26"/>
  <c r="W213" i="26"/>
  <c r="W214" i="26"/>
  <c r="W215" i="26"/>
  <c r="W216" i="26"/>
  <c r="W217" i="26"/>
  <c r="W218" i="26"/>
  <c r="W219" i="26"/>
  <c r="W220" i="26"/>
  <c r="W221" i="26"/>
  <c r="W222" i="26"/>
  <c r="W223" i="26"/>
  <c r="W224" i="26"/>
  <c r="W225" i="26"/>
  <c r="W226" i="26"/>
  <c r="W227" i="26"/>
  <c r="W228" i="26"/>
  <c r="W229" i="26"/>
  <c r="W230" i="26"/>
  <c r="W231" i="26"/>
  <c r="W232" i="26"/>
  <c r="W233" i="26"/>
  <c r="W234" i="26"/>
  <c r="W235" i="26"/>
  <c r="W236" i="26"/>
  <c r="W237" i="26"/>
  <c r="W238" i="26"/>
  <c r="W239" i="26"/>
  <c r="W240" i="26"/>
  <c r="W241" i="26"/>
  <c r="W242" i="26"/>
  <c r="W243" i="26"/>
  <c r="W244" i="26"/>
  <c r="W245" i="26"/>
  <c r="W246" i="26"/>
  <c r="W247" i="26"/>
  <c r="W248" i="26"/>
  <c r="W249" i="26"/>
  <c r="W250" i="26"/>
  <c r="W251" i="26"/>
  <c r="W252" i="26"/>
  <c r="W253" i="26"/>
  <c r="W254" i="26"/>
  <c r="W133" i="26"/>
  <c r="U134" i="26"/>
  <c r="U135" i="26"/>
  <c r="U136" i="26"/>
  <c r="U137" i="26"/>
  <c r="U138" i="26"/>
  <c r="U139" i="26"/>
  <c r="U140" i="26"/>
  <c r="U141" i="26"/>
  <c r="U142" i="26"/>
  <c r="U143" i="26"/>
  <c r="U144" i="26"/>
  <c r="U145" i="26"/>
  <c r="U146" i="26"/>
  <c r="U147" i="26"/>
  <c r="U148" i="26"/>
  <c r="U149" i="26"/>
  <c r="U150" i="26"/>
  <c r="U151" i="26"/>
  <c r="U152" i="26"/>
  <c r="U153" i="26"/>
  <c r="U154" i="26"/>
  <c r="U155" i="26"/>
  <c r="U156" i="26"/>
  <c r="U157" i="26"/>
  <c r="U158" i="26"/>
  <c r="U159" i="26"/>
  <c r="U160" i="26"/>
  <c r="U161" i="26"/>
  <c r="U162" i="26"/>
  <c r="U163" i="26"/>
  <c r="U164" i="26"/>
  <c r="U165" i="26"/>
  <c r="U166" i="26"/>
  <c r="U167" i="26"/>
  <c r="U168" i="26"/>
  <c r="U169" i="26"/>
  <c r="U170" i="26"/>
  <c r="U171" i="26"/>
  <c r="U172" i="26"/>
  <c r="U173" i="26"/>
  <c r="U174" i="26"/>
  <c r="U175" i="26"/>
  <c r="U176" i="26"/>
  <c r="U177" i="26"/>
  <c r="U178" i="26"/>
  <c r="U179" i="26"/>
  <c r="U180" i="26"/>
  <c r="U181" i="26"/>
  <c r="U182" i="26"/>
  <c r="U183" i="26"/>
  <c r="U184" i="26"/>
  <c r="U185" i="26"/>
  <c r="U186" i="26"/>
  <c r="U187" i="26"/>
  <c r="U188" i="26"/>
  <c r="U189" i="26"/>
  <c r="U190" i="26"/>
  <c r="U191" i="26"/>
  <c r="U192" i="26"/>
  <c r="U193" i="26"/>
  <c r="U194" i="26"/>
  <c r="U195" i="26"/>
  <c r="U196" i="26"/>
  <c r="U197" i="26"/>
  <c r="U198" i="26"/>
  <c r="U199" i="26"/>
  <c r="U200" i="26"/>
  <c r="U201" i="26"/>
  <c r="U202" i="26"/>
  <c r="U203" i="26"/>
  <c r="U204" i="26"/>
  <c r="U205" i="26"/>
  <c r="U206" i="26"/>
  <c r="U207" i="26"/>
  <c r="U208" i="26"/>
  <c r="U209" i="26"/>
  <c r="U210" i="26"/>
  <c r="U211" i="26"/>
  <c r="U212" i="26"/>
  <c r="U213" i="26"/>
  <c r="U214" i="26"/>
  <c r="U215" i="26"/>
  <c r="U216" i="26"/>
  <c r="U217" i="26"/>
  <c r="U218" i="26"/>
  <c r="U219" i="26"/>
  <c r="U220" i="26"/>
  <c r="U221" i="26"/>
  <c r="U222" i="26"/>
  <c r="U223" i="26"/>
  <c r="U224" i="26"/>
  <c r="U225" i="26"/>
  <c r="U226" i="26"/>
  <c r="U227" i="26"/>
  <c r="U228" i="26"/>
  <c r="U229" i="26"/>
  <c r="U230" i="26"/>
  <c r="U231" i="26"/>
  <c r="U232" i="26"/>
  <c r="U233" i="26"/>
  <c r="U234" i="26"/>
  <c r="U235" i="26"/>
  <c r="U236" i="26"/>
  <c r="U237" i="26"/>
  <c r="U238" i="26"/>
  <c r="U239" i="26"/>
  <c r="U240" i="26"/>
  <c r="U241" i="26"/>
  <c r="U242" i="26"/>
  <c r="U243" i="26"/>
  <c r="U244" i="26"/>
  <c r="U245" i="26"/>
  <c r="U246" i="26"/>
  <c r="U247" i="26"/>
  <c r="U248" i="26"/>
  <c r="U249" i="26"/>
  <c r="U250" i="26"/>
  <c r="U251" i="26"/>
  <c r="U252" i="26"/>
  <c r="U253" i="26"/>
  <c r="U254" i="26"/>
  <c r="U133" i="26"/>
  <c r="S134" i="26"/>
  <c r="S135" i="26"/>
  <c r="S136" i="26"/>
  <c r="S137" i="26"/>
  <c r="S138" i="26"/>
  <c r="S139" i="26"/>
  <c r="S140" i="26"/>
  <c r="S141" i="26"/>
  <c r="S142" i="26"/>
  <c r="S143" i="26"/>
  <c r="S144" i="26"/>
  <c r="S145" i="26"/>
  <c r="S146" i="26"/>
  <c r="S147" i="26"/>
  <c r="S148" i="26"/>
  <c r="S149" i="26"/>
  <c r="S150" i="26"/>
  <c r="S151" i="26"/>
  <c r="S152" i="26"/>
  <c r="S153" i="26"/>
  <c r="S154" i="26"/>
  <c r="S155" i="26"/>
  <c r="S156" i="26"/>
  <c r="S157" i="26"/>
  <c r="S158" i="26"/>
  <c r="S159" i="26"/>
  <c r="S160" i="26"/>
  <c r="S161" i="26"/>
  <c r="S162" i="26"/>
  <c r="S163" i="26"/>
  <c r="S164" i="26"/>
  <c r="S165" i="26"/>
  <c r="S166" i="26"/>
  <c r="S167" i="26"/>
  <c r="S168" i="26"/>
  <c r="S169" i="26"/>
  <c r="S170" i="26"/>
  <c r="S171" i="26"/>
  <c r="S172" i="26"/>
  <c r="S173" i="26"/>
  <c r="S174" i="26"/>
  <c r="S175" i="26"/>
  <c r="S176" i="26"/>
  <c r="S177" i="26"/>
  <c r="S178" i="26"/>
  <c r="S179" i="26"/>
  <c r="S180" i="26"/>
  <c r="S181" i="26"/>
  <c r="S182" i="26"/>
  <c r="S183" i="26"/>
  <c r="S184" i="26"/>
  <c r="S185" i="26"/>
  <c r="S186" i="26"/>
  <c r="S187" i="26"/>
  <c r="S188" i="26"/>
  <c r="S189" i="26"/>
  <c r="S190" i="26"/>
  <c r="S191" i="26"/>
  <c r="S192" i="26"/>
  <c r="S193" i="26"/>
  <c r="S194" i="26"/>
  <c r="S195" i="26"/>
  <c r="S196" i="26"/>
  <c r="S197" i="26"/>
  <c r="S198" i="26"/>
  <c r="S199" i="26"/>
  <c r="S200" i="26"/>
  <c r="S201" i="26"/>
  <c r="S202" i="26"/>
  <c r="S203" i="26"/>
  <c r="S204" i="26"/>
  <c r="S205" i="26"/>
  <c r="S206" i="26"/>
  <c r="S207" i="26"/>
  <c r="S208" i="26"/>
  <c r="S209" i="26"/>
  <c r="S210" i="26"/>
  <c r="S211" i="26"/>
  <c r="S212" i="26"/>
  <c r="S213" i="26"/>
  <c r="S214" i="26"/>
  <c r="S215" i="26"/>
  <c r="S216" i="26"/>
  <c r="S217" i="26"/>
  <c r="S218" i="26"/>
  <c r="S219" i="26"/>
  <c r="S220" i="26"/>
  <c r="S221" i="26"/>
  <c r="S222" i="26"/>
  <c r="S223" i="26"/>
  <c r="S224" i="26"/>
  <c r="S225" i="26"/>
  <c r="S226" i="26"/>
  <c r="S227" i="26"/>
  <c r="S228" i="26"/>
  <c r="S229" i="26"/>
  <c r="S230" i="26"/>
  <c r="S231" i="26"/>
  <c r="S232" i="26"/>
  <c r="S233" i="26"/>
  <c r="S234" i="26"/>
  <c r="S235" i="26"/>
  <c r="S236" i="26"/>
  <c r="S237" i="26"/>
  <c r="S238" i="26"/>
  <c r="S239" i="26"/>
  <c r="S240" i="26"/>
  <c r="S241" i="26"/>
  <c r="S242" i="26"/>
  <c r="S243" i="26"/>
  <c r="S244" i="26"/>
  <c r="S245" i="26"/>
  <c r="S246" i="26"/>
  <c r="S247" i="26"/>
  <c r="S248" i="26"/>
  <c r="S249" i="26"/>
  <c r="S250" i="26"/>
  <c r="S251" i="26"/>
  <c r="S252" i="26"/>
  <c r="S253" i="26"/>
  <c r="S254" i="26"/>
  <c r="S133" i="26"/>
  <c r="Q134" i="26"/>
  <c r="Q135" i="26"/>
  <c r="Q136" i="26"/>
  <c r="Q137" i="26"/>
  <c r="Q138" i="26"/>
  <c r="Q139" i="26"/>
  <c r="Q140" i="26"/>
  <c r="Q141" i="26"/>
  <c r="Q142" i="26"/>
  <c r="Q143" i="26"/>
  <c r="Q144" i="26"/>
  <c r="Q145" i="26"/>
  <c r="Q146" i="26"/>
  <c r="Q147" i="26"/>
  <c r="Q148" i="26"/>
  <c r="Q149" i="26"/>
  <c r="Q150" i="26"/>
  <c r="Q151" i="26"/>
  <c r="Q152" i="26"/>
  <c r="Q153" i="26"/>
  <c r="Q154" i="26"/>
  <c r="Q155" i="26"/>
  <c r="Q156" i="26"/>
  <c r="Q157" i="26"/>
  <c r="Q158" i="26"/>
  <c r="Q159" i="26"/>
  <c r="Q160" i="26"/>
  <c r="Q161" i="26"/>
  <c r="Q162" i="26"/>
  <c r="Q163" i="26"/>
  <c r="Q164" i="26"/>
  <c r="Q165" i="26"/>
  <c r="Q166" i="26"/>
  <c r="Q167" i="26"/>
  <c r="Q168" i="26"/>
  <c r="Q169" i="26"/>
  <c r="Q170" i="26"/>
  <c r="Q171" i="26"/>
  <c r="Q172" i="26"/>
  <c r="Q173" i="26"/>
  <c r="Q174" i="26"/>
  <c r="Q175" i="26"/>
  <c r="Q176" i="26"/>
  <c r="Q177" i="26"/>
  <c r="Q178" i="26"/>
  <c r="Q179" i="26"/>
  <c r="Q180" i="26"/>
  <c r="Q181" i="26"/>
  <c r="Q182" i="26"/>
  <c r="Q183" i="26"/>
  <c r="Q184" i="26"/>
  <c r="Q185" i="26"/>
  <c r="Q186" i="26"/>
  <c r="Q187" i="26"/>
  <c r="Q188" i="26"/>
  <c r="Q189" i="26"/>
  <c r="Q190" i="26"/>
  <c r="Q191" i="26"/>
  <c r="Q192" i="26"/>
  <c r="Q193" i="26"/>
  <c r="Q194" i="26"/>
  <c r="Q195" i="26"/>
  <c r="Q196" i="26"/>
  <c r="Q197" i="26"/>
  <c r="Q198" i="26"/>
  <c r="Q199" i="26"/>
  <c r="Q200" i="26"/>
  <c r="Q201" i="26"/>
  <c r="Q202" i="26"/>
  <c r="Q203" i="26"/>
  <c r="Q204" i="26"/>
  <c r="Q205" i="26"/>
  <c r="Q206" i="26"/>
  <c r="Q207" i="26"/>
  <c r="Q208" i="26"/>
  <c r="Q209" i="26"/>
  <c r="Q210" i="26"/>
  <c r="Q211" i="26"/>
  <c r="Q212" i="26"/>
  <c r="Q213" i="26"/>
  <c r="Q214" i="26"/>
  <c r="Q215" i="26"/>
  <c r="Q216" i="26"/>
  <c r="Q217" i="26"/>
  <c r="Q218" i="26"/>
  <c r="Q219" i="26"/>
  <c r="Q220" i="26"/>
  <c r="Q221" i="26"/>
  <c r="Q222" i="26"/>
  <c r="Q223" i="26"/>
  <c r="Q224" i="26"/>
  <c r="Q225" i="26"/>
  <c r="Q226" i="26"/>
  <c r="Q227" i="26"/>
  <c r="Q228" i="26"/>
  <c r="Q229" i="26"/>
  <c r="Q230" i="26"/>
  <c r="Q231" i="26"/>
  <c r="Q232" i="26"/>
  <c r="Q233" i="26"/>
  <c r="Q234" i="26"/>
  <c r="Q235" i="26"/>
  <c r="Q236" i="26"/>
  <c r="Q237" i="26"/>
  <c r="Q238" i="26"/>
  <c r="Q239" i="26"/>
  <c r="Q240" i="26"/>
  <c r="Q241" i="26"/>
  <c r="Q242" i="26"/>
  <c r="Q243" i="26"/>
  <c r="Q244" i="26"/>
  <c r="Q245" i="26"/>
  <c r="Q246" i="26"/>
  <c r="Q247" i="26"/>
  <c r="Q248" i="26"/>
  <c r="Q249" i="26"/>
  <c r="Q250" i="26"/>
  <c r="Q251" i="26"/>
  <c r="Q252" i="26"/>
  <c r="Q253" i="26"/>
  <c r="Q254" i="26"/>
  <c r="Q133" i="26"/>
  <c r="O134" i="26"/>
  <c r="O135" i="26"/>
  <c r="O136" i="26"/>
  <c r="O137" i="26"/>
  <c r="O138" i="26"/>
  <c r="O139" i="26"/>
  <c r="O140" i="26"/>
  <c r="O141" i="26"/>
  <c r="O142" i="26"/>
  <c r="O143" i="26"/>
  <c r="O144" i="26"/>
  <c r="O145" i="26"/>
  <c r="O146" i="26"/>
  <c r="O147" i="26"/>
  <c r="O148" i="26"/>
  <c r="O149" i="26"/>
  <c r="O150" i="26"/>
  <c r="O151" i="26"/>
  <c r="O152" i="26"/>
  <c r="O153" i="26"/>
  <c r="O154" i="26"/>
  <c r="O155" i="26"/>
  <c r="O156" i="26"/>
  <c r="O157" i="26"/>
  <c r="O158" i="26"/>
  <c r="O159" i="26"/>
  <c r="O160" i="26"/>
  <c r="O161" i="26"/>
  <c r="O162" i="26"/>
  <c r="O163" i="26"/>
  <c r="O164" i="26"/>
  <c r="O165" i="26"/>
  <c r="O166" i="26"/>
  <c r="O167" i="26"/>
  <c r="O168" i="26"/>
  <c r="O169" i="26"/>
  <c r="O170" i="26"/>
  <c r="O171" i="26"/>
  <c r="O172" i="26"/>
  <c r="O173" i="26"/>
  <c r="O174" i="26"/>
  <c r="O175" i="26"/>
  <c r="O176" i="26"/>
  <c r="O177" i="26"/>
  <c r="O178" i="26"/>
  <c r="O179" i="26"/>
  <c r="O180" i="26"/>
  <c r="O181" i="26"/>
  <c r="O182" i="26"/>
  <c r="O183" i="26"/>
  <c r="O184" i="26"/>
  <c r="O185" i="26"/>
  <c r="O186" i="26"/>
  <c r="O187" i="26"/>
  <c r="O188" i="26"/>
  <c r="O189" i="26"/>
  <c r="O190" i="26"/>
  <c r="O191" i="26"/>
  <c r="O192" i="26"/>
  <c r="O193" i="26"/>
  <c r="O194" i="26"/>
  <c r="O195" i="26"/>
  <c r="O196" i="26"/>
  <c r="O197" i="26"/>
  <c r="O198" i="26"/>
  <c r="O199" i="26"/>
  <c r="O200" i="26"/>
  <c r="O201" i="26"/>
  <c r="O202" i="26"/>
  <c r="O203" i="26"/>
  <c r="O204" i="26"/>
  <c r="O205" i="26"/>
  <c r="O206" i="26"/>
  <c r="O207" i="26"/>
  <c r="O208" i="26"/>
  <c r="O209" i="26"/>
  <c r="O210" i="26"/>
  <c r="O211" i="26"/>
  <c r="O212" i="26"/>
  <c r="O213" i="26"/>
  <c r="O214" i="26"/>
  <c r="O215" i="26"/>
  <c r="O216" i="26"/>
  <c r="O217" i="26"/>
  <c r="O218" i="26"/>
  <c r="O219" i="26"/>
  <c r="O220" i="26"/>
  <c r="O221" i="26"/>
  <c r="O222" i="26"/>
  <c r="O223" i="26"/>
  <c r="O224" i="26"/>
  <c r="O225" i="26"/>
  <c r="O226" i="26"/>
  <c r="O227" i="26"/>
  <c r="O228" i="26"/>
  <c r="O229" i="26"/>
  <c r="O230" i="26"/>
  <c r="O231" i="26"/>
  <c r="O232" i="26"/>
  <c r="O233" i="26"/>
  <c r="O234" i="26"/>
  <c r="O235" i="26"/>
  <c r="O236" i="26"/>
  <c r="O237" i="26"/>
  <c r="O238" i="26"/>
  <c r="O239" i="26"/>
  <c r="O240" i="26"/>
  <c r="O241" i="26"/>
  <c r="O242" i="26"/>
  <c r="O243" i="26"/>
  <c r="O244" i="26"/>
  <c r="O245" i="26"/>
  <c r="O246" i="26"/>
  <c r="O247" i="26"/>
  <c r="O248" i="26"/>
  <c r="O249" i="26"/>
  <c r="O250" i="26"/>
  <c r="O251" i="26"/>
  <c r="O252" i="26"/>
  <c r="O253" i="26"/>
  <c r="O254" i="26"/>
  <c r="O133" i="26"/>
  <c r="M134" i="26"/>
  <c r="M135" i="26"/>
  <c r="M136" i="26"/>
  <c r="M137" i="26"/>
  <c r="M138" i="26"/>
  <c r="M139" i="26"/>
  <c r="M140" i="26"/>
  <c r="M141" i="26"/>
  <c r="M142" i="26"/>
  <c r="M143" i="26"/>
  <c r="M144" i="26"/>
  <c r="M145" i="26"/>
  <c r="M146" i="26"/>
  <c r="M147" i="26"/>
  <c r="M148" i="26"/>
  <c r="M149" i="26"/>
  <c r="M150" i="26"/>
  <c r="M151" i="26"/>
  <c r="M152" i="26"/>
  <c r="M153" i="26"/>
  <c r="M154" i="26"/>
  <c r="M155" i="26"/>
  <c r="M156" i="26"/>
  <c r="M157" i="26"/>
  <c r="M158" i="26"/>
  <c r="M159" i="26"/>
  <c r="M160" i="26"/>
  <c r="M161" i="26"/>
  <c r="M162" i="26"/>
  <c r="M163" i="26"/>
  <c r="M164" i="26"/>
  <c r="M165" i="26"/>
  <c r="M166" i="26"/>
  <c r="M167" i="26"/>
  <c r="M168" i="26"/>
  <c r="M169" i="26"/>
  <c r="M170" i="26"/>
  <c r="M171" i="26"/>
  <c r="M172" i="26"/>
  <c r="M173" i="26"/>
  <c r="M174" i="26"/>
  <c r="M175" i="26"/>
  <c r="M176" i="26"/>
  <c r="M177" i="26"/>
  <c r="M178" i="26"/>
  <c r="M179" i="26"/>
  <c r="M180" i="26"/>
  <c r="M181" i="26"/>
  <c r="M182" i="26"/>
  <c r="M183" i="26"/>
  <c r="M184" i="26"/>
  <c r="M185" i="26"/>
  <c r="M186" i="26"/>
  <c r="M187" i="26"/>
  <c r="M188" i="26"/>
  <c r="M189" i="26"/>
  <c r="M190" i="26"/>
  <c r="M191" i="26"/>
  <c r="M192" i="26"/>
  <c r="M193" i="26"/>
  <c r="M194" i="26"/>
  <c r="M195" i="26"/>
  <c r="M196" i="26"/>
  <c r="M197" i="26"/>
  <c r="M198" i="26"/>
  <c r="M199" i="26"/>
  <c r="M200" i="26"/>
  <c r="M201" i="26"/>
  <c r="M202" i="26"/>
  <c r="M203" i="26"/>
  <c r="M204" i="26"/>
  <c r="M205" i="26"/>
  <c r="M206" i="26"/>
  <c r="M207" i="26"/>
  <c r="M208" i="26"/>
  <c r="M209" i="26"/>
  <c r="M210" i="26"/>
  <c r="M211" i="26"/>
  <c r="M212" i="26"/>
  <c r="M213" i="26"/>
  <c r="M214" i="26"/>
  <c r="M215" i="26"/>
  <c r="M216" i="26"/>
  <c r="M217" i="26"/>
  <c r="M218" i="26"/>
  <c r="M219" i="26"/>
  <c r="M220" i="26"/>
  <c r="M221" i="26"/>
  <c r="M222" i="26"/>
  <c r="M223" i="26"/>
  <c r="M224" i="26"/>
  <c r="M225" i="26"/>
  <c r="M226" i="26"/>
  <c r="M227" i="26"/>
  <c r="M228" i="26"/>
  <c r="M229" i="26"/>
  <c r="M230" i="26"/>
  <c r="M231" i="26"/>
  <c r="M232" i="26"/>
  <c r="M233" i="26"/>
  <c r="M234" i="26"/>
  <c r="M235" i="26"/>
  <c r="M236" i="26"/>
  <c r="M237" i="26"/>
  <c r="M238" i="26"/>
  <c r="M239" i="26"/>
  <c r="M240" i="26"/>
  <c r="M241" i="26"/>
  <c r="M242" i="26"/>
  <c r="M243" i="26"/>
  <c r="M244" i="26"/>
  <c r="M245" i="26"/>
  <c r="M246" i="26"/>
  <c r="M247" i="26"/>
  <c r="M248" i="26"/>
  <c r="M249" i="26"/>
  <c r="M250" i="26"/>
  <c r="M251" i="26"/>
  <c r="M252" i="26"/>
  <c r="M253" i="26"/>
  <c r="M254" i="26"/>
  <c r="M133" i="26"/>
  <c r="K134" i="26"/>
  <c r="K135" i="26"/>
  <c r="K136" i="26"/>
  <c r="K137" i="26"/>
  <c r="K138" i="26"/>
  <c r="K139" i="26"/>
  <c r="K140" i="26"/>
  <c r="K141" i="26"/>
  <c r="K142" i="26"/>
  <c r="K143" i="26"/>
  <c r="K144" i="26"/>
  <c r="K145" i="26"/>
  <c r="K146" i="26"/>
  <c r="K147" i="26"/>
  <c r="K148" i="26"/>
  <c r="K149" i="26"/>
  <c r="K150" i="26"/>
  <c r="K151" i="26"/>
  <c r="K152" i="26"/>
  <c r="K153" i="26"/>
  <c r="K154" i="26"/>
  <c r="K155" i="26"/>
  <c r="K156" i="26"/>
  <c r="K157" i="26"/>
  <c r="K158" i="26"/>
  <c r="K159" i="26"/>
  <c r="K160" i="26"/>
  <c r="K161" i="26"/>
  <c r="K162" i="26"/>
  <c r="K163" i="26"/>
  <c r="K164" i="26"/>
  <c r="K165" i="26"/>
  <c r="K166" i="26"/>
  <c r="K167" i="26"/>
  <c r="K168" i="26"/>
  <c r="K169" i="26"/>
  <c r="K170" i="26"/>
  <c r="K171" i="26"/>
  <c r="K172" i="26"/>
  <c r="K173" i="26"/>
  <c r="K174" i="26"/>
  <c r="K175" i="26"/>
  <c r="K176" i="26"/>
  <c r="K177" i="26"/>
  <c r="K178" i="26"/>
  <c r="K179" i="26"/>
  <c r="K180" i="26"/>
  <c r="K181" i="26"/>
  <c r="K182" i="26"/>
  <c r="K183" i="26"/>
  <c r="K184" i="26"/>
  <c r="K185" i="26"/>
  <c r="K186" i="26"/>
  <c r="K187" i="26"/>
  <c r="K188" i="26"/>
  <c r="K189" i="26"/>
  <c r="K190" i="26"/>
  <c r="K191" i="26"/>
  <c r="K192" i="26"/>
  <c r="K193" i="26"/>
  <c r="K194" i="26"/>
  <c r="K195" i="26"/>
  <c r="K196" i="26"/>
  <c r="K197" i="26"/>
  <c r="K198" i="26"/>
  <c r="K199" i="26"/>
  <c r="K200" i="26"/>
  <c r="K201" i="26"/>
  <c r="K202" i="26"/>
  <c r="K203" i="26"/>
  <c r="K204" i="26"/>
  <c r="K205" i="26"/>
  <c r="K206" i="26"/>
  <c r="K207" i="26"/>
  <c r="K208" i="26"/>
  <c r="K209" i="26"/>
  <c r="K210" i="26"/>
  <c r="K211" i="26"/>
  <c r="K212" i="26"/>
  <c r="K213" i="26"/>
  <c r="K214" i="26"/>
  <c r="K215" i="26"/>
  <c r="K216" i="26"/>
  <c r="K217" i="26"/>
  <c r="K218" i="26"/>
  <c r="K219" i="26"/>
  <c r="K220" i="26"/>
  <c r="K221" i="26"/>
  <c r="K222" i="26"/>
  <c r="K223" i="26"/>
  <c r="K224" i="26"/>
  <c r="K225" i="26"/>
  <c r="K226" i="26"/>
  <c r="K227" i="26"/>
  <c r="K228" i="26"/>
  <c r="K229" i="26"/>
  <c r="K230" i="26"/>
  <c r="K231" i="26"/>
  <c r="K232" i="26"/>
  <c r="K233" i="26"/>
  <c r="K234" i="26"/>
  <c r="K235" i="26"/>
  <c r="K236" i="26"/>
  <c r="K237" i="26"/>
  <c r="K238" i="26"/>
  <c r="K239" i="26"/>
  <c r="K240" i="26"/>
  <c r="K241" i="26"/>
  <c r="K242" i="26"/>
  <c r="K243" i="26"/>
  <c r="K244" i="26"/>
  <c r="K245" i="26"/>
  <c r="K246" i="26"/>
  <c r="K247" i="26"/>
  <c r="K248" i="26"/>
  <c r="K249" i="26"/>
  <c r="K250" i="26"/>
  <c r="K251" i="26"/>
  <c r="K252" i="26"/>
  <c r="K253" i="26"/>
  <c r="K254" i="26"/>
  <c r="K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133" i="26"/>
  <c r="BE5" i="26"/>
  <c r="BE6" i="26"/>
  <c r="BE7" i="26"/>
  <c r="BE8" i="26"/>
  <c r="BE9" i="26"/>
  <c r="BE10" i="26"/>
  <c r="BE11" i="26"/>
  <c r="BE12" i="26"/>
  <c r="BE13" i="26"/>
  <c r="BE14" i="26"/>
  <c r="BE15" i="26"/>
  <c r="BE16" i="26"/>
  <c r="BE17" i="26"/>
  <c r="BE18" i="26"/>
  <c r="BE19" i="26"/>
  <c r="BE20" i="26"/>
  <c r="BE21" i="26"/>
  <c r="BE22" i="26"/>
  <c r="BE23" i="26"/>
  <c r="BE24" i="26"/>
  <c r="BE25" i="26"/>
  <c r="BE26" i="26"/>
  <c r="BE27" i="26"/>
  <c r="BE28" i="26"/>
  <c r="BE29" i="26"/>
  <c r="BE30" i="26"/>
  <c r="BE31" i="26"/>
  <c r="BE32" i="26"/>
  <c r="BE33" i="26"/>
  <c r="BE34" i="26"/>
  <c r="BE35" i="26"/>
  <c r="BE36" i="26"/>
  <c r="BE37" i="26"/>
  <c r="BE38" i="26"/>
  <c r="BE39" i="26"/>
  <c r="BE40" i="26"/>
  <c r="BE41" i="26"/>
  <c r="BE42" i="26"/>
  <c r="BE43" i="26"/>
  <c r="BE44" i="26"/>
  <c r="BE45" i="26"/>
  <c r="BE46" i="26"/>
  <c r="BE47" i="26"/>
  <c r="BE48" i="26"/>
  <c r="BE49" i="26"/>
  <c r="BE50" i="26"/>
  <c r="BE51" i="26"/>
  <c r="BE52" i="26"/>
  <c r="BE53" i="26"/>
  <c r="BE54" i="26"/>
  <c r="BE55" i="26"/>
  <c r="BE56" i="26"/>
  <c r="BE57" i="26"/>
  <c r="BE58" i="26"/>
  <c r="BE59" i="26"/>
  <c r="BE60" i="26"/>
  <c r="BE61" i="26"/>
  <c r="BE62" i="26"/>
  <c r="BE63" i="26"/>
  <c r="BE64" i="26"/>
  <c r="BE65" i="26"/>
  <c r="BE66" i="26"/>
  <c r="BE67" i="26"/>
  <c r="BE68" i="26"/>
  <c r="BE69" i="26"/>
  <c r="BE70" i="26"/>
  <c r="BE71" i="26"/>
  <c r="BE72" i="26"/>
  <c r="BE73" i="26"/>
  <c r="BE74" i="26"/>
  <c r="BE75" i="26"/>
  <c r="BE76" i="26"/>
  <c r="BE77" i="26"/>
  <c r="BE78" i="26"/>
  <c r="BE79" i="26"/>
  <c r="BE80" i="26"/>
  <c r="BE81" i="26"/>
  <c r="BE82" i="26"/>
  <c r="BE83" i="26"/>
  <c r="BE84" i="26"/>
  <c r="BE85" i="26"/>
  <c r="BE86" i="26"/>
  <c r="BE87" i="26"/>
  <c r="BE88" i="26"/>
  <c r="BE89" i="26"/>
  <c r="BE90" i="26"/>
  <c r="BE91" i="26"/>
  <c r="BE92" i="26"/>
  <c r="BE93" i="26"/>
  <c r="BE94" i="26"/>
  <c r="BE95" i="26"/>
  <c r="BE96" i="26"/>
  <c r="BE97" i="26"/>
  <c r="BE98" i="26"/>
  <c r="BE99" i="26"/>
  <c r="BE100" i="26"/>
  <c r="BE101" i="26"/>
  <c r="BE102" i="26"/>
  <c r="BE103" i="26"/>
  <c r="BE104" i="26"/>
  <c r="BE105" i="26"/>
  <c r="BE106" i="26"/>
  <c r="BE107" i="26"/>
  <c r="BE108" i="26"/>
  <c r="BE109" i="26"/>
  <c r="BE110" i="26"/>
  <c r="BE111" i="26"/>
  <c r="BE112" i="26"/>
  <c r="BE113" i="26"/>
  <c r="BE114" i="26"/>
  <c r="BE115" i="26"/>
  <c r="BE116" i="26"/>
  <c r="BE117" i="26"/>
  <c r="BE118" i="26"/>
  <c r="BE119" i="26"/>
  <c r="BE120" i="26"/>
  <c r="BE121" i="26"/>
  <c r="BE122" i="26"/>
  <c r="BE123" i="26"/>
  <c r="BE124" i="26"/>
  <c r="BE125" i="26"/>
  <c r="BE4" i="26"/>
  <c r="BC5" i="26"/>
  <c r="BC6" i="26"/>
  <c r="BC7" i="26"/>
  <c r="BC8" i="26"/>
  <c r="BC9" i="26"/>
  <c r="BC10" i="26"/>
  <c r="BC11" i="26"/>
  <c r="BC12" i="26"/>
  <c r="BC13" i="26"/>
  <c r="BC14" i="26"/>
  <c r="BC15" i="26"/>
  <c r="BC16" i="26"/>
  <c r="BC17" i="26"/>
  <c r="BC18" i="26"/>
  <c r="BC19" i="26"/>
  <c r="BC20" i="26"/>
  <c r="BC21" i="26"/>
  <c r="BC22" i="26"/>
  <c r="BC23" i="26"/>
  <c r="BC24" i="26"/>
  <c r="BC25" i="26"/>
  <c r="BC26" i="26"/>
  <c r="BC27" i="26"/>
  <c r="BC28" i="26"/>
  <c r="BC29" i="26"/>
  <c r="BC30" i="26"/>
  <c r="BC31" i="26"/>
  <c r="BC32" i="26"/>
  <c r="BC33" i="26"/>
  <c r="BC34" i="26"/>
  <c r="BC35" i="26"/>
  <c r="BC36" i="26"/>
  <c r="BC37" i="26"/>
  <c r="BC38" i="26"/>
  <c r="BC39" i="26"/>
  <c r="BC40" i="26"/>
  <c r="BC41" i="26"/>
  <c r="BC42" i="26"/>
  <c r="BC43" i="26"/>
  <c r="BC44" i="26"/>
  <c r="BC45" i="26"/>
  <c r="BC46" i="26"/>
  <c r="BC47" i="26"/>
  <c r="BC48" i="26"/>
  <c r="BC49" i="26"/>
  <c r="BC50" i="26"/>
  <c r="BC51" i="26"/>
  <c r="BC52" i="26"/>
  <c r="BC53" i="26"/>
  <c r="BC54" i="26"/>
  <c r="BC55" i="26"/>
  <c r="BC56" i="26"/>
  <c r="BC57" i="26"/>
  <c r="BC58" i="26"/>
  <c r="BC59" i="26"/>
  <c r="BC60" i="26"/>
  <c r="BC61" i="26"/>
  <c r="BC62" i="26"/>
  <c r="BC63" i="26"/>
  <c r="BC64" i="26"/>
  <c r="BC65" i="26"/>
  <c r="BC66" i="26"/>
  <c r="BC67" i="26"/>
  <c r="BC68" i="26"/>
  <c r="BC69" i="26"/>
  <c r="BC70" i="26"/>
  <c r="BC71" i="26"/>
  <c r="BC72" i="26"/>
  <c r="BC73" i="26"/>
  <c r="BC74" i="26"/>
  <c r="BC75" i="26"/>
  <c r="BC76" i="26"/>
  <c r="BC77" i="26"/>
  <c r="BC78" i="26"/>
  <c r="BC79" i="26"/>
  <c r="BC80" i="26"/>
  <c r="BC81" i="26"/>
  <c r="BC82" i="26"/>
  <c r="BC83" i="26"/>
  <c r="BC84" i="26"/>
  <c r="BC85" i="26"/>
  <c r="BC86" i="26"/>
  <c r="BC87" i="26"/>
  <c r="BC88" i="26"/>
  <c r="BC89" i="26"/>
  <c r="BC90" i="26"/>
  <c r="BC91" i="26"/>
  <c r="BC92" i="26"/>
  <c r="BC93" i="26"/>
  <c r="BC94" i="26"/>
  <c r="BC95" i="26"/>
  <c r="BC96" i="26"/>
  <c r="BC97" i="26"/>
  <c r="BC98" i="26"/>
  <c r="BC99" i="26"/>
  <c r="BC100" i="26"/>
  <c r="BC101" i="26"/>
  <c r="BC102" i="26"/>
  <c r="BC103" i="26"/>
  <c r="BC104" i="26"/>
  <c r="BC105" i="26"/>
  <c r="BC106" i="26"/>
  <c r="BC107" i="26"/>
  <c r="BC108" i="26"/>
  <c r="BC109" i="26"/>
  <c r="BC110" i="26"/>
  <c r="BC111" i="26"/>
  <c r="BC112" i="26"/>
  <c r="BC113" i="26"/>
  <c r="BC114" i="26"/>
  <c r="BC115" i="26"/>
  <c r="BC116" i="26"/>
  <c r="BC117" i="26"/>
  <c r="BC118" i="26"/>
  <c r="BC119" i="26"/>
  <c r="BC120" i="26"/>
  <c r="BC121" i="26"/>
  <c r="BC122" i="26"/>
  <c r="BC123" i="26"/>
  <c r="BC124" i="26"/>
  <c r="BC125" i="26"/>
  <c r="BC4" i="26"/>
  <c r="BA5" i="26"/>
  <c r="BA6" i="26"/>
  <c r="BA7" i="26"/>
  <c r="BA8" i="26"/>
  <c r="BA9" i="26"/>
  <c r="BA10" i="26"/>
  <c r="BA11" i="26"/>
  <c r="BA12" i="26"/>
  <c r="BA13" i="26"/>
  <c r="BA14" i="26"/>
  <c r="BA15" i="26"/>
  <c r="BA16" i="26"/>
  <c r="BA17" i="26"/>
  <c r="BA18" i="26"/>
  <c r="BA19" i="26"/>
  <c r="BA20" i="26"/>
  <c r="BA21" i="26"/>
  <c r="BA22" i="26"/>
  <c r="BA23" i="26"/>
  <c r="BA24" i="26"/>
  <c r="BA25" i="26"/>
  <c r="BA26" i="26"/>
  <c r="BA27" i="26"/>
  <c r="BA28" i="26"/>
  <c r="BA29" i="26"/>
  <c r="BA30" i="26"/>
  <c r="BA31" i="26"/>
  <c r="BA32" i="26"/>
  <c r="BA33" i="26"/>
  <c r="BA34" i="26"/>
  <c r="BA35" i="26"/>
  <c r="BA36" i="26"/>
  <c r="BA37" i="26"/>
  <c r="BA38" i="26"/>
  <c r="BA39" i="26"/>
  <c r="BA40" i="26"/>
  <c r="BA41" i="26"/>
  <c r="BA42" i="26"/>
  <c r="BA43" i="26"/>
  <c r="BA44" i="26"/>
  <c r="BA45" i="26"/>
  <c r="BA46" i="26"/>
  <c r="BA47" i="26"/>
  <c r="BA48" i="26"/>
  <c r="BA49" i="26"/>
  <c r="BA50" i="26"/>
  <c r="BA51" i="26"/>
  <c r="BA52" i="26"/>
  <c r="BA53" i="26"/>
  <c r="BA54" i="26"/>
  <c r="BA55" i="26"/>
  <c r="BA56" i="26"/>
  <c r="BA57" i="26"/>
  <c r="BA58" i="26"/>
  <c r="BA59" i="26"/>
  <c r="BA60" i="26"/>
  <c r="BA61" i="26"/>
  <c r="BA62" i="26"/>
  <c r="BA63" i="26"/>
  <c r="BA64" i="26"/>
  <c r="BA65" i="26"/>
  <c r="BA66" i="26"/>
  <c r="BA67" i="26"/>
  <c r="BA68" i="26"/>
  <c r="BA69" i="26"/>
  <c r="BA70" i="26"/>
  <c r="BA71" i="26"/>
  <c r="BA72" i="26"/>
  <c r="BA73" i="26"/>
  <c r="BA74" i="26"/>
  <c r="BA75" i="26"/>
  <c r="BA76" i="26"/>
  <c r="BA77" i="26"/>
  <c r="BA78" i="26"/>
  <c r="BA79" i="26"/>
  <c r="BA80" i="26"/>
  <c r="BA81" i="26"/>
  <c r="BA82" i="26"/>
  <c r="BA83" i="26"/>
  <c r="BA84" i="26"/>
  <c r="BA85" i="26"/>
  <c r="BA86" i="26"/>
  <c r="BA87" i="26"/>
  <c r="BA88" i="26"/>
  <c r="BA89" i="26"/>
  <c r="BA90" i="26"/>
  <c r="BA91" i="26"/>
  <c r="BA92" i="26"/>
  <c r="BA93" i="26"/>
  <c r="BA94" i="26"/>
  <c r="BA95" i="26"/>
  <c r="BA96" i="26"/>
  <c r="BA97" i="26"/>
  <c r="BA98" i="26"/>
  <c r="BA99" i="26"/>
  <c r="BA100" i="26"/>
  <c r="BA101" i="26"/>
  <c r="BA102" i="26"/>
  <c r="BA103" i="26"/>
  <c r="BA104" i="26"/>
  <c r="BA105" i="26"/>
  <c r="BA106" i="26"/>
  <c r="BA107" i="26"/>
  <c r="BA108" i="26"/>
  <c r="BA109" i="26"/>
  <c r="BA110" i="26"/>
  <c r="BA111" i="26"/>
  <c r="BA112" i="26"/>
  <c r="BA113" i="26"/>
  <c r="BA114" i="26"/>
  <c r="BA115" i="26"/>
  <c r="BA116" i="26"/>
  <c r="BA117" i="26"/>
  <c r="BA118" i="26"/>
  <c r="BA119" i="26"/>
  <c r="BA120" i="26"/>
  <c r="BA121" i="26"/>
  <c r="BA122" i="26"/>
  <c r="BA123" i="26"/>
  <c r="BA124" i="26"/>
  <c r="BA125" i="26"/>
  <c r="BA4" i="26"/>
  <c r="AY5" i="26"/>
  <c r="AY6" i="26"/>
  <c r="AY7" i="26"/>
  <c r="AY8" i="26"/>
  <c r="AY9" i="26"/>
  <c r="AY10" i="26"/>
  <c r="AY11" i="26"/>
  <c r="AY12" i="26"/>
  <c r="AY13" i="26"/>
  <c r="AY14" i="26"/>
  <c r="AY15" i="26"/>
  <c r="AY16" i="26"/>
  <c r="AY17" i="26"/>
  <c r="AY18" i="26"/>
  <c r="AY19" i="26"/>
  <c r="AY20" i="26"/>
  <c r="AY21" i="26"/>
  <c r="AY22" i="26"/>
  <c r="AY23" i="26"/>
  <c r="AY24" i="26"/>
  <c r="AY25" i="26"/>
  <c r="AY26" i="26"/>
  <c r="AY27" i="26"/>
  <c r="AY28" i="26"/>
  <c r="AY29" i="26"/>
  <c r="AY30" i="26"/>
  <c r="AY31" i="26"/>
  <c r="AY32" i="26"/>
  <c r="AY33" i="26"/>
  <c r="AY34" i="26"/>
  <c r="AY35" i="26"/>
  <c r="AY36" i="26"/>
  <c r="AY37" i="26"/>
  <c r="AY38" i="26"/>
  <c r="AY39" i="26"/>
  <c r="AY40" i="26"/>
  <c r="AY41" i="26"/>
  <c r="AY42" i="26"/>
  <c r="AY43" i="26"/>
  <c r="AY44" i="26"/>
  <c r="AY45" i="26"/>
  <c r="AY46" i="26"/>
  <c r="AY47" i="26"/>
  <c r="AY48" i="26"/>
  <c r="AY49" i="26"/>
  <c r="AY50" i="26"/>
  <c r="AY51" i="26"/>
  <c r="AY52" i="26"/>
  <c r="AY53" i="26"/>
  <c r="AY54" i="26"/>
  <c r="AY55" i="26"/>
  <c r="AY56" i="26"/>
  <c r="AY57" i="26"/>
  <c r="AY58" i="26"/>
  <c r="AY59" i="26"/>
  <c r="AY60" i="26"/>
  <c r="AY61" i="26"/>
  <c r="AY62" i="26"/>
  <c r="AY63" i="26"/>
  <c r="AY64" i="26"/>
  <c r="AY65" i="26"/>
  <c r="AY66" i="26"/>
  <c r="AY67" i="26"/>
  <c r="AY68" i="26"/>
  <c r="AY69" i="26"/>
  <c r="AY70" i="26"/>
  <c r="AY71" i="26"/>
  <c r="AY72" i="26"/>
  <c r="AY73" i="26"/>
  <c r="AY74" i="26"/>
  <c r="AY75" i="26"/>
  <c r="AY76" i="26"/>
  <c r="AY77" i="26"/>
  <c r="AY78" i="26"/>
  <c r="AY79" i="26"/>
  <c r="AY80" i="26"/>
  <c r="AY81" i="26"/>
  <c r="AY82" i="26"/>
  <c r="AY83" i="26"/>
  <c r="AY84" i="26"/>
  <c r="AY85" i="26"/>
  <c r="AY86" i="26"/>
  <c r="AY87" i="26"/>
  <c r="AY88" i="26"/>
  <c r="AY89" i="26"/>
  <c r="AY90" i="26"/>
  <c r="AY91" i="26"/>
  <c r="AY92" i="26"/>
  <c r="AY93" i="26"/>
  <c r="AY94" i="26"/>
  <c r="AY95" i="26"/>
  <c r="AY96" i="26"/>
  <c r="AY97" i="26"/>
  <c r="AY98" i="26"/>
  <c r="AY99" i="26"/>
  <c r="AY100" i="26"/>
  <c r="AY101" i="26"/>
  <c r="AY102" i="26"/>
  <c r="AY103" i="26"/>
  <c r="AY104" i="26"/>
  <c r="AY105" i="26"/>
  <c r="AY106" i="26"/>
  <c r="AY107" i="26"/>
  <c r="AY108" i="26"/>
  <c r="AY109" i="26"/>
  <c r="AY110" i="26"/>
  <c r="AY111" i="26"/>
  <c r="AY112" i="26"/>
  <c r="AY113" i="26"/>
  <c r="AY114" i="26"/>
  <c r="AY115" i="26"/>
  <c r="AY116" i="26"/>
  <c r="AY117" i="26"/>
  <c r="AY118" i="26"/>
  <c r="AY119" i="26"/>
  <c r="AY120" i="26"/>
  <c r="AY121" i="26"/>
  <c r="AY122" i="26"/>
  <c r="AY123" i="26"/>
  <c r="AY124" i="26"/>
  <c r="AY125" i="26"/>
  <c r="AY4" i="26"/>
  <c r="AW5" i="26"/>
  <c r="AW6" i="26"/>
  <c r="AW7" i="26"/>
  <c r="AW8" i="26"/>
  <c r="AW9" i="26"/>
  <c r="AW10" i="26"/>
  <c r="AW11" i="26"/>
  <c r="AW12" i="26"/>
  <c r="AW13" i="26"/>
  <c r="AW14" i="26"/>
  <c r="AW15" i="26"/>
  <c r="AW16" i="26"/>
  <c r="AW17" i="26"/>
  <c r="AW18" i="26"/>
  <c r="AW19" i="26"/>
  <c r="AW20" i="26"/>
  <c r="AW21" i="26"/>
  <c r="AW22" i="26"/>
  <c r="AW23" i="26"/>
  <c r="AW24" i="26"/>
  <c r="AW25" i="26"/>
  <c r="AW26" i="26"/>
  <c r="AW27" i="26"/>
  <c r="AW28" i="26"/>
  <c r="AW29" i="26"/>
  <c r="AW30" i="26"/>
  <c r="AW31" i="26"/>
  <c r="AW32" i="26"/>
  <c r="AW33" i="26"/>
  <c r="AW34" i="26"/>
  <c r="AW35" i="26"/>
  <c r="AW36" i="26"/>
  <c r="AW37" i="26"/>
  <c r="AW38" i="26"/>
  <c r="AW39" i="26"/>
  <c r="AW40" i="26"/>
  <c r="AW41" i="26"/>
  <c r="AW42" i="26"/>
  <c r="AW43" i="26"/>
  <c r="AW44" i="26"/>
  <c r="AW45" i="26"/>
  <c r="AW46" i="26"/>
  <c r="AW47" i="26"/>
  <c r="AW48" i="26"/>
  <c r="AW49" i="26"/>
  <c r="AW50" i="26"/>
  <c r="AW51" i="26"/>
  <c r="AW52" i="26"/>
  <c r="AW53" i="26"/>
  <c r="AW54" i="26"/>
  <c r="AW55" i="26"/>
  <c r="AW56" i="26"/>
  <c r="AW57" i="26"/>
  <c r="AW58" i="26"/>
  <c r="AW59" i="26"/>
  <c r="AW60" i="26"/>
  <c r="AW61" i="26"/>
  <c r="AW62" i="26"/>
  <c r="AW63" i="26"/>
  <c r="AW64" i="26"/>
  <c r="AW65" i="26"/>
  <c r="AW66" i="26"/>
  <c r="AW67" i="26"/>
  <c r="AW68" i="26"/>
  <c r="AW69" i="26"/>
  <c r="AW70" i="26"/>
  <c r="AW71" i="26"/>
  <c r="AW72" i="26"/>
  <c r="AW73" i="26"/>
  <c r="AW74" i="26"/>
  <c r="AW75" i="26"/>
  <c r="AW76" i="26"/>
  <c r="AW77" i="26"/>
  <c r="AW78" i="26"/>
  <c r="AW79" i="26"/>
  <c r="AW80" i="26"/>
  <c r="AW81" i="26"/>
  <c r="AW82" i="26"/>
  <c r="AW83" i="26"/>
  <c r="AW84" i="26"/>
  <c r="AW85" i="26"/>
  <c r="AW86" i="26"/>
  <c r="AW87" i="26"/>
  <c r="AW88" i="26"/>
  <c r="AW89" i="26"/>
  <c r="AW90" i="26"/>
  <c r="AW91" i="26"/>
  <c r="AW92" i="26"/>
  <c r="AW93" i="26"/>
  <c r="AW94" i="26"/>
  <c r="AW95" i="26"/>
  <c r="AW96" i="26"/>
  <c r="AW97" i="26"/>
  <c r="AW98" i="26"/>
  <c r="AW99" i="26"/>
  <c r="AW100" i="26"/>
  <c r="AW101" i="26"/>
  <c r="AW102" i="26"/>
  <c r="AW103" i="26"/>
  <c r="AW104" i="26"/>
  <c r="AW105" i="26"/>
  <c r="AW106" i="26"/>
  <c r="AW107" i="26"/>
  <c r="AW108" i="26"/>
  <c r="AW109" i="26"/>
  <c r="AW110" i="26"/>
  <c r="AW111" i="26"/>
  <c r="AW112" i="26"/>
  <c r="AW113" i="26"/>
  <c r="AW114" i="26"/>
  <c r="AW115" i="26"/>
  <c r="AW116" i="26"/>
  <c r="AW117" i="26"/>
  <c r="AW118" i="26"/>
  <c r="AW119" i="26"/>
  <c r="AW120" i="26"/>
  <c r="AW121" i="26"/>
  <c r="AW122" i="26"/>
  <c r="AW123" i="26"/>
  <c r="AW124" i="26"/>
  <c r="AW125" i="26"/>
  <c r="AW4" i="26"/>
  <c r="AU5" i="26"/>
  <c r="AU6" i="26"/>
  <c r="AU7" i="26"/>
  <c r="AU8" i="26"/>
  <c r="AU9" i="26"/>
  <c r="AU10" i="26"/>
  <c r="AU11" i="26"/>
  <c r="AU12" i="26"/>
  <c r="AU13" i="26"/>
  <c r="AU14" i="26"/>
  <c r="AU15" i="26"/>
  <c r="AU16" i="26"/>
  <c r="AU17" i="26"/>
  <c r="AU18" i="26"/>
  <c r="AU19" i="26"/>
  <c r="AU20" i="26"/>
  <c r="AU21" i="26"/>
  <c r="AU22" i="26"/>
  <c r="AU23" i="26"/>
  <c r="AU24" i="26"/>
  <c r="AU25" i="26"/>
  <c r="AU26" i="26"/>
  <c r="AU27" i="26"/>
  <c r="AU28" i="26"/>
  <c r="AU29" i="26"/>
  <c r="AU30" i="26"/>
  <c r="AU31" i="26"/>
  <c r="AU32" i="26"/>
  <c r="AU33" i="26"/>
  <c r="AU34" i="26"/>
  <c r="AU35" i="26"/>
  <c r="AU36" i="26"/>
  <c r="AU37" i="26"/>
  <c r="AU38" i="26"/>
  <c r="AU39" i="26"/>
  <c r="AU40" i="26"/>
  <c r="AU41" i="26"/>
  <c r="AU42" i="26"/>
  <c r="AU43" i="26"/>
  <c r="AU44" i="26"/>
  <c r="AU45" i="26"/>
  <c r="AU46" i="26"/>
  <c r="AU47" i="26"/>
  <c r="AU48" i="26"/>
  <c r="AU49" i="26"/>
  <c r="AU50" i="26"/>
  <c r="AU51" i="26"/>
  <c r="AU52" i="26"/>
  <c r="AU53" i="26"/>
  <c r="AU54" i="26"/>
  <c r="AU55" i="26"/>
  <c r="AU56" i="26"/>
  <c r="AU57" i="26"/>
  <c r="AU58" i="26"/>
  <c r="AU59" i="26"/>
  <c r="AU60" i="26"/>
  <c r="AU61" i="26"/>
  <c r="AU62" i="26"/>
  <c r="AU63" i="26"/>
  <c r="AU64" i="26"/>
  <c r="AU65" i="26"/>
  <c r="AU66" i="26"/>
  <c r="AU67" i="26"/>
  <c r="AU68" i="26"/>
  <c r="AU69" i="26"/>
  <c r="AU70" i="26"/>
  <c r="AU71" i="26"/>
  <c r="AU72" i="26"/>
  <c r="AU73" i="26"/>
  <c r="AU74" i="26"/>
  <c r="AU75" i="26"/>
  <c r="AU76" i="26"/>
  <c r="AU77" i="26"/>
  <c r="AU78" i="26"/>
  <c r="AU79" i="26"/>
  <c r="AU80" i="26"/>
  <c r="AU81" i="26"/>
  <c r="AU82" i="26"/>
  <c r="AU83" i="26"/>
  <c r="AU84" i="26"/>
  <c r="AU85" i="26"/>
  <c r="AU86" i="26"/>
  <c r="AU87" i="26"/>
  <c r="AU88" i="26"/>
  <c r="AU89" i="26"/>
  <c r="AU90" i="26"/>
  <c r="AU91" i="26"/>
  <c r="AU92" i="26"/>
  <c r="AU93" i="26"/>
  <c r="AU94" i="26"/>
  <c r="AU95" i="26"/>
  <c r="AU96" i="26"/>
  <c r="AU97" i="26"/>
  <c r="AU98" i="26"/>
  <c r="AU99" i="26"/>
  <c r="AU100" i="26"/>
  <c r="AU101" i="26"/>
  <c r="AU102" i="26"/>
  <c r="AU103" i="26"/>
  <c r="AU104" i="26"/>
  <c r="AU105" i="26"/>
  <c r="AU106" i="26"/>
  <c r="AU107" i="26"/>
  <c r="AU108" i="26"/>
  <c r="AU109" i="26"/>
  <c r="AU110" i="26"/>
  <c r="AU111" i="26"/>
  <c r="AU112" i="26"/>
  <c r="AU113" i="26"/>
  <c r="AU114" i="26"/>
  <c r="AU115" i="26"/>
  <c r="AU116" i="26"/>
  <c r="AU117" i="26"/>
  <c r="AU118" i="26"/>
  <c r="AU119" i="26"/>
  <c r="AU120" i="26"/>
  <c r="AU121" i="26"/>
  <c r="AU122" i="26"/>
  <c r="AU123" i="26"/>
  <c r="AU124" i="26"/>
  <c r="AU125" i="26"/>
  <c r="AU4" i="26"/>
  <c r="AS5" i="26"/>
  <c r="AS6" i="26"/>
  <c r="AS7" i="26"/>
  <c r="AS8" i="26"/>
  <c r="AS9" i="26"/>
  <c r="AS10" i="26"/>
  <c r="AS11" i="26"/>
  <c r="AS12" i="26"/>
  <c r="AS13" i="26"/>
  <c r="AS14" i="26"/>
  <c r="AS15" i="26"/>
  <c r="AS16" i="26"/>
  <c r="AS17" i="26"/>
  <c r="AS18" i="26"/>
  <c r="AS19" i="26"/>
  <c r="AS20" i="26"/>
  <c r="AS21" i="26"/>
  <c r="AS22" i="26"/>
  <c r="AS23" i="26"/>
  <c r="AS24" i="26"/>
  <c r="AS25" i="26"/>
  <c r="AS26" i="26"/>
  <c r="AS27" i="26"/>
  <c r="AS28" i="26"/>
  <c r="AS29" i="26"/>
  <c r="AS30" i="26"/>
  <c r="AS31" i="26"/>
  <c r="AS32" i="26"/>
  <c r="AS33" i="26"/>
  <c r="AS34" i="26"/>
  <c r="AS35" i="26"/>
  <c r="AS36" i="26"/>
  <c r="AS37" i="26"/>
  <c r="AS38" i="26"/>
  <c r="AS39" i="26"/>
  <c r="AS40" i="26"/>
  <c r="AS41" i="26"/>
  <c r="AS42" i="26"/>
  <c r="AS43" i="26"/>
  <c r="AS44" i="26"/>
  <c r="AS45" i="26"/>
  <c r="AS46" i="26"/>
  <c r="AS47" i="26"/>
  <c r="AS48" i="26"/>
  <c r="AS49" i="26"/>
  <c r="AS50" i="26"/>
  <c r="AS51" i="26"/>
  <c r="AS52" i="26"/>
  <c r="AS53" i="26"/>
  <c r="AS54" i="26"/>
  <c r="AS55" i="26"/>
  <c r="AS56" i="26"/>
  <c r="AS57" i="26"/>
  <c r="AS58" i="26"/>
  <c r="AS59" i="26"/>
  <c r="AS60" i="26"/>
  <c r="AS61" i="26"/>
  <c r="AS62" i="26"/>
  <c r="AS63" i="26"/>
  <c r="AS64" i="26"/>
  <c r="AS65" i="26"/>
  <c r="AS66" i="26"/>
  <c r="AS67" i="26"/>
  <c r="AS68" i="26"/>
  <c r="AS69" i="26"/>
  <c r="AS70" i="26"/>
  <c r="AS71" i="26"/>
  <c r="AS72" i="26"/>
  <c r="AS73" i="26"/>
  <c r="AS74" i="26"/>
  <c r="AS75" i="26"/>
  <c r="AS76" i="26"/>
  <c r="AS77" i="26"/>
  <c r="AS78" i="26"/>
  <c r="AS79" i="26"/>
  <c r="AS80" i="26"/>
  <c r="AS81" i="26"/>
  <c r="AS82" i="26"/>
  <c r="AS83" i="26"/>
  <c r="AS84" i="26"/>
  <c r="AS85" i="26"/>
  <c r="AS86" i="26"/>
  <c r="AS87" i="26"/>
  <c r="AS88" i="26"/>
  <c r="AS89" i="26"/>
  <c r="AS90" i="26"/>
  <c r="AS91" i="26"/>
  <c r="AS92" i="26"/>
  <c r="AS93" i="26"/>
  <c r="AS94" i="26"/>
  <c r="AS95" i="26"/>
  <c r="AS96" i="26"/>
  <c r="AS97" i="26"/>
  <c r="AS98" i="26"/>
  <c r="AS99" i="26"/>
  <c r="AS100" i="26"/>
  <c r="AS101" i="26"/>
  <c r="AS102" i="26"/>
  <c r="AS103" i="26"/>
  <c r="AS104" i="26"/>
  <c r="AS105" i="26"/>
  <c r="AS106" i="26"/>
  <c r="AS107" i="26"/>
  <c r="AS108" i="26"/>
  <c r="AS109" i="26"/>
  <c r="AS110" i="26"/>
  <c r="AS111" i="26"/>
  <c r="AS112" i="26"/>
  <c r="AS113" i="26"/>
  <c r="AS114" i="26"/>
  <c r="AS115" i="26"/>
  <c r="AS116" i="26"/>
  <c r="AS117" i="26"/>
  <c r="AS118" i="26"/>
  <c r="AS119" i="26"/>
  <c r="AS120" i="26"/>
  <c r="AS121" i="26"/>
  <c r="AS122" i="26"/>
  <c r="AS123" i="26"/>
  <c r="AS124" i="26"/>
  <c r="AS125" i="26"/>
  <c r="AS4" i="26"/>
  <c r="AQ5" i="26"/>
  <c r="AQ6" i="26"/>
  <c r="AQ7" i="26"/>
  <c r="AQ8" i="26"/>
  <c r="AQ9" i="26"/>
  <c r="AQ10" i="26"/>
  <c r="AQ11" i="26"/>
  <c r="AQ12" i="26"/>
  <c r="AQ13" i="26"/>
  <c r="AQ14" i="26"/>
  <c r="AQ15" i="26"/>
  <c r="AQ16" i="26"/>
  <c r="AQ17" i="26"/>
  <c r="AQ18" i="26"/>
  <c r="AQ19" i="26"/>
  <c r="AQ20" i="26"/>
  <c r="AQ21" i="26"/>
  <c r="AQ22" i="26"/>
  <c r="AQ23" i="26"/>
  <c r="AQ24" i="26"/>
  <c r="AQ25" i="26"/>
  <c r="AQ26" i="26"/>
  <c r="AQ27" i="26"/>
  <c r="AQ28" i="26"/>
  <c r="AQ29" i="26"/>
  <c r="AQ30" i="26"/>
  <c r="AQ31" i="26"/>
  <c r="AQ32" i="26"/>
  <c r="AQ33" i="26"/>
  <c r="AQ34" i="26"/>
  <c r="AQ35" i="26"/>
  <c r="AQ36" i="26"/>
  <c r="AQ37" i="26"/>
  <c r="AQ38" i="26"/>
  <c r="AQ39" i="26"/>
  <c r="AQ40" i="26"/>
  <c r="AQ41" i="26"/>
  <c r="AQ42" i="26"/>
  <c r="AQ43" i="26"/>
  <c r="AQ44" i="26"/>
  <c r="AQ45" i="26"/>
  <c r="AQ46" i="26"/>
  <c r="AQ47" i="26"/>
  <c r="AQ48" i="26"/>
  <c r="AQ49" i="26"/>
  <c r="AQ50" i="26"/>
  <c r="AQ51" i="26"/>
  <c r="AQ52" i="26"/>
  <c r="AQ53" i="26"/>
  <c r="AQ54" i="26"/>
  <c r="AQ55" i="26"/>
  <c r="AQ56" i="26"/>
  <c r="AQ57" i="26"/>
  <c r="AQ58" i="26"/>
  <c r="AQ59" i="26"/>
  <c r="AQ60" i="26"/>
  <c r="AQ61" i="26"/>
  <c r="AQ62" i="26"/>
  <c r="AQ63" i="26"/>
  <c r="AQ64" i="26"/>
  <c r="AQ65" i="26"/>
  <c r="AQ66" i="26"/>
  <c r="AQ67" i="26"/>
  <c r="AQ68" i="26"/>
  <c r="AQ69" i="26"/>
  <c r="AQ70" i="26"/>
  <c r="AQ71" i="26"/>
  <c r="AQ72" i="26"/>
  <c r="AQ73" i="26"/>
  <c r="AQ74" i="26"/>
  <c r="AQ75" i="26"/>
  <c r="AQ76" i="26"/>
  <c r="AQ77" i="26"/>
  <c r="AQ78" i="26"/>
  <c r="AQ79" i="26"/>
  <c r="AQ80" i="26"/>
  <c r="AQ81" i="26"/>
  <c r="AQ82" i="26"/>
  <c r="AQ83" i="26"/>
  <c r="AQ84" i="26"/>
  <c r="AQ85" i="26"/>
  <c r="AQ86" i="26"/>
  <c r="AQ87" i="26"/>
  <c r="AQ88" i="26"/>
  <c r="AQ89" i="26"/>
  <c r="AQ90" i="26"/>
  <c r="AQ91" i="26"/>
  <c r="AQ92" i="26"/>
  <c r="AQ93" i="26"/>
  <c r="AQ94" i="26"/>
  <c r="AQ95" i="26"/>
  <c r="AQ96" i="26"/>
  <c r="AQ97" i="26"/>
  <c r="AQ98" i="26"/>
  <c r="AQ99" i="26"/>
  <c r="AQ100" i="26"/>
  <c r="AQ101" i="26"/>
  <c r="AQ102" i="26"/>
  <c r="AQ103" i="26"/>
  <c r="AQ104" i="26"/>
  <c r="AQ105" i="26"/>
  <c r="AQ106" i="26"/>
  <c r="AQ107" i="26"/>
  <c r="AQ108" i="26"/>
  <c r="AQ109" i="26"/>
  <c r="AQ110" i="26"/>
  <c r="AQ111" i="26"/>
  <c r="AQ112" i="26"/>
  <c r="AQ113" i="26"/>
  <c r="AQ114" i="26"/>
  <c r="AQ115" i="26"/>
  <c r="AQ116" i="26"/>
  <c r="AQ117" i="26"/>
  <c r="AQ118" i="26"/>
  <c r="AQ119" i="26"/>
  <c r="AQ120" i="26"/>
  <c r="AQ121" i="26"/>
  <c r="AQ122" i="26"/>
  <c r="AQ123" i="26"/>
  <c r="AQ124" i="26"/>
  <c r="AQ125" i="26"/>
  <c r="AQ4" i="26"/>
  <c r="AO5" i="26"/>
  <c r="AO6" i="26"/>
  <c r="AO7" i="26"/>
  <c r="AO8" i="26"/>
  <c r="AO9" i="26"/>
  <c r="AO10" i="26"/>
  <c r="AO11" i="26"/>
  <c r="AO12" i="26"/>
  <c r="AO13" i="26"/>
  <c r="AO14" i="26"/>
  <c r="AO15" i="26"/>
  <c r="AO16" i="26"/>
  <c r="AO17" i="26"/>
  <c r="AO18" i="26"/>
  <c r="AO19" i="26"/>
  <c r="AO20" i="26"/>
  <c r="AO21" i="26"/>
  <c r="AO22" i="26"/>
  <c r="AO23" i="26"/>
  <c r="AO24" i="26"/>
  <c r="AO25" i="26"/>
  <c r="AO26" i="26"/>
  <c r="AO27" i="26"/>
  <c r="AO28" i="26"/>
  <c r="AO29" i="26"/>
  <c r="AO30" i="26"/>
  <c r="AO31" i="26"/>
  <c r="AO32" i="26"/>
  <c r="AO33" i="26"/>
  <c r="AO34" i="26"/>
  <c r="AO35" i="26"/>
  <c r="AO36" i="26"/>
  <c r="AO37" i="26"/>
  <c r="AO38" i="26"/>
  <c r="AO39" i="26"/>
  <c r="AO40" i="26"/>
  <c r="AO41" i="26"/>
  <c r="AO42" i="26"/>
  <c r="AO43" i="26"/>
  <c r="AO44" i="26"/>
  <c r="AO45" i="26"/>
  <c r="AO46" i="26"/>
  <c r="AO47" i="26"/>
  <c r="AO48" i="26"/>
  <c r="AO49" i="26"/>
  <c r="AO50" i="26"/>
  <c r="AO51" i="26"/>
  <c r="AO52" i="26"/>
  <c r="AO53" i="26"/>
  <c r="AO54" i="26"/>
  <c r="AO55" i="26"/>
  <c r="AO56" i="26"/>
  <c r="AO57" i="26"/>
  <c r="AO58" i="26"/>
  <c r="AO59" i="26"/>
  <c r="AO60" i="26"/>
  <c r="AO61" i="26"/>
  <c r="AO62" i="26"/>
  <c r="AO63" i="26"/>
  <c r="AO64" i="26"/>
  <c r="AO65" i="26"/>
  <c r="AO66" i="26"/>
  <c r="AO67" i="26"/>
  <c r="AO68" i="26"/>
  <c r="AO69" i="26"/>
  <c r="AO70" i="26"/>
  <c r="AO71" i="26"/>
  <c r="AO72" i="26"/>
  <c r="AO73" i="26"/>
  <c r="AO74" i="26"/>
  <c r="AO75" i="26"/>
  <c r="AO76" i="26"/>
  <c r="AO77" i="26"/>
  <c r="AO78" i="26"/>
  <c r="AO79" i="26"/>
  <c r="AO80" i="26"/>
  <c r="AO81" i="26"/>
  <c r="AO82" i="26"/>
  <c r="AO83" i="26"/>
  <c r="AO84" i="26"/>
  <c r="AO85" i="26"/>
  <c r="AO86" i="26"/>
  <c r="AO87" i="26"/>
  <c r="AO88" i="26"/>
  <c r="AO89" i="26"/>
  <c r="AO90" i="26"/>
  <c r="AO91" i="26"/>
  <c r="AO92" i="26"/>
  <c r="AO93" i="26"/>
  <c r="AO94" i="26"/>
  <c r="AO95" i="26"/>
  <c r="AO96" i="26"/>
  <c r="AO97" i="26"/>
  <c r="AO98" i="26"/>
  <c r="AO99" i="26"/>
  <c r="AO100" i="26"/>
  <c r="AO101" i="26"/>
  <c r="AO102" i="26"/>
  <c r="AO103" i="26"/>
  <c r="AO104" i="26"/>
  <c r="AO105" i="26"/>
  <c r="AO106" i="26"/>
  <c r="AO107" i="26"/>
  <c r="AO108" i="26"/>
  <c r="AO109" i="26"/>
  <c r="AO110" i="26"/>
  <c r="AO111" i="26"/>
  <c r="AO112" i="26"/>
  <c r="AO113" i="26"/>
  <c r="AO114" i="26"/>
  <c r="AO115" i="26"/>
  <c r="AO116" i="26"/>
  <c r="AO117" i="26"/>
  <c r="AO118" i="26"/>
  <c r="AO119" i="26"/>
  <c r="AO120" i="26"/>
  <c r="AO121" i="26"/>
  <c r="AO122" i="26"/>
  <c r="AO123" i="26"/>
  <c r="AO124" i="26"/>
  <c r="AO125" i="26"/>
  <c r="AO4" i="26"/>
  <c r="AK5" i="26"/>
  <c r="AK6" i="26"/>
  <c r="AK7" i="26"/>
  <c r="AK8" i="26"/>
  <c r="AK9" i="26"/>
  <c r="AK10" i="26"/>
  <c r="AK11" i="26"/>
  <c r="AK12" i="26"/>
  <c r="AK13" i="26"/>
  <c r="AK14" i="26"/>
  <c r="AK15" i="26"/>
  <c r="AK16" i="26"/>
  <c r="AK17" i="26"/>
  <c r="AK18" i="26"/>
  <c r="AK19" i="26"/>
  <c r="AK20" i="26"/>
  <c r="AK21" i="26"/>
  <c r="AK22" i="26"/>
  <c r="AK23" i="26"/>
  <c r="AK24" i="26"/>
  <c r="AK25" i="26"/>
  <c r="AK26" i="26"/>
  <c r="AK27" i="26"/>
  <c r="AK28" i="26"/>
  <c r="AK29" i="26"/>
  <c r="AK30" i="26"/>
  <c r="AK31" i="26"/>
  <c r="AK32" i="26"/>
  <c r="AK33" i="26"/>
  <c r="AK34" i="26"/>
  <c r="AK35" i="26"/>
  <c r="AK36" i="26"/>
  <c r="AK37" i="26"/>
  <c r="AK38" i="26"/>
  <c r="AK39" i="26"/>
  <c r="AK40" i="26"/>
  <c r="AK41" i="26"/>
  <c r="AK42" i="26"/>
  <c r="AK43" i="26"/>
  <c r="AK44" i="26"/>
  <c r="AK45" i="26"/>
  <c r="AK46" i="26"/>
  <c r="AK47" i="26"/>
  <c r="AK48" i="26"/>
  <c r="AK49" i="26"/>
  <c r="AK50" i="26"/>
  <c r="AK51" i="26"/>
  <c r="AK52" i="26"/>
  <c r="AK53" i="26"/>
  <c r="AK54" i="26"/>
  <c r="AK55" i="26"/>
  <c r="AK56" i="26"/>
  <c r="AK57" i="26"/>
  <c r="AK58" i="26"/>
  <c r="AK59" i="26"/>
  <c r="AK60" i="26"/>
  <c r="AK61" i="26"/>
  <c r="AK62" i="26"/>
  <c r="AK63" i="26"/>
  <c r="AK64" i="26"/>
  <c r="AK65" i="26"/>
  <c r="AK66" i="26"/>
  <c r="AK67" i="26"/>
  <c r="AK68" i="26"/>
  <c r="AK69" i="26"/>
  <c r="AK70" i="26"/>
  <c r="AK71" i="26"/>
  <c r="AK72" i="26"/>
  <c r="AK73" i="26"/>
  <c r="AK74" i="26"/>
  <c r="AK75" i="26"/>
  <c r="AK76" i="26"/>
  <c r="AK77" i="26"/>
  <c r="AK78" i="26"/>
  <c r="AK79" i="26"/>
  <c r="AK80" i="26"/>
  <c r="AK81" i="26"/>
  <c r="AK82" i="26"/>
  <c r="AK83" i="26"/>
  <c r="AK84" i="26"/>
  <c r="AK85" i="26"/>
  <c r="AK86" i="26"/>
  <c r="AK87" i="26"/>
  <c r="AK88" i="26"/>
  <c r="AK89" i="26"/>
  <c r="AK90" i="26"/>
  <c r="AK91" i="26"/>
  <c r="AK92" i="26"/>
  <c r="AK93" i="26"/>
  <c r="AK94" i="26"/>
  <c r="AK95" i="26"/>
  <c r="AK96" i="26"/>
  <c r="AK97" i="26"/>
  <c r="AK98" i="26"/>
  <c r="AK99" i="26"/>
  <c r="AK100" i="26"/>
  <c r="AK101" i="26"/>
  <c r="AK102" i="26"/>
  <c r="AK103" i="26"/>
  <c r="AK104" i="26"/>
  <c r="AK105" i="26"/>
  <c r="AK106" i="26"/>
  <c r="AK107" i="26"/>
  <c r="AK108" i="26"/>
  <c r="AK109" i="26"/>
  <c r="AK110" i="26"/>
  <c r="AK111" i="26"/>
  <c r="AK112" i="26"/>
  <c r="AK113" i="26"/>
  <c r="AK114" i="26"/>
  <c r="AK115" i="26"/>
  <c r="AK116" i="26"/>
  <c r="AK117" i="26"/>
  <c r="AK118" i="26"/>
  <c r="AK119" i="26"/>
  <c r="AK120" i="26"/>
  <c r="AK121" i="26"/>
  <c r="AK122" i="26"/>
  <c r="AK123" i="26"/>
  <c r="AK124" i="26"/>
  <c r="AK125" i="26"/>
  <c r="AK4" i="26"/>
  <c r="AI5" i="26"/>
  <c r="AI6" i="26"/>
  <c r="AI7" i="26"/>
  <c r="AI8" i="26"/>
  <c r="AI9" i="26"/>
  <c r="AI10" i="26"/>
  <c r="AI11" i="26"/>
  <c r="AI12" i="26"/>
  <c r="AI13" i="26"/>
  <c r="AI14" i="26"/>
  <c r="AI15" i="26"/>
  <c r="AI16" i="26"/>
  <c r="AI17" i="26"/>
  <c r="AI18" i="26"/>
  <c r="AI19" i="26"/>
  <c r="AI20" i="26"/>
  <c r="AI21" i="26"/>
  <c r="AI22" i="26"/>
  <c r="AI23" i="26"/>
  <c r="AI24" i="26"/>
  <c r="AI25" i="26"/>
  <c r="AI26" i="26"/>
  <c r="AI27" i="26"/>
  <c r="AI28" i="26"/>
  <c r="AI29" i="26"/>
  <c r="AI30" i="26"/>
  <c r="AI31" i="26"/>
  <c r="AI32" i="26"/>
  <c r="AI33" i="26"/>
  <c r="AI34" i="26"/>
  <c r="AI35" i="26"/>
  <c r="AI36" i="26"/>
  <c r="AI37" i="26"/>
  <c r="AI38" i="26"/>
  <c r="AI39" i="26"/>
  <c r="AI40" i="26"/>
  <c r="AI41" i="26"/>
  <c r="AI42" i="26"/>
  <c r="AI43" i="26"/>
  <c r="AI44" i="26"/>
  <c r="AI45" i="26"/>
  <c r="AI46" i="26"/>
  <c r="AI47" i="26"/>
  <c r="AI48" i="26"/>
  <c r="AI49" i="26"/>
  <c r="AI50" i="26"/>
  <c r="AI51" i="26"/>
  <c r="AI52" i="26"/>
  <c r="AI53" i="26"/>
  <c r="AI54" i="26"/>
  <c r="AI55" i="26"/>
  <c r="AI56" i="26"/>
  <c r="AI57" i="26"/>
  <c r="AI58" i="26"/>
  <c r="AI59" i="26"/>
  <c r="AI60" i="26"/>
  <c r="AI61" i="26"/>
  <c r="AI62" i="26"/>
  <c r="AI63" i="26"/>
  <c r="AI64" i="26"/>
  <c r="AI65" i="26"/>
  <c r="AI66" i="26"/>
  <c r="AI67" i="26"/>
  <c r="AI68" i="26"/>
  <c r="AI69" i="26"/>
  <c r="AI70" i="26"/>
  <c r="AI71" i="26"/>
  <c r="AI72" i="26"/>
  <c r="AI73" i="26"/>
  <c r="AI74" i="26"/>
  <c r="AI75" i="26"/>
  <c r="AI76" i="26"/>
  <c r="AI77" i="26"/>
  <c r="AI78" i="26"/>
  <c r="AI79" i="26"/>
  <c r="AI80" i="26"/>
  <c r="AI81" i="26"/>
  <c r="AI82" i="26"/>
  <c r="AI83" i="26"/>
  <c r="AI84" i="26"/>
  <c r="AI85" i="26"/>
  <c r="AI86" i="26"/>
  <c r="AI87" i="26"/>
  <c r="AI88" i="26"/>
  <c r="AI89" i="26"/>
  <c r="AI90" i="26"/>
  <c r="AI91" i="26"/>
  <c r="AI92" i="26"/>
  <c r="AI93" i="26"/>
  <c r="AI94" i="26"/>
  <c r="AI95" i="26"/>
  <c r="AI96" i="26"/>
  <c r="AI97" i="26"/>
  <c r="AI98" i="26"/>
  <c r="AI99" i="26"/>
  <c r="AI100" i="26"/>
  <c r="AI101" i="26"/>
  <c r="AI102" i="26"/>
  <c r="AI103" i="26"/>
  <c r="AI104" i="26"/>
  <c r="AI105" i="26"/>
  <c r="AI106" i="26"/>
  <c r="AI107" i="26"/>
  <c r="AI108" i="26"/>
  <c r="AI109" i="26"/>
  <c r="AI110" i="26"/>
  <c r="AI111" i="26"/>
  <c r="AI112" i="26"/>
  <c r="AI113" i="26"/>
  <c r="AI114" i="26"/>
  <c r="AI115" i="26"/>
  <c r="AI116" i="26"/>
  <c r="AI117" i="26"/>
  <c r="AI118" i="26"/>
  <c r="AI119" i="26"/>
  <c r="AI120" i="26"/>
  <c r="AI121" i="26"/>
  <c r="AI122" i="26"/>
  <c r="AI123" i="26"/>
  <c r="AI124" i="26"/>
  <c r="AI125" i="26"/>
  <c r="AI4" i="26"/>
  <c r="AG5" i="26"/>
  <c r="AG6" i="26"/>
  <c r="AG7" i="26"/>
  <c r="AG8" i="26"/>
  <c r="AG9" i="26"/>
  <c r="AG10" i="26"/>
  <c r="AG11" i="26"/>
  <c r="AG12" i="26"/>
  <c r="AG13" i="26"/>
  <c r="AG14" i="26"/>
  <c r="AG15" i="26"/>
  <c r="AG16" i="26"/>
  <c r="AG17" i="26"/>
  <c r="AG18" i="26"/>
  <c r="AG19" i="26"/>
  <c r="AG20" i="26"/>
  <c r="AG21" i="26"/>
  <c r="AG22" i="26"/>
  <c r="AG23" i="26"/>
  <c r="AG24" i="26"/>
  <c r="AG25" i="26"/>
  <c r="AG26" i="26"/>
  <c r="AG27" i="26"/>
  <c r="AG28" i="26"/>
  <c r="AG29" i="26"/>
  <c r="AG30" i="26"/>
  <c r="AG31" i="26"/>
  <c r="AG32" i="26"/>
  <c r="AG33" i="26"/>
  <c r="AG34" i="26"/>
  <c r="AG35" i="26"/>
  <c r="AG36" i="26"/>
  <c r="AG37" i="26"/>
  <c r="AG38" i="26"/>
  <c r="AG39" i="26"/>
  <c r="AG40" i="26"/>
  <c r="AG41" i="26"/>
  <c r="AG42" i="26"/>
  <c r="AG43" i="26"/>
  <c r="AG44" i="26"/>
  <c r="AG45" i="26"/>
  <c r="AG46" i="26"/>
  <c r="AG47" i="26"/>
  <c r="AG48" i="26"/>
  <c r="AG49" i="26"/>
  <c r="AG50" i="26"/>
  <c r="AG51" i="26"/>
  <c r="AG52" i="26"/>
  <c r="AG53" i="26"/>
  <c r="AG54" i="26"/>
  <c r="AG55" i="26"/>
  <c r="AG56" i="26"/>
  <c r="AG57" i="26"/>
  <c r="AG58" i="26"/>
  <c r="AG59" i="26"/>
  <c r="AG60" i="26"/>
  <c r="AG61" i="26"/>
  <c r="AG62" i="26"/>
  <c r="AG63" i="26"/>
  <c r="AG64" i="26"/>
  <c r="AG65" i="26"/>
  <c r="AG66" i="26"/>
  <c r="AG67" i="26"/>
  <c r="AG68" i="26"/>
  <c r="AG69" i="26"/>
  <c r="AG70" i="26"/>
  <c r="AG71" i="26"/>
  <c r="AG72" i="26"/>
  <c r="AG73" i="26"/>
  <c r="AG74" i="26"/>
  <c r="AG75" i="26"/>
  <c r="AG76" i="26"/>
  <c r="AG77" i="26"/>
  <c r="AG78" i="26"/>
  <c r="AG79" i="26"/>
  <c r="AG80" i="26"/>
  <c r="AG81" i="26"/>
  <c r="AG82" i="26"/>
  <c r="AG83" i="26"/>
  <c r="AG84" i="26"/>
  <c r="AG85" i="26"/>
  <c r="AG86" i="26"/>
  <c r="AG87" i="26"/>
  <c r="AG88" i="26"/>
  <c r="AG89" i="26"/>
  <c r="AG90" i="26"/>
  <c r="AG91" i="26"/>
  <c r="AG92" i="26"/>
  <c r="AG93" i="26"/>
  <c r="AG94" i="26"/>
  <c r="AG95" i="26"/>
  <c r="AG96" i="26"/>
  <c r="AG97" i="26"/>
  <c r="AG98" i="26"/>
  <c r="AG99" i="26"/>
  <c r="AG100" i="26"/>
  <c r="AG101" i="26"/>
  <c r="AG102" i="26"/>
  <c r="AG103" i="26"/>
  <c r="AG104" i="26"/>
  <c r="AG105" i="26"/>
  <c r="AG106" i="26"/>
  <c r="AG107" i="26"/>
  <c r="AG108" i="26"/>
  <c r="AG109" i="26"/>
  <c r="AG110" i="26"/>
  <c r="AG111" i="26"/>
  <c r="AG112" i="26"/>
  <c r="AG113" i="26"/>
  <c r="AG114" i="26"/>
  <c r="AG115" i="26"/>
  <c r="AG116" i="26"/>
  <c r="AG117" i="26"/>
  <c r="AG118" i="26"/>
  <c r="AG119" i="26"/>
  <c r="AG120" i="26"/>
  <c r="AG121" i="26"/>
  <c r="AG122" i="26"/>
  <c r="AG123" i="26"/>
  <c r="AG124" i="26"/>
  <c r="AG125" i="26"/>
  <c r="AG4" i="26"/>
  <c r="AE5" i="26"/>
  <c r="AE6" i="26"/>
  <c r="AE7" i="26"/>
  <c r="AE8" i="26"/>
  <c r="AE9" i="26"/>
  <c r="AE10" i="26"/>
  <c r="AE11" i="26"/>
  <c r="AE12" i="26"/>
  <c r="AE13" i="26"/>
  <c r="AE14" i="26"/>
  <c r="AE15" i="26"/>
  <c r="AE16" i="26"/>
  <c r="AE17" i="26"/>
  <c r="AE18" i="26"/>
  <c r="AE19" i="26"/>
  <c r="AE20" i="26"/>
  <c r="AE21" i="26"/>
  <c r="AE22" i="26"/>
  <c r="AE23" i="26"/>
  <c r="AE24" i="26"/>
  <c r="AE25" i="26"/>
  <c r="AE26" i="26"/>
  <c r="AE27" i="26"/>
  <c r="AE28" i="26"/>
  <c r="AE29" i="26"/>
  <c r="AE30" i="26"/>
  <c r="AE31" i="26"/>
  <c r="AE32" i="26"/>
  <c r="AE33" i="26"/>
  <c r="AE34" i="26"/>
  <c r="AE35" i="26"/>
  <c r="AE36" i="26"/>
  <c r="AE37" i="26"/>
  <c r="AE38" i="26"/>
  <c r="AE39" i="26"/>
  <c r="AE40" i="26"/>
  <c r="AE41" i="26"/>
  <c r="AE42" i="26"/>
  <c r="AE43" i="26"/>
  <c r="AE44" i="26"/>
  <c r="AE45" i="26"/>
  <c r="AE46" i="26"/>
  <c r="AE47" i="26"/>
  <c r="AE48" i="26"/>
  <c r="AE49" i="26"/>
  <c r="AE50" i="26"/>
  <c r="AE51" i="26"/>
  <c r="AE52" i="26"/>
  <c r="AE53" i="26"/>
  <c r="AE54" i="26"/>
  <c r="AE55" i="26"/>
  <c r="AE56" i="26"/>
  <c r="AE57" i="26"/>
  <c r="AE58" i="26"/>
  <c r="AE59" i="26"/>
  <c r="AE60" i="26"/>
  <c r="AE61" i="26"/>
  <c r="AE62" i="26"/>
  <c r="AE63" i="26"/>
  <c r="AE64" i="26"/>
  <c r="AE65" i="26"/>
  <c r="AE66" i="26"/>
  <c r="AE67" i="26"/>
  <c r="AE68" i="26"/>
  <c r="AE69" i="26"/>
  <c r="AE70" i="26"/>
  <c r="AE71" i="26"/>
  <c r="AE72" i="26"/>
  <c r="AE73" i="26"/>
  <c r="AE74" i="26"/>
  <c r="AE75" i="26"/>
  <c r="AE76" i="26"/>
  <c r="AE77" i="26"/>
  <c r="AE78" i="26"/>
  <c r="AE79" i="26"/>
  <c r="AE80" i="26"/>
  <c r="AE81" i="26"/>
  <c r="AE82" i="26"/>
  <c r="AE83" i="26"/>
  <c r="AE84" i="26"/>
  <c r="AE85" i="26"/>
  <c r="AE86" i="26"/>
  <c r="AE87" i="26"/>
  <c r="AE88" i="26"/>
  <c r="AE89" i="26"/>
  <c r="AE90" i="26"/>
  <c r="AE91" i="26"/>
  <c r="AE92" i="26"/>
  <c r="AE93" i="26"/>
  <c r="AE94" i="26"/>
  <c r="AE95" i="26"/>
  <c r="AE96" i="26"/>
  <c r="AE97" i="26"/>
  <c r="AE98" i="26"/>
  <c r="AE99" i="26"/>
  <c r="AE100" i="26"/>
  <c r="AE101" i="26"/>
  <c r="AE102" i="26"/>
  <c r="AE103" i="26"/>
  <c r="AE104" i="26"/>
  <c r="AE105" i="26"/>
  <c r="AE106" i="26"/>
  <c r="AE107" i="26"/>
  <c r="AE108" i="26"/>
  <c r="AE109" i="26"/>
  <c r="AE110" i="26"/>
  <c r="AE111" i="26"/>
  <c r="AE112" i="26"/>
  <c r="AE113" i="26"/>
  <c r="AE114" i="26"/>
  <c r="AE115" i="26"/>
  <c r="AE116" i="26"/>
  <c r="AE117" i="26"/>
  <c r="AE118" i="26"/>
  <c r="AE119" i="26"/>
  <c r="AE120" i="26"/>
  <c r="AE121" i="26"/>
  <c r="AE122" i="26"/>
  <c r="AE123" i="26"/>
  <c r="AE124" i="26"/>
  <c r="AE125" i="26"/>
  <c r="AE4" i="26"/>
  <c r="AC5" i="26"/>
  <c r="AC6" i="26"/>
  <c r="AC7" i="26"/>
  <c r="AC8" i="26"/>
  <c r="AC9" i="26"/>
  <c r="AC10" i="26"/>
  <c r="AC11" i="26"/>
  <c r="AC12" i="26"/>
  <c r="AC13" i="26"/>
  <c r="AC14" i="26"/>
  <c r="AC15" i="26"/>
  <c r="AC16" i="26"/>
  <c r="AC17" i="26"/>
  <c r="AC18" i="26"/>
  <c r="AC19" i="26"/>
  <c r="AC20" i="26"/>
  <c r="AC21" i="26"/>
  <c r="AC22" i="26"/>
  <c r="AC23" i="26"/>
  <c r="AC24" i="26"/>
  <c r="AC25" i="26"/>
  <c r="AC26" i="26"/>
  <c r="AC27" i="26"/>
  <c r="AC28" i="26"/>
  <c r="AC29" i="26"/>
  <c r="AC30" i="26"/>
  <c r="AC31" i="26"/>
  <c r="AC32" i="26"/>
  <c r="AC33" i="26"/>
  <c r="AC34" i="26"/>
  <c r="AC35" i="26"/>
  <c r="AC36" i="26"/>
  <c r="AC37" i="26"/>
  <c r="AC38" i="26"/>
  <c r="AC39" i="26"/>
  <c r="AC40" i="26"/>
  <c r="AC41" i="26"/>
  <c r="AC42" i="26"/>
  <c r="AC43" i="26"/>
  <c r="AC44" i="26"/>
  <c r="AC45" i="26"/>
  <c r="AC46" i="26"/>
  <c r="AC47" i="26"/>
  <c r="AC48" i="26"/>
  <c r="AC49" i="26"/>
  <c r="AC50" i="26"/>
  <c r="AC51" i="26"/>
  <c r="AC52" i="26"/>
  <c r="AC53" i="26"/>
  <c r="AC54" i="26"/>
  <c r="AC55" i="26"/>
  <c r="AC56" i="26"/>
  <c r="AC57" i="26"/>
  <c r="AC58" i="26"/>
  <c r="AC59" i="26"/>
  <c r="AC60" i="26"/>
  <c r="AC61" i="26"/>
  <c r="AC62" i="26"/>
  <c r="AC63" i="26"/>
  <c r="AC64" i="26"/>
  <c r="AC65" i="26"/>
  <c r="AC66" i="26"/>
  <c r="AC67" i="26"/>
  <c r="AC68" i="26"/>
  <c r="AC69" i="26"/>
  <c r="AC70" i="26"/>
  <c r="AC71" i="26"/>
  <c r="AC72" i="26"/>
  <c r="AC73" i="26"/>
  <c r="AC74" i="26"/>
  <c r="AC75" i="26"/>
  <c r="AC76" i="26"/>
  <c r="AC77" i="26"/>
  <c r="AC78" i="26"/>
  <c r="AC79" i="26"/>
  <c r="AC80" i="26"/>
  <c r="AC81" i="26"/>
  <c r="AC82" i="26"/>
  <c r="AC83" i="26"/>
  <c r="AC84" i="26"/>
  <c r="AC85" i="26"/>
  <c r="AC86" i="26"/>
  <c r="AC87" i="26"/>
  <c r="AC88" i="26"/>
  <c r="AC89" i="26"/>
  <c r="AC90" i="26"/>
  <c r="AC91" i="26"/>
  <c r="AC92" i="26"/>
  <c r="AC93" i="26"/>
  <c r="AC94" i="26"/>
  <c r="AC95" i="26"/>
  <c r="AC96" i="26"/>
  <c r="AC97" i="26"/>
  <c r="AC98" i="26"/>
  <c r="AC99" i="26"/>
  <c r="AC100" i="26"/>
  <c r="AC101" i="26"/>
  <c r="AC102" i="26"/>
  <c r="AC103" i="26"/>
  <c r="AC104" i="26"/>
  <c r="AC105" i="26"/>
  <c r="AC106" i="26"/>
  <c r="AC107" i="26"/>
  <c r="AC108" i="26"/>
  <c r="AC109" i="26"/>
  <c r="AC110" i="26"/>
  <c r="AC111" i="26"/>
  <c r="AC112" i="26"/>
  <c r="AC113" i="26"/>
  <c r="AC114" i="26"/>
  <c r="AC115" i="26"/>
  <c r="AC116" i="26"/>
  <c r="AC117" i="26"/>
  <c r="AC118" i="26"/>
  <c r="AC119" i="26"/>
  <c r="AC120" i="26"/>
  <c r="AC121" i="26"/>
  <c r="AC122" i="26"/>
  <c r="AC123" i="26"/>
  <c r="AC124" i="26"/>
  <c r="AC125" i="26"/>
  <c r="AC4" i="26"/>
  <c r="AA5" i="26"/>
  <c r="AA6" i="26"/>
  <c r="AA7" i="26"/>
  <c r="AA8" i="26"/>
  <c r="AA9" i="26"/>
  <c r="AA10" i="26"/>
  <c r="AA11" i="26"/>
  <c r="AA12" i="26"/>
  <c r="AA13" i="26"/>
  <c r="AA14" i="26"/>
  <c r="AA15" i="26"/>
  <c r="AA16" i="26"/>
  <c r="AA17" i="26"/>
  <c r="AA18" i="26"/>
  <c r="AA19" i="26"/>
  <c r="AA20" i="26"/>
  <c r="AA21" i="26"/>
  <c r="AA22" i="26"/>
  <c r="AA23" i="26"/>
  <c r="AA24" i="26"/>
  <c r="AA25" i="26"/>
  <c r="AA26" i="26"/>
  <c r="AA27" i="26"/>
  <c r="AA28" i="26"/>
  <c r="AA29" i="26"/>
  <c r="AA30" i="26"/>
  <c r="AA31" i="26"/>
  <c r="AA32" i="26"/>
  <c r="AA33" i="26"/>
  <c r="AA34" i="26"/>
  <c r="AA35" i="26"/>
  <c r="AA36" i="26"/>
  <c r="AA37" i="26"/>
  <c r="AA38" i="26"/>
  <c r="AA39" i="26"/>
  <c r="AA40" i="26"/>
  <c r="AA41" i="26"/>
  <c r="AA42" i="26"/>
  <c r="AA43" i="26"/>
  <c r="AA44" i="26"/>
  <c r="AA45" i="26"/>
  <c r="AA46" i="26"/>
  <c r="AA47" i="26"/>
  <c r="AA48" i="26"/>
  <c r="AA49" i="26"/>
  <c r="AA50" i="26"/>
  <c r="AA51" i="26"/>
  <c r="AA52" i="26"/>
  <c r="AA53" i="26"/>
  <c r="AA54" i="26"/>
  <c r="AA55" i="26"/>
  <c r="AA56" i="26"/>
  <c r="AA57" i="26"/>
  <c r="AA58" i="26"/>
  <c r="AA59" i="26"/>
  <c r="AA60" i="26"/>
  <c r="AA61" i="26"/>
  <c r="AA62" i="26"/>
  <c r="AA63" i="26"/>
  <c r="AA64" i="26"/>
  <c r="AA65" i="26"/>
  <c r="AA66" i="26"/>
  <c r="AA67" i="26"/>
  <c r="AA68" i="26"/>
  <c r="AA69" i="26"/>
  <c r="AA70" i="26"/>
  <c r="AA71" i="26"/>
  <c r="AA72" i="26"/>
  <c r="AA73" i="26"/>
  <c r="AA74" i="26"/>
  <c r="AA75" i="26"/>
  <c r="AA76" i="26"/>
  <c r="AA77" i="26"/>
  <c r="AA78" i="26"/>
  <c r="AA79" i="26"/>
  <c r="AA80" i="26"/>
  <c r="AA81" i="26"/>
  <c r="AA82" i="26"/>
  <c r="AA83" i="26"/>
  <c r="AA84" i="26"/>
  <c r="AA85" i="26"/>
  <c r="AA86" i="26"/>
  <c r="AA87" i="26"/>
  <c r="AA88" i="26"/>
  <c r="AA89" i="26"/>
  <c r="AA90" i="26"/>
  <c r="AA91" i="26"/>
  <c r="AA92" i="26"/>
  <c r="AA93" i="26"/>
  <c r="AA94" i="26"/>
  <c r="AA95" i="26"/>
  <c r="AA96" i="26"/>
  <c r="AA97" i="26"/>
  <c r="AA98" i="26"/>
  <c r="AA99" i="26"/>
  <c r="AA100" i="26"/>
  <c r="AA101" i="26"/>
  <c r="AA102" i="26"/>
  <c r="AA103" i="26"/>
  <c r="AA104" i="26"/>
  <c r="AA105" i="26"/>
  <c r="AA106" i="26"/>
  <c r="AA107" i="26"/>
  <c r="AA108" i="26"/>
  <c r="AA109" i="26"/>
  <c r="AA110" i="26"/>
  <c r="AA111" i="26"/>
  <c r="AA112" i="26"/>
  <c r="AA113" i="26"/>
  <c r="AA114" i="26"/>
  <c r="AA115" i="26"/>
  <c r="AA116" i="26"/>
  <c r="AA117" i="26"/>
  <c r="AA118" i="26"/>
  <c r="AA119" i="26"/>
  <c r="AA120" i="26"/>
  <c r="AA121" i="26"/>
  <c r="AA122" i="26"/>
  <c r="AA123" i="26"/>
  <c r="AA124" i="26"/>
  <c r="AA125" i="26"/>
  <c r="AA4" i="26"/>
  <c r="Y5" i="26"/>
  <c r="Y6" i="26"/>
  <c r="Y7" i="26"/>
  <c r="Y8" i="26"/>
  <c r="Y9" i="26"/>
  <c r="Y10" i="26"/>
  <c r="Y11" i="26"/>
  <c r="Y12" i="26"/>
  <c r="Y13" i="26"/>
  <c r="Y14" i="26"/>
  <c r="Y15" i="26"/>
  <c r="Y16" i="26"/>
  <c r="Y17" i="26"/>
  <c r="Y18" i="26"/>
  <c r="Y19" i="26"/>
  <c r="Y20" i="26"/>
  <c r="Y21" i="26"/>
  <c r="Y22" i="26"/>
  <c r="Y23" i="26"/>
  <c r="Y24" i="26"/>
  <c r="Y25" i="26"/>
  <c r="Y26" i="26"/>
  <c r="Y27" i="26"/>
  <c r="Y28" i="26"/>
  <c r="Y29" i="26"/>
  <c r="Y30" i="26"/>
  <c r="Y31" i="26"/>
  <c r="Y32" i="26"/>
  <c r="Y33" i="26"/>
  <c r="Y34" i="26"/>
  <c r="Y35" i="26"/>
  <c r="Y36" i="26"/>
  <c r="Y37" i="26"/>
  <c r="Y38" i="26"/>
  <c r="Y39" i="26"/>
  <c r="Y40" i="26"/>
  <c r="Y41" i="26"/>
  <c r="Y42" i="26"/>
  <c r="Y43" i="26"/>
  <c r="Y44" i="26"/>
  <c r="Y45" i="26"/>
  <c r="Y46" i="26"/>
  <c r="Y47" i="26"/>
  <c r="Y48" i="26"/>
  <c r="Y49" i="26"/>
  <c r="Y50" i="26"/>
  <c r="Y51" i="26"/>
  <c r="Y52" i="26"/>
  <c r="Y53" i="26"/>
  <c r="Y54" i="26"/>
  <c r="Y55" i="26"/>
  <c r="Y56" i="26"/>
  <c r="Y57" i="26"/>
  <c r="Y58" i="26"/>
  <c r="Y59" i="26"/>
  <c r="Y60" i="26"/>
  <c r="Y61" i="26"/>
  <c r="Y62" i="26"/>
  <c r="Y63" i="26"/>
  <c r="Y64" i="26"/>
  <c r="Y65" i="26"/>
  <c r="Y66" i="26"/>
  <c r="Y67" i="26"/>
  <c r="Y68" i="26"/>
  <c r="Y69" i="26"/>
  <c r="Y70" i="26"/>
  <c r="Y71" i="26"/>
  <c r="Y72" i="26"/>
  <c r="Y73" i="26"/>
  <c r="Y74" i="26"/>
  <c r="Y75" i="26"/>
  <c r="Y76" i="26"/>
  <c r="Y77" i="26"/>
  <c r="Y78" i="26"/>
  <c r="Y79" i="26"/>
  <c r="Y80" i="26"/>
  <c r="Y81" i="26"/>
  <c r="Y82" i="26"/>
  <c r="Y83" i="26"/>
  <c r="Y84" i="26"/>
  <c r="Y85" i="26"/>
  <c r="Y86" i="26"/>
  <c r="Y87" i="26"/>
  <c r="Y88" i="26"/>
  <c r="Y89" i="26"/>
  <c r="Y90" i="26"/>
  <c r="Y91" i="26"/>
  <c r="Y92" i="26"/>
  <c r="Y93" i="26"/>
  <c r="Y94" i="26"/>
  <c r="Y95" i="26"/>
  <c r="Y96" i="26"/>
  <c r="Y97" i="26"/>
  <c r="Y98" i="26"/>
  <c r="Y99" i="26"/>
  <c r="Y100" i="26"/>
  <c r="Y101" i="26"/>
  <c r="Y102" i="26"/>
  <c r="Y103" i="26"/>
  <c r="Y104" i="26"/>
  <c r="Y105" i="26"/>
  <c r="Y106" i="26"/>
  <c r="Y107" i="26"/>
  <c r="Y108" i="26"/>
  <c r="Y109" i="26"/>
  <c r="Y110" i="26"/>
  <c r="Y111" i="26"/>
  <c r="Y112" i="26"/>
  <c r="Y113" i="26"/>
  <c r="Y114" i="26"/>
  <c r="Y115" i="26"/>
  <c r="Y116" i="26"/>
  <c r="Y117" i="26"/>
  <c r="Y118" i="26"/>
  <c r="Y119" i="26"/>
  <c r="Y120" i="26"/>
  <c r="Y121" i="26"/>
  <c r="Y122" i="26"/>
  <c r="Y123" i="26"/>
  <c r="Y124" i="26"/>
  <c r="Y125" i="26"/>
  <c r="Y4" i="26"/>
  <c r="W5" i="26"/>
  <c r="W6" i="26"/>
  <c r="W7" i="26"/>
  <c r="W8" i="26"/>
  <c r="W9" i="26"/>
  <c r="W10" i="26"/>
  <c r="W11" i="26"/>
  <c r="W12" i="26"/>
  <c r="W13" i="26"/>
  <c r="W14" i="26"/>
  <c r="W15" i="26"/>
  <c r="W16" i="26"/>
  <c r="W17" i="26"/>
  <c r="W18" i="26"/>
  <c r="W19" i="26"/>
  <c r="W20" i="26"/>
  <c r="W21" i="26"/>
  <c r="W22" i="26"/>
  <c r="W23" i="26"/>
  <c r="W24" i="26"/>
  <c r="W25" i="26"/>
  <c r="W26" i="26"/>
  <c r="W27" i="26"/>
  <c r="W28" i="26"/>
  <c r="W29" i="26"/>
  <c r="W30" i="26"/>
  <c r="W31" i="26"/>
  <c r="W32" i="26"/>
  <c r="W33" i="26"/>
  <c r="W34" i="26"/>
  <c r="W35" i="26"/>
  <c r="W36" i="26"/>
  <c r="W37" i="26"/>
  <c r="W38" i="26"/>
  <c r="W39" i="26"/>
  <c r="W40" i="26"/>
  <c r="W41" i="26"/>
  <c r="W42" i="26"/>
  <c r="W43" i="26"/>
  <c r="W44" i="26"/>
  <c r="W45" i="26"/>
  <c r="W46" i="26"/>
  <c r="W47" i="26"/>
  <c r="W48" i="26"/>
  <c r="W49" i="26"/>
  <c r="W50" i="26"/>
  <c r="W51" i="26"/>
  <c r="W52" i="26"/>
  <c r="W53" i="26"/>
  <c r="W54" i="26"/>
  <c r="W55" i="26"/>
  <c r="W56" i="26"/>
  <c r="W57" i="26"/>
  <c r="W58" i="26"/>
  <c r="W59" i="26"/>
  <c r="W60" i="26"/>
  <c r="W61" i="26"/>
  <c r="W62" i="26"/>
  <c r="W63" i="26"/>
  <c r="W64" i="26"/>
  <c r="W65" i="26"/>
  <c r="W66" i="26"/>
  <c r="W67" i="26"/>
  <c r="W68" i="26"/>
  <c r="W69" i="26"/>
  <c r="W70" i="26"/>
  <c r="W71" i="26"/>
  <c r="W72" i="26"/>
  <c r="W73" i="26"/>
  <c r="W74" i="26"/>
  <c r="W75" i="26"/>
  <c r="W76" i="26"/>
  <c r="W77" i="26"/>
  <c r="W78" i="26"/>
  <c r="W79" i="26"/>
  <c r="W80" i="26"/>
  <c r="W81" i="26"/>
  <c r="W82" i="26"/>
  <c r="W83" i="26"/>
  <c r="W84" i="26"/>
  <c r="W85" i="26"/>
  <c r="W86" i="26"/>
  <c r="W87" i="26"/>
  <c r="W88" i="26"/>
  <c r="W89" i="26"/>
  <c r="W90" i="26"/>
  <c r="W91" i="26"/>
  <c r="W92" i="26"/>
  <c r="W93" i="26"/>
  <c r="W94" i="26"/>
  <c r="W95" i="26"/>
  <c r="W96" i="26"/>
  <c r="W97" i="26"/>
  <c r="W98" i="26"/>
  <c r="W99" i="26"/>
  <c r="W100" i="26"/>
  <c r="W101" i="26"/>
  <c r="W102" i="26"/>
  <c r="W103" i="26"/>
  <c r="W104" i="26"/>
  <c r="W105" i="26"/>
  <c r="W106" i="26"/>
  <c r="W107" i="26"/>
  <c r="W108" i="26"/>
  <c r="W109" i="26"/>
  <c r="W110" i="26"/>
  <c r="W111" i="26"/>
  <c r="W112" i="26"/>
  <c r="W113" i="26"/>
  <c r="W114" i="26"/>
  <c r="W115" i="26"/>
  <c r="W116" i="26"/>
  <c r="W117" i="26"/>
  <c r="W118" i="26"/>
  <c r="W119" i="26"/>
  <c r="W120" i="26"/>
  <c r="W121" i="26"/>
  <c r="W122" i="26"/>
  <c r="W123" i="26"/>
  <c r="W124" i="26"/>
  <c r="W125" i="26"/>
  <c r="W4" i="26"/>
  <c r="U5" i="26"/>
  <c r="U6" i="26"/>
  <c r="U7" i="26"/>
  <c r="U8" i="26"/>
  <c r="U9" i="26"/>
  <c r="U10" i="26"/>
  <c r="U11" i="26"/>
  <c r="U12" i="26"/>
  <c r="U13" i="26"/>
  <c r="U14" i="26"/>
  <c r="U15" i="26"/>
  <c r="U16" i="26"/>
  <c r="U17" i="26"/>
  <c r="U18" i="26"/>
  <c r="U19" i="26"/>
  <c r="U20" i="26"/>
  <c r="U21" i="26"/>
  <c r="U22" i="26"/>
  <c r="U23" i="26"/>
  <c r="U24" i="26"/>
  <c r="U25" i="26"/>
  <c r="U26" i="26"/>
  <c r="U27" i="26"/>
  <c r="U28" i="26"/>
  <c r="U29" i="26"/>
  <c r="U30" i="26"/>
  <c r="U31" i="26"/>
  <c r="U32" i="26"/>
  <c r="U33" i="26"/>
  <c r="U34" i="26"/>
  <c r="U35" i="26"/>
  <c r="U36" i="26"/>
  <c r="U37" i="26"/>
  <c r="U38" i="26"/>
  <c r="U39" i="26"/>
  <c r="U40" i="26"/>
  <c r="U41" i="26"/>
  <c r="U42" i="26"/>
  <c r="U43" i="26"/>
  <c r="U44" i="26"/>
  <c r="U45" i="26"/>
  <c r="U46" i="26"/>
  <c r="U47" i="26"/>
  <c r="U48" i="26"/>
  <c r="U49" i="26"/>
  <c r="U50" i="26"/>
  <c r="U51" i="26"/>
  <c r="U52" i="26"/>
  <c r="U53" i="26"/>
  <c r="U54" i="26"/>
  <c r="U55" i="26"/>
  <c r="U56" i="26"/>
  <c r="U57" i="26"/>
  <c r="U58" i="26"/>
  <c r="U59" i="26"/>
  <c r="U60" i="26"/>
  <c r="U61" i="26"/>
  <c r="U62" i="26"/>
  <c r="U63" i="26"/>
  <c r="U64" i="26"/>
  <c r="U65" i="26"/>
  <c r="U66" i="26"/>
  <c r="U67" i="26"/>
  <c r="U68" i="26"/>
  <c r="U69" i="26"/>
  <c r="U70" i="26"/>
  <c r="U71" i="26"/>
  <c r="U72" i="26"/>
  <c r="U73" i="26"/>
  <c r="U74" i="26"/>
  <c r="U75" i="26"/>
  <c r="U76" i="26"/>
  <c r="U77" i="26"/>
  <c r="U78" i="26"/>
  <c r="U79" i="26"/>
  <c r="U80" i="26"/>
  <c r="U81" i="26"/>
  <c r="U82" i="26"/>
  <c r="U83" i="26"/>
  <c r="U84" i="26"/>
  <c r="U85" i="26"/>
  <c r="U86" i="26"/>
  <c r="U87" i="26"/>
  <c r="U88" i="26"/>
  <c r="U89" i="26"/>
  <c r="U90" i="26"/>
  <c r="U91" i="26"/>
  <c r="U92" i="26"/>
  <c r="U93" i="26"/>
  <c r="U94" i="26"/>
  <c r="U95" i="26"/>
  <c r="U96" i="26"/>
  <c r="U97" i="26"/>
  <c r="U98" i="26"/>
  <c r="U99" i="26"/>
  <c r="U100" i="26"/>
  <c r="U101" i="26"/>
  <c r="U102" i="26"/>
  <c r="U103" i="26"/>
  <c r="U104" i="26"/>
  <c r="U105" i="26"/>
  <c r="U106" i="26"/>
  <c r="U107" i="26"/>
  <c r="U108" i="26"/>
  <c r="U109" i="26"/>
  <c r="U110" i="26"/>
  <c r="U111" i="26"/>
  <c r="U112" i="26"/>
  <c r="U113" i="26"/>
  <c r="U114" i="26"/>
  <c r="U115" i="26"/>
  <c r="U116" i="26"/>
  <c r="U117" i="26"/>
  <c r="U118" i="26"/>
  <c r="U119" i="26"/>
  <c r="U120" i="26"/>
  <c r="U121" i="26"/>
  <c r="U122" i="26"/>
  <c r="U123" i="26"/>
  <c r="U124" i="26"/>
  <c r="U125" i="26"/>
  <c r="U4" i="26"/>
  <c r="S5" i="26"/>
  <c r="S6" i="26"/>
  <c r="S7" i="26"/>
  <c r="S8" i="26"/>
  <c r="S9" i="26"/>
  <c r="S10" i="26"/>
  <c r="S11" i="26"/>
  <c r="S12" i="26"/>
  <c r="S13" i="26"/>
  <c r="S14" i="26"/>
  <c r="S15" i="26"/>
  <c r="S16" i="26"/>
  <c r="S17" i="26"/>
  <c r="S18" i="26"/>
  <c r="S19" i="26"/>
  <c r="S20" i="26"/>
  <c r="S21" i="26"/>
  <c r="S22" i="26"/>
  <c r="S23" i="26"/>
  <c r="S24" i="26"/>
  <c r="S25" i="26"/>
  <c r="S26" i="26"/>
  <c r="S27" i="26"/>
  <c r="S28" i="26"/>
  <c r="S29" i="26"/>
  <c r="S30" i="26"/>
  <c r="S31" i="26"/>
  <c r="S32" i="26"/>
  <c r="S33" i="26"/>
  <c r="S34" i="26"/>
  <c r="S35" i="26"/>
  <c r="S36" i="26"/>
  <c r="S37" i="26"/>
  <c r="S38" i="26"/>
  <c r="S39" i="26"/>
  <c r="S40" i="26"/>
  <c r="S41" i="26"/>
  <c r="S42" i="26"/>
  <c r="S43" i="26"/>
  <c r="S44" i="26"/>
  <c r="S45" i="26"/>
  <c r="S46" i="26"/>
  <c r="S47" i="26"/>
  <c r="S48" i="26"/>
  <c r="S49" i="26"/>
  <c r="S50" i="26"/>
  <c r="S51" i="26"/>
  <c r="S52" i="26"/>
  <c r="S53" i="26"/>
  <c r="S54" i="26"/>
  <c r="S55" i="26"/>
  <c r="S56" i="26"/>
  <c r="S57" i="26"/>
  <c r="S58" i="26"/>
  <c r="S59" i="26"/>
  <c r="S60" i="26"/>
  <c r="S61" i="26"/>
  <c r="S62" i="26"/>
  <c r="S63" i="26"/>
  <c r="S64" i="26"/>
  <c r="S65" i="26"/>
  <c r="S66" i="26"/>
  <c r="S67" i="26"/>
  <c r="S68" i="26"/>
  <c r="S69" i="26"/>
  <c r="S70" i="26"/>
  <c r="S71" i="26"/>
  <c r="S72" i="26"/>
  <c r="S73" i="26"/>
  <c r="S74" i="26"/>
  <c r="S75" i="26"/>
  <c r="S76" i="26"/>
  <c r="S77" i="26"/>
  <c r="S78" i="26"/>
  <c r="S79" i="26"/>
  <c r="S80" i="26"/>
  <c r="S81" i="26"/>
  <c r="S82" i="26"/>
  <c r="S83" i="26"/>
  <c r="S84" i="26"/>
  <c r="S85" i="26"/>
  <c r="S86" i="26"/>
  <c r="S87" i="26"/>
  <c r="S88" i="26"/>
  <c r="S89" i="26"/>
  <c r="S90" i="26"/>
  <c r="S91" i="26"/>
  <c r="S92" i="26"/>
  <c r="S93" i="26"/>
  <c r="S94" i="26"/>
  <c r="S95" i="26"/>
  <c r="S96" i="26"/>
  <c r="S97" i="26"/>
  <c r="S98" i="26"/>
  <c r="S99" i="26"/>
  <c r="S100" i="26"/>
  <c r="S101" i="26"/>
  <c r="S102" i="26"/>
  <c r="S103" i="26"/>
  <c r="S104" i="26"/>
  <c r="S105" i="26"/>
  <c r="S106" i="26"/>
  <c r="S107" i="26"/>
  <c r="S108" i="26"/>
  <c r="S109" i="26"/>
  <c r="S110" i="26"/>
  <c r="S111" i="26"/>
  <c r="S112" i="26"/>
  <c r="S113" i="26"/>
  <c r="S114" i="26"/>
  <c r="S115" i="26"/>
  <c r="S116" i="26"/>
  <c r="S117" i="26"/>
  <c r="S118" i="26"/>
  <c r="S119" i="26"/>
  <c r="S120" i="26"/>
  <c r="S121" i="26"/>
  <c r="S122" i="26"/>
  <c r="S123" i="26"/>
  <c r="S124" i="26"/>
  <c r="S125" i="26"/>
  <c r="S4" i="26"/>
  <c r="Q5" i="26"/>
  <c r="Q6" i="26"/>
  <c r="Q7" i="26"/>
  <c r="Q8" i="26"/>
  <c r="Q9" i="26"/>
  <c r="Q10" i="26"/>
  <c r="Q11" i="26"/>
  <c r="Q12" i="26"/>
  <c r="Q13" i="26"/>
  <c r="Q14" i="26"/>
  <c r="Q15" i="26"/>
  <c r="Q16" i="26"/>
  <c r="Q17" i="26"/>
  <c r="Q18" i="26"/>
  <c r="Q19" i="26"/>
  <c r="Q20" i="26"/>
  <c r="Q21" i="26"/>
  <c r="Q22" i="26"/>
  <c r="Q23" i="26"/>
  <c r="Q24" i="26"/>
  <c r="Q25" i="26"/>
  <c r="Q26" i="26"/>
  <c r="Q27" i="26"/>
  <c r="Q28" i="26"/>
  <c r="Q29" i="26"/>
  <c r="Q30" i="26"/>
  <c r="Q31" i="26"/>
  <c r="Q32" i="26"/>
  <c r="Q33" i="26"/>
  <c r="Q34" i="26"/>
  <c r="Q35" i="26"/>
  <c r="Q36" i="26"/>
  <c r="Q37" i="26"/>
  <c r="Q38" i="26"/>
  <c r="Q39" i="26"/>
  <c r="Q40" i="26"/>
  <c r="Q41" i="26"/>
  <c r="Q42" i="26"/>
  <c r="Q43" i="26"/>
  <c r="Q44" i="26"/>
  <c r="Q45" i="26"/>
  <c r="Q46" i="26"/>
  <c r="Q47" i="26"/>
  <c r="Q48" i="26"/>
  <c r="Q49" i="26"/>
  <c r="Q50" i="26"/>
  <c r="Q51" i="26"/>
  <c r="Q52" i="26"/>
  <c r="Q53" i="26"/>
  <c r="Q54" i="26"/>
  <c r="Q55" i="26"/>
  <c r="Q56" i="26"/>
  <c r="Q57" i="26"/>
  <c r="Q58" i="26"/>
  <c r="Q59" i="26"/>
  <c r="Q60" i="26"/>
  <c r="Q61" i="26"/>
  <c r="Q62" i="26"/>
  <c r="Q63" i="26"/>
  <c r="Q64" i="26"/>
  <c r="Q65" i="26"/>
  <c r="Q66" i="26"/>
  <c r="Q67" i="26"/>
  <c r="Q68" i="26"/>
  <c r="Q69" i="26"/>
  <c r="Q70" i="26"/>
  <c r="Q71" i="26"/>
  <c r="Q72" i="26"/>
  <c r="Q73" i="26"/>
  <c r="Q74" i="26"/>
  <c r="Q75" i="26"/>
  <c r="Q76" i="26"/>
  <c r="Q77" i="26"/>
  <c r="Q78" i="26"/>
  <c r="Q79" i="26"/>
  <c r="Q80" i="26"/>
  <c r="Q81" i="26"/>
  <c r="Q82" i="26"/>
  <c r="Q83" i="26"/>
  <c r="Q84" i="26"/>
  <c r="Q85" i="26"/>
  <c r="Q86" i="26"/>
  <c r="Q87" i="26"/>
  <c r="Q88" i="26"/>
  <c r="Q89" i="26"/>
  <c r="Q90" i="26"/>
  <c r="Q91" i="26"/>
  <c r="Q92" i="26"/>
  <c r="Q93" i="26"/>
  <c r="Q94" i="26"/>
  <c r="Q95" i="26"/>
  <c r="Q96" i="26"/>
  <c r="Q97" i="26"/>
  <c r="Q98" i="26"/>
  <c r="Q99" i="26"/>
  <c r="Q100" i="26"/>
  <c r="Q101" i="26"/>
  <c r="Q102" i="26"/>
  <c r="Q103" i="26"/>
  <c r="Q104" i="26"/>
  <c r="Q105" i="26"/>
  <c r="Q106" i="26"/>
  <c r="Q107" i="26"/>
  <c r="Q108" i="26"/>
  <c r="Q109" i="26"/>
  <c r="Q110" i="26"/>
  <c r="Q111" i="26"/>
  <c r="Q112" i="26"/>
  <c r="Q113" i="26"/>
  <c r="Q114" i="26"/>
  <c r="Q115" i="26"/>
  <c r="Q116" i="26"/>
  <c r="Q117" i="26"/>
  <c r="Q118" i="26"/>
  <c r="Q119" i="26"/>
  <c r="Q120" i="26"/>
  <c r="Q121" i="26"/>
  <c r="Q122" i="26"/>
  <c r="Q123" i="26"/>
  <c r="Q124" i="26"/>
  <c r="Q125" i="26"/>
  <c r="Q4" i="26"/>
  <c r="O5" i="26"/>
  <c r="O6" i="26"/>
  <c r="O7" i="26"/>
  <c r="O8" i="26"/>
  <c r="O9" i="26"/>
  <c r="O10" i="26"/>
  <c r="O11" i="26"/>
  <c r="O12" i="26"/>
  <c r="O13" i="26"/>
  <c r="O14" i="26"/>
  <c r="O15" i="26"/>
  <c r="O16" i="26"/>
  <c r="O17" i="26"/>
  <c r="O18" i="26"/>
  <c r="O19" i="26"/>
  <c r="O20" i="26"/>
  <c r="O21" i="26"/>
  <c r="O22" i="26"/>
  <c r="O23" i="26"/>
  <c r="O24" i="26"/>
  <c r="O25" i="26"/>
  <c r="O26" i="26"/>
  <c r="O27" i="26"/>
  <c r="O28" i="26"/>
  <c r="O29" i="26"/>
  <c r="O30" i="26"/>
  <c r="O31" i="26"/>
  <c r="O32" i="26"/>
  <c r="O33" i="26"/>
  <c r="O34" i="26"/>
  <c r="O35" i="26"/>
  <c r="O36" i="26"/>
  <c r="O37" i="26"/>
  <c r="O38" i="26"/>
  <c r="O39" i="26"/>
  <c r="O40" i="26"/>
  <c r="O41" i="26"/>
  <c r="O42" i="26"/>
  <c r="O43" i="26"/>
  <c r="O44" i="26"/>
  <c r="O45" i="26"/>
  <c r="O46" i="26"/>
  <c r="O47" i="26"/>
  <c r="O48" i="26"/>
  <c r="O49" i="26"/>
  <c r="O50" i="26"/>
  <c r="O51" i="26"/>
  <c r="O52" i="26"/>
  <c r="O53" i="26"/>
  <c r="O54" i="26"/>
  <c r="O55" i="26"/>
  <c r="O56" i="26"/>
  <c r="O57" i="26"/>
  <c r="O58" i="26"/>
  <c r="O59" i="26"/>
  <c r="O60" i="26"/>
  <c r="O61" i="26"/>
  <c r="O62" i="26"/>
  <c r="O63" i="26"/>
  <c r="O64" i="26"/>
  <c r="O65" i="26"/>
  <c r="O66" i="26"/>
  <c r="O67" i="26"/>
  <c r="O68" i="26"/>
  <c r="O69" i="26"/>
  <c r="O70" i="26"/>
  <c r="O71" i="26"/>
  <c r="O72" i="26"/>
  <c r="O73" i="26"/>
  <c r="O74" i="26"/>
  <c r="O75" i="26"/>
  <c r="O76" i="26"/>
  <c r="O77" i="26"/>
  <c r="O78" i="26"/>
  <c r="O79" i="26"/>
  <c r="O80" i="26"/>
  <c r="O81" i="26"/>
  <c r="O82" i="26"/>
  <c r="O83" i="26"/>
  <c r="O84" i="26"/>
  <c r="O85" i="26"/>
  <c r="O86" i="26"/>
  <c r="O87" i="26"/>
  <c r="O88" i="26"/>
  <c r="O89" i="26"/>
  <c r="O90" i="26"/>
  <c r="O91" i="26"/>
  <c r="O92" i="26"/>
  <c r="O93" i="26"/>
  <c r="O94" i="26"/>
  <c r="O95" i="26"/>
  <c r="O96" i="26"/>
  <c r="O97" i="26"/>
  <c r="O98" i="26"/>
  <c r="O99" i="26"/>
  <c r="O100" i="26"/>
  <c r="O101" i="26"/>
  <c r="O102" i="26"/>
  <c r="O103" i="26"/>
  <c r="O104" i="26"/>
  <c r="O105" i="26"/>
  <c r="O106" i="26"/>
  <c r="O107" i="26"/>
  <c r="O108" i="26"/>
  <c r="O109" i="26"/>
  <c r="O110" i="26"/>
  <c r="O111" i="26"/>
  <c r="O112" i="26"/>
  <c r="O113" i="26"/>
  <c r="O114" i="26"/>
  <c r="O115" i="26"/>
  <c r="O116" i="26"/>
  <c r="O117" i="26"/>
  <c r="O118" i="26"/>
  <c r="O119" i="26"/>
  <c r="O120" i="26"/>
  <c r="O121" i="26"/>
  <c r="O122" i="26"/>
  <c r="O123" i="26"/>
  <c r="O124" i="26"/>
  <c r="O125" i="26"/>
  <c r="O4" i="26"/>
  <c r="M5" i="26"/>
  <c r="M6" i="26"/>
  <c r="M7" i="26"/>
  <c r="M8" i="26"/>
  <c r="M9" i="26"/>
  <c r="M10" i="26"/>
  <c r="M11" i="26"/>
  <c r="M12" i="26"/>
  <c r="M13" i="26"/>
  <c r="M14" i="26"/>
  <c r="M15" i="26"/>
  <c r="M16" i="26"/>
  <c r="M17" i="26"/>
  <c r="M18" i="26"/>
  <c r="M19" i="26"/>
  <c r="M20" i="26"/>
  <c r="M21" i="26"/>
  <c r="M22" i="26"/>
  <c r="M23" i="26"/>
  <c r="M24" i="26"/>
  <c r="M25" i="26"/>
  <c r="M26" i="26"/>
  <c r="M27" i="26"/>
  <c r="M28" i="26"/>
  <c r="M29" i="26"/>
  <c r="M30" i="26"/>
  <c r="M31" i="26"/>
  <c r="M32" i="26"/>
  <c r="M33" i="26"/>
  <c r="M34" i="26"/>
  <c r="M35" i="26"/>
  <c r="M36" i="26"/>
  <c r="M37" i="26"/>
  <c r="M38" i="26"/>
  <c r="M39" i="26"/>
  <c r="M40" i="26"/>
  <c r="M41" i="26"/>
  <c r="M42" i="26"/>
  <c r="M43" i="26"/>
  <c r="M44" i="26"/>
  <c r="M45" i="26"/>
  <c r="M46" i="26"/>
  <c r="M47" i="26"/>
  <c r="M48" i="26"/>
  <c r="M49" i="26"/>
  <c r="M50" i="26"/>
  <c r="M51" i="26"/>
  <c r="M52" i="26"/>
  <c r="M53" i="26"/>
  <c r="M54" i="26"/>
  <c r="M55" i="26"/>
  <c r="M56" i="26"/>
  <c r="M57" i="26"/>
  <c r="M58" i="26"/>
  <c r="M59" i="26"/>
  <c r="M60" i="26"/>
  <c r="M61" i="26"/>
  <c r="M62" i="26"/>
  <c r="M63" i="26"/>
  <c r="M64" i="26"/>
  <c r="M65" i="26"/>
  <c r="M66" i="26"/>
  <c r="M67" i="26"/>
  <c r="M68" i="26"/>
  <c r="M69" i="26"/>
  <c r="M70" i="26"/>
  <c r="M71" i="26"/>
  <c r="M72" i="26"/>
  <c r="M73" i="26"/>
  <c r="M74" i="26"/>
  <c r="M75" i="26"/>
  <c r="M76" i="26"/>
  <c r="M77" i="26"/>
  <c r="M78" i="26"/>
  <c r="M79" i="26"/>
  <c r="M80" i="26"/>
  <c r="M81" i="26"/>
  <c r="M82" i="26"/>
  <c r="M83" i="26"/>
  <c r="M84" i="26"/>
  <c r="M85" i="26"/>
  <c r="M86" i="26"/>
  <c r="M87" i="26"/>
  <c r="M88" i="26"/>
  <c r="M89" i="26"/>
  <c r="M90" i="26"/>
  <c r="M91" i="26"/>
  <c r="M92" i="26"/>
  <c r="M93" i="26"/>
  <c r="M94" i="26"/>
  <c r="M95" i="26"/>
  <c r="M96" i="26"/>
  <c r="M97" i="26"/>
  <c r="M98" i="26"/>
  <c r="M99" i="26"/>
  <c r="M100" i="26"/>
  <c r="M101" i="26"/>
  <c r="M102" i="26"/>
  <c r="M103" i="26"/>
  <c r="M104" i="26"/>
  <c r="M105" i="26"/>
  <c r="M106" i="26"/>
  <c r="M107" i="26"/>
  <c r="M108" i="26"/>
  <c r="M109" i="26"/>
  <c r="M110" i="26"/>
  <c r="M111" i="26"/>
  <c r="M112" i="26"/>
  <c r="M113" i="26"/>
  <c r="M114" i="26"/>
  <c r="M115" i="26"/>
  <c r="M116" i="26"/>
  <c r="M117" i="26"/>
  <c r="M118" i="26"/>
  <c r="M119" i="26"/>
  <c r="M120" i="26"/>
  <c r="M121" i="26"/>
  <c r="M122" i="26"/>
  <c r="M123" i="26"/>
  <c r="M124" i="26"/>
  <c r="M125" i="26"/>
  <c r="M4" i="26"/>
  <c r="K5" i="26"/>
  <c r="K6" i="26"/>
  <c r="K7" i="26"/>
  <c r="K8" i="26"/>
  <c r="K9" i="26"/>
  <c r="K10" i="26"/>
  <c r="K11" i="26"/>
  <c r="K12" i="26"/>
  <c r="K13" i="26"/>
  <c r="K14" i="26"/>
  <c r="K15" i="26"/>
  <c r="K16" i="26"/>
  <c r="K17" i="26"/>
  <c r="K18" i="26"/>
  <c r="K19" i="26"/>
  <c r="K20" i="26"/>
  <c r="K21" i="26"/>
  <c r="K22" i="26"/>
  <c r="K23" i="26"/>
  <c r="K24" i="26"/>
  <c r="K25" i="26"/>
  <c r="K26" i="26"/>
  <c r="K27" i="26"/>
  <c r="K28" i="26"/>
  <c r="K29" i="26"/>
  <c r="K30" i="26"/>
  <c r="K31" i="26"/>
  <c r="K32" i="26"/>
  <c r="K33" i="26"/>
  <c r="K34" i="26"/>
  <c r="K35" i="26"/>
  <c r="K36" i="26"/>
  <c r="K37" i="26"/>
  <c r="K38" i="26"/>
  <c r="K39" i="26"/>
  <c r="K40" i="26"/>
  <c r="K41" i="26"/>
  <c r="K42" i="26"/>
  <c r="K43" i="26"/>
  <c r="K44" i="26"/>
  <c r="K45" i="26"/>
  <c r="K46" i="26"/>
  <c r="K47" i="26"/>
  <c r="K48" i="26"/>
  <c r="K49" i="26"/>
  <c r="K50" i="26"/>
  <c r="K51" i="26"/>
  <c r="K52" i="26"/>
  <c r="K53" i="26"/>
  <c r="K54" i="26"/>
  <c r="K55" i="26"/>
  <c r="K56" i="26"/>
  <c r="K57" i="26"/>
  <c r="K58" i="26"/>
  <c r="K59" i="26"/>
  <c r="K60" i="26"/>
  <c r="K61" i="26"/>
  <c r="K62" i="26"/>
  <c r="K63" i="26"/>
  <c r="K64" i="26"/>
  <c r="K65" i="26"/>
  <c r="K66" i="26"/>
  <c r="K67" i="26"/>
  <c r="K68" i="26"/>
  <c r="K69" i="26"/>
  <c r="K70" i="26"/>
  <c r="K71" i="26"/>
  <c r="K72" i="26"/>
  <c r="K73" i="26"/>
  <c r="K74" i="26"/>
  <c r="K75" i="26"/>
  <c r="K76" i="26"/>
  <c r="K77" i="26"/>
  <c r="K78" i="26"/>
  <c r="K79" i="26"/>
  <c r="K80" i="26"/>
  <c r="K81" i="26"/>
  <c r="K82" i="26"/>
  <c r="K83" i="26"/>
  <c r="K84" i="26"/>
  <c r="K85" i="26"/>
  <c r="K86" i="26"/>
  <c r="K87" i="26"/>
  <c r="K88" i="26"/>
  <c r="K89" i="26"/>
  <c r="K90" i="26"/>
  <c r="K91" i="26"/>
  <c r="K92" i="26"/>
  <c r="K93" i="26"/>
  <c r="K94" i="26"/>
  <c r="K95" i="26"/>
  <c r="K96" i="26"/>
  <c r="K97" i="26"/>
  <c r="K98" i="26"/>
  <c r="K99" i="26"/>
  <c r="K100" i="26"/>
  <c r="K101" i="26"/>
  <c r="K102" i="26"/>
  <c r="K103" i="26"/>
  <c r="K104" i="26"/>
  <c r="K105" i="26"/>
  <c r="K106" i="26"/>
  <c r="K107" i="26"/>
  <c r="K108" i="26"/>
  <c r="K109" i="26"/>
  <c r="K110" i="26"/>
  <c r="K111" i="26"/>
  <c r="K112" i="26"/>
  <c r="K113" i="26"/>
  <c r="K114" i="26"/>
  <c r="K115" i="26"/>
  <c r="K116" i="26"/>
  <c r="K117" i="26"/>
  <c r="K118" i="26"/>
  <c r="K119" i="26"/>
  <c r="K120" i="26"/>
  <c r="K121" i="26"/>
  <c r="K122" i="26"/>
  <c r="K123" i="26"/>
  <c r="K124" i="26"/>
  <c r="K125" i="26"/>
  <c r="K4" i="26"/>
  <c r="I5"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4" i="26"/>
  <c r="G5"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4" i="26"/>
  <c r="E5"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4" i="26"/>
  <c r="C21" i="32" l="1"/>
  <c r="D21" i="32" l="1"/>
  <c r="D18" i="32"/>
  <c r="D17" i="32"/>
  <c r="D12" i="32"/>
  <c r="D20" i="32"/>
  <c r="D13" i="32"/>
  <c r="D14" i="32"/>
  <c r="D15" i="32"/>
  <c r="D16" i="32"/>
  <c r="D19" i="32"/>
  <c r="D11" i="3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841AE1-A493-4996-BF95-930A8FCFD288}" keepAlive="1" name="Query - Table3" description="Connection to the 'Table3' query in the workbook." type="5" refreshedVersion="7" background="1" saveData="1">
    <dbPr connection="Provider=Microsoft.Mashup.OleDb.1;Data Source=$Workbook$;Location=Table3;Extended Properties=&quot;&quot;" command="SELECT * FROM [Table3]"/>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<sst xmlns="http://schemas.openxmlformats.org/spreadsheetml/2006/main" count="9408" uniqueCount="190">
  <si>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</si>
  <si>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</si>
  <si>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</si>
  <si>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</si>
  <si>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</si>
  <si>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</si>
  <si>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</si>
  <si>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</si>
  <si>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</si>
  <si>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</si>
  <si>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</si>
  <si>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</si>
  <si>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</si>
  <si>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</si>
  <si>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</si>
  <si>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</si>
  <si>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</si>
  <si>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</si>
  <si>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</si>
  <si>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</si>
  <si>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</si>
  <si>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</si>
  <si>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</si>
  <si>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</si>
  <si>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</si>
  <si>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</si>
  <si>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</si>
  <si>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</si>
  <si>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</si>
  <si>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</si>
  <si>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</si>
  <si>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</si>
  <si>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</si>
  <si>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</si>
  <si>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</si>
  <si>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</si>
  <si>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</si>
  <si>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</si>
  <si>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</si>
  <si>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</si>
  <si>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</si>
  <si>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</si>
  <si>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</si>
  <si>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</si>
  <si>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</si>
  <si>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</si>
  <si>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</si>
  <si>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</si>
  <si>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</si>
  <si>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Table</t>
  </si>
  <si>
    <t>Column</t>
  </si>
  <si>
    <t>issue</t>
  </si>
  <si>
    <t>row_count</t>
  </si>
  <si>
    <t>check</t>
  </si>
  <si>
    <t>month</t>
  </si>
  <si>
    <t>spelling mistake in month march</t>
  </si>
  <si>
    <t>found NA in rows</t>
  </si>
  <si>
    <t>found NA in rows month may</t>
  </si>
  <si>
    <t>found NA in rows month may and april</t>
  </si>
  <si>
    <t>Row Labels</t>
  </si>
  <si>
    <t>Grand Total</t>
  </si>
  <si>
    <t>Total</t>
  </si>
  <si>
    <t>year</t>
  </si>
  <si>
    <t>Y</t>
  </si>
  <si>
    <t>N</t>
  </si>
  <si>
    <t xml:space="preserve">it spelling mistake only </t>
  </si>
  <si>
    <t>issue found in all 3 sectors: rural, urban and rural+urban so there is major reason to work on data</t>
  </si>
  <si>
    <t>found NA and - in rows may and "-"April and march</t>
  </si>
  <si>
    <t>issue found in all 3 sectors: rural, urban and rural+urban so there is major reason to work on data and rural sector value pattern in this collumn</t>
  </si>
  <si>
    <t>Average of Health</t>
  </si>
  <si>
    <t>Average of Miscellaneous</t>
  </si>
  <si>
    <t>Average of Personal care and effects</t>
  </si>
  <si>
    <t>Average of Education</t>
  </si>
  <si>
    <t>Average of Transport and communication</t>
  </si>
  <si>
    <t>Average</t>
  </si>
  <si>
    <t>Average of Cereals and products</t>
  </si>
  <si>
    <t>Average of Meat and fish</t>
  </si>
  <si>
    <t>Average of Vegetables</t>
  </si>
  <si>
    <t>Average of Sugar and Confectionery</t>
  </si>
  <si>
    <t>Average of Spices</t>
  </si>
  <si>
    <t>Average of Oils and fats</t>
  </si>
  <si>
    <t>Average of Milk and products</t>
  </si>
  <si>
    <t>Average of Pulses and products</t>
  </si>
  <si>
    <t>Average of Non-alcoholic beverages</t>
  </si>
  <si>
    <t>Average of Prepared meals, snacks, sweets etc.</t>
  </si>
  <si>
    <t>Average of Fruits</t>
  </si>
  <si>
    <t>Average of Egg</t>
  </si>
  <si>
    <t>Absolute_change</t>
  </si>
  <si>
    <t>Average of Household goods and services</t>
  </si>
  <si>
    <t>Food_bucket</t>
  </si>
  <si>
    <t>Permission</t>
  </si>
  <si>
    <t>Use Moving Average and other terms based on inflation</t>
  </si>
  <si>
    <t xml:space="preserve">Use Moving Average and other terms based on inflation and "-" show the pattern so we can fill same value </t>
  </si>
  <si>
    <t>soluble (Y/N)?</t>
  </si>
  <si>
    <t>resoan(Without Permission from SH/ requirements)</t>
  </si>
  <si>
    <t>CF_Bucket</t>
  </si>
  <si>
    <t>Average of Food_bucket</t>
  </si>
  <si>
    <t>Average of CF_Bucket</t>
  </si>
  <si>
    <t>Average of Pan, tobacco and intoxicants</t>
  </si>
  <si>
    <t>Average of Fuel and light</t>
  </si>
  <si>
    <t>Contribution %</t>
  </si>
  <si>
    <t>Average_Index_value</t>
  </si>
  <si>
    <t>Combined</t>
  </si>
  <si>
    <t>Average of Combined</t>
  </si>
  <si>
    <t>Inflation%</t>
  </si>
  <si>
    <r>
      <t>Research Requirement:</t>
    </r>
    <r>
      <rPr>
        <sz val="11"/>
        <color theme="1"/>
        <rFont val="Calibri"/>
        <charset val="134"/>
        <scheme val="minor"/>
      </rPr>
      <t xml:space="preserve"> Investigate the key economic factors that contributed to the higher CPI inflation rate in 2021. Rather than attributing the increase solely to the COVID-19 pandemic, identify specific factors such as food-price movements, fuel and energy costs, supply-chain disruptions, transportation costs, and changes in demand, and explain how these factors contributed to the overall CPI inflation during the year.</t>
    </r>
  </si>
  <si>
    <t>MOM%</t>
  </si>
  <si>
    <t>Confectionery</t>
  </si>
  <si>
    <t>Food_items</t>
  </si>
  <si>
    <t>jun(2022)</t>
  </si>
  <si>
    <t>MAY(2023)</t>
  </si>
  <si>
    <t>Post_C-19</t>
  </si>
  <si>
    <t>Pre_C-19</t>
  </si>
  <si>
    <t>Category</t>
  </si>
  <si>
    <t>Food_Bucket_I%</t>
  </si>
  <si>
    <t>Health_I%</t>
  </si>
  <si>
    <t>Fuel_and_light_I%</t>
  </si>
  <si>
    <t>Household_goods_and_services_I%</t>
  </si>
  <si>
    <t>Ratio *</t>
  </si>
  <si>
    <t>2000-01</t>
  </si>
  <si>
    <t>57:43</t>
  </si>
  <si>
    <t>2001-02</t>
  </si>
  <si>
    <t>2002-03</t>
  </si>
  <si>
    <t>2003-04</t>
  </si>
  <si>
    <t>2004-05</t>
  </si>
  <si>
    <t>2005-06</t>
  </si>
  <si>
    <t>58:42</t>
  </si>
  <si>
    <t>2006-07</t>
  </si>
  <si>
    <t>59.8:40.2</t>
  </si>
  <si>
    <t>2007-08</t>
  </si>
  <si>
    <t>61.4:38.6</t>
  </si>
  <si>
    <t>2008-09</t>
  </si>
  <si>
    <t>62.3:37.7</t>
  </si>
  <si>
    <t>2009-10</t>
  </si>
  <si>
    <t>63.5:36.5</t>
  </si>
  <si>
    <t>2010-11</t>
  </si>
  <si>
    <t>67.6:32.4</t>
  </si>
  <si>
    <t>2011-12</t>
  </si>
  <si>
    <t>65.2:34.8</t>
  </si>
  <si>
    <t>2012-13</t>
  </si>
  <si>
    <t>68.2:31.8</t>
  </si>
  <si>
    <t>2013-14</t>
  </si>
  <si>
    <t>69.9:30.1</t>
  </si>
  <si>
    <t>2014-15</t>
  </si>
  <si>
    <t>72.04:27.96</t>
  </si>
  <si>
    <t>2015-16</t>
  </si>
  <si>
    <t>72.28:27.72</t>
  </si>
  <si>
    <t>2016-17</t>
  </si>
  <si>
    <t>71.03:28.97</t>
  </si>
  <si>
    <t>2017-18</t>
  </si>
  <si>
    <t>72.38:27.62</t>
  </si>
  <si>
    <t>2018-19</t>
  </si>
  <si>
    <t>74.77:25.23</t>
  </si>
  <si>
    <t>2019-20</t>
  </si>
  <si>
    <t>75.50:24.50</t>
  </si>
  <si>
    <t>2020-21</t>
  </si>
  <si>
    <t>75.62:24.38</t>
  </si>
  <si>
    <t>2021-22</t>
  </si>
  <si>
    <t>2022-23</t>
  </si>
  <si>
    <t>2023-24</t>
  </si>
  <si>
    <t>2024-25</t>
  </si>
  <si>
    <t>78.50:21.50</t>
  </si>
  <si>
    <t>2025-26</t>
  </si>
  <si>
    <t>78.71:21.29 (Till Feb'26) &amp; 38.98:61.02 for March'26</t>
  </si>
  <si>
    <t>Feburary</t>
  </si>
  <si>
    <t>I_value</t>
  </si>
  <si>
    <t>Average of Housing</t>
  </si>
  <si>
    <t>Crude_oil</t>
  </si>
  <si>
    <t>Fuel_and_light</t>
  </si>
  <si>
    <t>oil_in</t>
  </si>
  <si>
    <t>MOM%_OIL</t>
  </si>
  <si>
    <t>MOM%_FOOD</t>
  </si>
  <si>
    <t>MOM%_GOODS&amp;SERVICES</t>
  </si>
  <si>
    <t>MOM%_ENERGY</t>
  </si>
  <si>
    <t>MOM%_CLOTHINGST</t>
  </si>
  <si>
    <t>MOM%HOUSING</t>
  </si>
  <si>
    <t>MOM%_HEALTH</t>
  </si>
  <si>
    <t>MOM%_TRANSPORTATION</t>
  </si>
  <si>
    <t>FOOD</t>
  </si>
  <si>
    <t>GOODS AND SERVICES</t>
  </si>
  <si>
    <t>ENERGY</t>
  </si>
  <si>
    <t>CLOTHING</t>
  </si>
  <si>
    <t>HOUSING</t>
  </si>
  <si>
    <t>HEALTH</t>
  </si>
  <si>
    <t>TRANSPORTATION</t>
  </si>
  <si>
    <t>Bucket(Aver_Index)</t>
  </si>
  <si>
    <t>(Multiple Items)</t>
  </si>
  <si>
    <t>Correlation with Oil</t>
  </si>
  <si>
    <t>Biggest impact on Sub Category Food</t>
  </si>
  <si>
    <t>Correlation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</si>
</sst>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6">
    <font>
      <sz val="11"/>
      <color theme="1"/>
      <name val="Calibri"/>
      <charset val="134"/>
      <scheme val="minor"/>
    </font>
    <font>
      <sz val="11"/>
      <color theme="1"/>
      <name val="Calibri"/>
      <family val="2"/>
      <scheme val="minor"/>
    </font>
    <font>
      <sz val="11"/>
      <color theme="1"/>
      <name val="Calibri"/>
      <family val="2"/>
      <scheme val="minor"/>
    </font>
    <font>
      <i/>
      <sz val="11"/>
      <color theme="1"/>
      <name val="Calibri"/>
      <family val="2"/>
      <scheme val="minor"/>
    </font>
    <font>
      <b/>
      <sz val="11"/>
      <color theme="1"/>
      <name val="Calibri"/>
      <charset val="134"/>
      <scheme val="minor"/>
    </font>
    <font>
      <sz val="11"/>
      <color rgb="FF000000"/>
      <name val="Calibri"/>
      <charset val="134"/>
      <scheme val="minor"/>
    </font>
  </fonts>
  <fills count="38">
    <fill>
      <patternFill patternType="none"/>
    </fill>
    <fill>
      <patternFill patternType="gray125"/>
    </fill>
    <fill>
      <patternFill patternType="solid">
        <fgColor theme="7" tint="0.39997558519241921"/>
        <bgColor indexed="64"/>
      </patternFill>
    </fill>
    <fill>
      <patternFill patternType="solid">
        <fgColor theme="7" tint="0.59999389629810485"/>
        <bgColor indexed="64"/>
      </patternFill>
    </fill>
    <fill>
      <patternFill patternType="solid">
        <fgColor rgb="FFCADB80"/>
        <bgColor rgb="FF000000"/>
      </patternFill>
    </fill>
    <fill>
      <patternFill patternType="solid">
        <fgColor rgb="FFFFEA84"/>
        <bgColor rgb="FF000000"/>
      </patternFill>
    </fill>
    <fill>
      <patternFill patternType="solid">
        <fgColor rgb="FFABD380"/>
        <bgColor rgb="FF000000"/>
      </patternFill>
    </fill>
    <fill>
      <patternFill patternType="solid">
        <fgColor rgb="FFF8696B"/>
        <bgColor rgb="FF000000"/>
      </patternFill>
    </fill>
    <fill>
      <patternFill patternType="solid">
        <fgColor rgb="FFF9776E"/>
        <bgColor rgb="FF000000"/>
      </patternFill>
    </fill>
    <fill>
      <patternFill patternType="solid">
        <fgColor rgb="FFFDC87D"/>
        <bgColor rgb="FF000000"/>
      </patternFill>
    </fill>
    <fill>
      <patternFill patternType="solid">
        <fgColor rgb="FFF8E983"/>
        <bgColor rgb="FF000000"/>
      </patternFill>
    </fill>
    <fill>
      <patternFill patternType="solid">
        <fgColor rgb="FFFEE482"/>
        <bgColor rgb="FF000000"/>
      </patternFill>
    </fill>
    <fill>
      <patternFill patternType="solid">
        <fgColor rgb="FFE9E482"/>
        <bgColor rgb="FF000000"/>
      </patternFill>
    </fill>
    <fill>
      <patternFill patternType="solid">
        <fgColor rgb="FFFFDA81"/>
        <bgColor rgb="FF000000"/>
      </patternFill>
    </fill>
    <fill>
      <patternFill patternType="solid">
        <fgColor rgb="FFC7DB81"/>
        <bgColor rgb="FF000000"/>
      </patternFill>
    </fill>
    <fill>
      <patternFill patternType="solid">
        <fgColor rgb="FFFCA377"/>
        <bgColor rgb="FF000000"/>
      </patternFill>
    </fill>
    <fill>
      <patternFill patternType="solid">
        <fgColor rgb="FFF3E783"/>
        <bgColor rgb="FF000000"/>
      </patternFill>
    </fill>
    <fill>
      <patternFill patternType="solid">
        <fgColor rgb="FFF5E883"/>
        <bgColor rgb="FF000000"/>
      </patternFill>
    </fill>
    <fill>
      <patternFill patternType="solid">
        <fgColor rgb="FFFCEA83"/>
        <bgColor rgb="FF000000"/>
      </patternFill>
    </fill>
    <fill>
      <patternFill patternType="solid">
        <fgColor rgb="FFFDC57D"/>
        <bgColor rgb="FF000000"/>
      </patternFill>
    </fill>
    <fill>
      <patternFill patternType="solid">
        <fgColor rgb="FFE6E382"/>
        <bgColor rgb="FF000000"/>
      </patternFill>
    </fill>
    <fill>
      <patternFill patternType="solid">
        <fgColor rgb="FFF98670"/>
        <bgColor rgb="FF000000"/>
      </patternFill>
    </fill>
    <fill>
      <patternFill patternType="solid">
        <fgColor rgb="FFE4E382"/>
        <bgColor rgb="FF000000"/>
      </patternFill>
    </fill>
    <fill>
      <patternFill patternType="solid">
        <fgColor rgb="FFFFE483"/>
        <bgColor rgb="FF000000"/>
      </patternFill>
    </fill>
    <fill>
      <patternFill patternType="solid">
        <fgColor rgb="FFD3DF82"/>
        <bgColor rgb="FF000000"/>
      </patternFill>
    </fill>
    <fill>
      <patternFill patternType="solid">
        <fgColor rgb="FF63BE7B"/>
        <bgColor rgb="FF000000"/>
      </patternFill>
    </fill>
    <fill>
      <patternFill patternType="solid">
        <fgColor rgb="FF6BC07B"/>
        <bgColor rgb="FF000000"/>
      </patternFill>
    </fill>
    <fill>
      <patternFill patternType="solid">
        <fgColor rgb="FFFEE582"/>
        <bgColor rgb="FF000000"/>
      </patternFill>
    </fill>
    <fill>
      <patternFill patternType="solid">
        <fgColor rgb="FFFEC67D"/>
        <bgColor rgb="FF000000"/>
      </patternFill>
    </fill>
    <fill>
      <patternFill patternType="solid">
        <fgColor rgb="FFF9726D"/>
        <bgColor rgb="FF000000"/>
      </patternFill>
    </fill>
    <fill>
      <patternFill patternType="solid">
        <fgColor rgb="FFEDE582"/>
        <bgColor rgb="FF000000"/>
      </patternFill>
    </fill>
    <fill>
      <patternFill patternType="solid">
        <fgColor rgb="FFFDEA83"/>
        <bgColor rgb="FF000000"/>
      </patternFill>
    </fill>
    <fill>
      <patternFill patternType="solid">
        <fgColor rgb="FFF7E984"/>
        <bgColor rgb="FF000000"/>
      </patternFill>
    </fill>
    <fill>
      <patternFill patternType="solid">
        <fgColor rgb="FFFECD7F"/>
        <bgColor rgb="FF000000"/>
      </patternFill>
    </fill>
    <fill>
      <patternFill patternType="solid">
        <fgColor rgb="FFFCB179"/>
        <bgColor rgb="FF000000"/>
      </patternFill>
    </fill>
    <fill>
      <patternFill patternType="solid">
        <fgColor rgb="FFDBE182"/>
        <bgColor rgb="FF000000"/>
      </patternFill>
    </fill>
    <fill>
      <patternFill patternType="solid">
        <fgColor theme="0"/>
        <bgColor rgb="FF000000"/>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55">
    <xf numFmtId="0" fontId="0" fillId="0" borderId="0" xfId="0">
      <alignment vertical="center"/>
    </xf>
    <xf numFmtId="0" fontId="3" fillId="0" borderId="0" xfId="0" applyFont="1">
      <alignment vertical="center"/>
    </xf>
    <xf numFmtId="0" fontId="2" fillId="0" borderId="0" xfId="0" applyFont="1">
      <alignment vertical="center"/>
    </xf>
    <xf numFmtId="2" fontId="0" fillId="0" borderId="0" xfId="0" applyNumberFormat="1">
      <alignment vertical="center"/>
    </xf>
    <xf numFmtId="0" fontId="0" fillId="0" borderId="0" xfId="0" pivotButton="1">
      <alignment vertical="center"/>
    </xf>
    <xf numFmtId="0" fontId="0" fillId="0" borderId="0" xfId="0" applyAlignment="1">
      <alignment horizontal="left" vertical="center"/>
    </xf>
    <xf numFmtId="0" fontId="0" fillId="0" borderId="0" xfId="0" applyNumberFormat="1">
      <alignment vertical="center"/>
    </xf>
    <xf numFmtId="164" fontId="0" fillId="0" borderId="0" xfId="0" applyNumberFormat="1">
      <alignment vertical="center"/>
    </xf>
    <xf numFmtId="0" fontId="0" fillId="0" borderId="1" xfId="0" applyBorder="1">
      <alignment vertical="center"/>
    </xf>
    <xf numFmtId="164" fontId="0" fillId="0" borderId="1" xfId="0" applyNumberFormat="1" applyBorder="1">
      <alignment vertical="center"/>
    </xf>
    <xf numFmtId="0" fontId="2" fillId="0" borderId="0" xfId="0" applyFont="1" applyAlignment="1">
      <alignment vertical="center" wrapText="1"/>
    </xf>
    <xf numFmtId="0" fontId="0" fillId="0" borderId="0" xfId="0" applyAlignment="1">
      <alignment vertical="center" wrapText="1"/>
    </xf>
    <xf numFmtId="2" fontId="0" fillId="0" borderId="1" xfId="0" applyNumberFormat="1" applyBorder="1">
      <alignment vertical="center"/>
    </xf>
    <xf numFmtId="0" fontId="1" fillId="0" borderId="0" xfId="0" applyFont="1">
      <alignment vertical="center"/>
    </xf>
    <xf numFmtId="0" fontId="1" fillId="0" borderId="0" xfId="0" applyFont="1" applyAlignment="1">
      <alignment vertical="center" wrapText="1"/>
    </xf>
    <xf numFmtId="0" fontId="4" fillId="0" borderId="0" xfId="0" applyFont="1">
      <alignment vertical="center"/>
    </xf>
    <xf numFmtId="1" fontId="0" fillId="0" borderId="0" xfId="0" applyNumberFormat="1">
      <alignment vertical="center"/>
    </xf>
    <xf numFmtId="0" fontId="0" fillId="2" borderId="0" xfId="0" applyFill="1">
      <alignment vertical="center"/>
    </xf>
    <xf numFmtId="0" fontId="0" fillId="3" borderId="0" xfId="0" applyFill="1">
      <alignment vertical="center"/>
    </xf>
    <xf numFmtId="164" fontId="5" fillId="4" borderId="0" xfId="0" applyNumberFormat="1" applyFont="1" applyFill="1">
      <alignment vertical="center"/>
    </xf>
    <xf numFmtId="164" fontId="5" fillId="5" borderId="0" xfId="0" applyNumberFormat="1" applyFont="1" applyFill="1">
      <alignment vertical="center"/>
    </xf>
    <xf numFmtId="164" fontId="5" fillId="6" borderId="0" xfId="0" applyNumberFormat="1" applyFont="1" applyFill="1">
      <alignment vertical="center"/>
    </xf>
    <xf numFmtId="164" fontId="5" fillId="7" borderId="0" xfId="0" applyNumberFormat="1" applyFont="1" applyFill="1">
      <alignment vertical="center"/>
    </xf>
    <xf numFmtId="164" fontId="5" fillId="8" borderId="0" xfId="0" applyNumberFormat="1" applyFont="1" applyFill="1">
      <alignment vertical="center"/>
    </xf>
    <xf numFmtId="164" fontId="5" fillId="9" borderId="0" xfId="0" applyNumberFormat="1" applyFont="1" applyFill="1">
      <alignment vertical="center"/>
    </xf>
    <xf numFmtId="164" fontId="5" fillId="10" borderId="0" xfId="0" applyNumberFormat="1" applyFont="1" applyFill="1">
      <alignment vertical="center"/>
    </xf>
    <xf numFmtId="164" fontId="5" fillId="11" borderId="0" xfId="0" applyNumberFormat="1" applyFont="1" applyFill="1">
      <alignment vertical="center"/>
    </xf>
    <xf numFmtId="164" fontId="5" fillId="12" borderId="0" xfId="0" applyNumberFormat="1" applyFont="1" applyFill="1">
      <alignment vertical="center"/>
    </xf>
    <xf numFmtId="164" fontId="5" fillId="13" borderId="0" xfId="0" applyNumberFormat="1" applyFont="1" applyFill="1">
      <alignment vertical="center"/>
    </xf>
    <xf numFmtId="164" fontId="5" fillId="14" borderId="0" xfId="0" applyNumberFormat="1" applyFont="1" applyFill="1">
      <alignment vertical="center"/>
    </xf>
    <xf numFmtId="164" fontId="5" fillId="15" borderId="0" xfId="0" applyNumberFormat="1" applyFont="1" applyFill="1">
      <alignment vertical="center"/>
    </xf>
    <xf numFmtId="164" fontId="5" fillId="16" borderId="0" xfId="0" applyNumberFormat="1" applyFont="1" applyFill="1">
      <alignment vertical="center"/>
    </xf>
    <xf numFmtId="164" fontId="5" fillId="17" borderId="0" xfId="0" applyNumberFormat="1" applyFont="1" applyFill="1">
      <alignment vertical="center"/>
    </xf>
    <xf numFmtId="164" fontId="5" fillId="18" borderId="0" xfId="0" applyNumberFormat="1" applyFont="1" applyFill="1">
      <alignment vertical="center"/>
    </xf>
    <xf numFmtId="164" fontId="5" fillId="19" borderId="0" xfId="0" applyNumberFormat="1" applyFont="1" applyFill="1">
      <alignment vertical="center"/>
    </xf>
    <xf numFmtId="164" fontId="5" fillId="20" borderId="0" xfId="0" applyNumberFormat="1" applyFont="1" applyFill="1">
      <alignment vertical="center"/>
    </xf>
    <xf numFmtId="164" fontId="5" fillId="21" borderId="0" xfId="0" applyNumberFormat="1" applyFont="1" applyFill="1">
      <alignment vertical="center"/>
    </xf>
    <xf numFmtId="164" fontId="5" fillId="22" borderId="0" xfId="0" applyNumberFormat="1" applyFont="1" applyFill="1">
      <alignment vertical="center"/>
    </xf>
    <xf numFmtId="164" fontId="5" fillId="23" borderId="0" xfId="0" applyNumberFormat="1" applyFont="1" applyFill="1">
      <alignment vertical="center"/>
    </xf>
    <xf numFmtId="164" fontId="5" fillId="24" borderId="0" xfId="0" applyNumberFormat="1" applyFont="1" applyFill="1">
      <alignment vertical="center"/>
    </xf>
    <xf numFmtId="164" fontId="5" fillId="25" borderId="0" xfId="0" applyNumberFormat="1" applyFont="1" applyFill="1">
      <alignment vertical="center"/>
    </xf>
    <xf numFmtId="164" fontId="5" fillId="26" borderId="0" xfId="0" applyNumberFormat="1" applyFont="1" applyFill="1">
      <alignment vertical="center"/>
    </xf>
    <xf numFmtId="164" fontId="5" fillId="27" borderId="0" xfId="0" applyNumberFormat="1" applyFont="1" applyFill="1">
      <alignment vertical="center"/>
    </xf>
    <xf numFmtId="164" fontId="5" fillId="28" borderId="0" xfId="0" applyNumberFormat="1" applyFont="1" applyFill="1">
      <alignment vertical="center"/>
    </xf>
    <xf numFmtId="164" fontId="5" fillId="29" borderId="0" xfId="0" applyNumberFormat="1" applyFont="1" applyFill="1">
      <alignment vertical="center"/>
    </xf>
    <xf numFmtId="164" fontId="5" fillId="30" borderId="0" xfId="0" applyNumberFormat="1" applyFont="1" applyFill="1">
      <alignment vertical="center"/>
    </xf>
    <xf numFmtId="164" fontId="5" fillId="31" borderId="0" xfId="0" applyNumberFormat="1" applyFont="1" applyFill="1">
      <alignment vertical="center"/>
    </xf>
    <xf numFmtId="164" fontId="5" fillId="32" borderId="0" xfId="0" applyNumberFormat="1" applyFont="1" applyFill="1">
      <alignment vertical="center"/>
    </xf>
    <xf numFmtId="164" fontId="5" fillId="33" borderId="0" xfId="0" applyNumberFormat="1" applyFont="1" applyFill="1">
      <alignment vertical="center"/>
    </xf>
    <xf numFmtId="164" fontId="5" fillId="34" borderId="0" xfId="0" applyNumberFormat="1" applyFont="1" applyFill="1">
      <alignment vertical="center"/>
    </xf>
    <xf numFmtId="164" fontId="5" fillId="35" borderId="0" xfId="0" applyNumberFormat="1" applyFont="1" applyFill="1">
      <alignment vertical="center"/>
    </xf>
    <xf numFmtId="0" fontId="5" fillId="36" borderId="0" xfId="0" applyFont="1" applyFill="1">
      <alignment vertical="center"/>
    </xf>
    <xf numFmtId="0" fontId="0" fillId="37" borderId="0" xfId="0" applyFill="1" applyAlignment="1">
      <alignment horizontal="center" vertical="center"/>
    </xf>
    <xf numFmtId="0" fontId="0" fillId="0" borderId="0" xfId="0" applyBorder="1">
      <alignment vertical="center"/>
    </xf>
    <xf numFmtId="0" fontId="0" fillId="37" borderId="0" xfId="0" applyFill="1">
      <alignment vertical="center"/>
    </xf>
  </cellXfs>
  <cellStyles count="1">
    <cellStyle name="Normal" xfId="0" builtinId="0"/>
  </cellStyles>
  <dxfs count="30">
    <dxf>
      <numFmt numFmtId="0" formatCode="General"/>
    </dxf>
    <dxf>
      <numFmt numFmtId="0" formatCode="Genera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Medium2" defaultPivotStyle="PivotStyleLight16">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22"/>
      <tableStyleElement type="totalRow" dxfId="21"/>
      <tableStyleElement type="firstRowStripe" dxfId="20"/>
      <tableStyleElement type="firstColumnStripe" dxfId="19"/>
      <tableStyleElement type="firstSubtotalRow" dxfId="18"/>
      <tableStyleElement type="secondSubtotalRow" dxfId="17"/>
      <tableStyleElement type="firstRowSubheading" dxfId="16"/>
      <tableStyleElement type="secondRowSubheading" dxfId="15"/>
      <tableStyleElement type="pageFieldLabels" dxfId="14"/>
      <tableStyleElement type="pageFieldValues" dxfId="1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1.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1"/>
          <c:order val="1"/>
          <c:tx>
            <c:strRef>
              <c:f>Task_1!$D$10</c:f>
              <c:strCache>
                <c:ptCount val="1"/>
                <c:pt idx="0">
                  <c:v>Contribution %</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Task_1!$B$11:$B$20</c:f>
              <c:strCache>
                <c:ptCount val="10"/>
                <c:pt idx="0">
                  <c:v>Average of Food_bucket</c:v>
                </c:pt>
                <c:pt idx="1">
                  <c:v>Average of CF_Bucket</c:v>
                </c:pt>
                <c:pt idx="2">
                  <c:v>Average of Pan, tobacco and intoxicants</c:v>
                </c:pt>
                <c:pt idx="3">
                  <c:v>Average of Fuel and light</c:v>
                </c:pt>
                <c:pt idx="4">
                  <c:v>Average of Household goods and services</c:v>
                </c:pt>
                <c:pt idx="5">
                  <c:v>Average of Health</c:v>
                </c:pt>
                <c:pt idx="6">
                  <c:v>Average of Transport and communication</c:v>
                </c:pt>
                <c:pt idx="7">
                  <c:v>Average of Education</c:v>
                </c:pt>
                <c:pt idx="8">
                  <c:v>Average of Personal care and effects</c:v>
                </c:pt>
                <c:pt idx="9">
                  <c:v>Average of Miscellaneous</c:v>
                </c:pt>
              </c:strCache>
            </c:strRef>
          </c:cat>
          <c:val>
            <c:numRef>
              <c:f>Task_1!$D$11:$D$20</c:f>
              <c:numCache>
                <c:formatCode>0.00</c:formatCode>
                <c:ptCount val="10"/>
                <c:pt idx="0">
                  <c:v>9.6255686138798726</c:v>
                </c:pt>
                <c:pt idx="1">
                  <c:v>10.357310359587093</c:v>
                </c:pt>
                <c:pt idx="2">
                  <c:v>10.92285065091775</c:v>
                </c:pt>
                <c:pt idx="3">
                  <c:v>9.9720872625937442</c:v>
                </c:pt>
                <c:pt idx="4">
                  <c:v>9.8245550126813992</c:v>
                </c:pt>
                <c:pt idx="5">
                  <c:v>10.261687605014275</c:v>
                </c:pt>
                <c:pt idx="6">
                  <c:v>9.2726751148611406</c:v>
                </c:pt>
                <c:pt idx="7">
                  <c:v>9.8518757997022028</c:v>
                </c:pt>
                <c:pt idx="8">
                  <c:v>10.103227040293609</c:v>
                </c:pt>
                <c:pt idx="9">
                  <c:v>9.808162540468917</c:v>
                </c:pt>
              </c:numCache>
            </c:numRef>
          </c:val>
          <c:extLst>
            <c:ext xmlns:c16="http://schemas.microsoft.com/office/drawing/2014/chart" uri="{C3380CC4-5D6E-409C-BE32-E72D297353CC}">
              <c16:uniqueId val="{00000001-85B1-4C04-BAFB-08037B55D538}"/>
            </c:ext>
          </c:extLst>
        </c:ser>
        <c:dLbls>
          <c:dLblPos val="ctr"/>
          <c:showLegendKey val="0"/>
          <c:showVal val="1"/>
          <c:showCatName val="0"/>
          <c:showSerName val="0"/>
          <c:showPercent val="0"/>
          <c:showBubbleSize val="0"/>
        </c:dLbls>
        <c:gapWidth val="150"/>
        <c:overlap val="100"/>
        <c:axId val="666775616"/>
        <c:axId val="666789344"/>
        <c:extLst>
          <c:ext xmlns:c15="http://schemas.microsoft.com/office/drawing/2012/chart" uri="{02D57815-91ED-43cb-92C2-25804820EDAC}">
            <c15:filteredBarSeries>
              <c15:ser>
                <c:idx val="0"/>
                <c:order val="0"/>
                <c:tx>
                  <c:strRef>
                    <c:extLst>
                      <c:ext uri="{02D57815-91ED-43cb-92C2-25804820EDAC}">
                        <c15:formulaRef>
                          <c15:sqref>Task_1!$C$10</c15:sqref>
                        </c15:formulaRef>
                      </c:ext>
                    </c:extLst>
                    <c:strCache>
                      <c:ptCount val="1"/>
                      <c:pt idx="0">
                        <c:v>Average_Index_value</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Task_1!$B$11:$B$20</c15:sqref>
                        </c15:formulaRef>
                      </c:ext>
                    </c:extLst>
                    <c:strCache>
                      <c:ptCount val="10"/>
                      <c:pt idx="0">
                        <c:v>Average of Food_bucket</c:v>
                      </c:pt>
                      <c:pt idx="1">
                        <c:v>Average of CF_Bucket</c:v>
                      </c:pt>
                      <c:pt idx="2">
                        <c:v>Average of Pan, tobacco and intoxicants</c:v>
                      </c:pt>
                      <c:pt idx="3">
                        <c:v>Average of Fuel and light</c:v>
                      </c:pt>
                      <c:pt idx="4">
                        <c:v>Average of Household goods and services</c:v>
                      </c:pt>
                      <c:pt idx="5">
                        <c:v>Average of Health</c:v>
                      </c:pt>
                      <c:pt idx="6">
                        <c:v>Average of Transport and communication</c:v>
                      </c:pt>
                      <c:pt idx="7">
                        <c:v>Average of Education</c:v>
                      </c:pt>
                      <c:pt idx="8">
                        <c:v>Average of Personal care and effects</c:v>
                      </c:pt>
                      <c:pt idx="9">
                        <c:v>Average of Miscellaneous</c:v>
                      </c:pt>
                    </c:strCache>
                  </c:strRef>
                </c:cat>
                <c:val>
                  <c:numRef>
                    <c:extLst>
                      <c:ext uri="{02D57815-91ED-43cb-92C2-25804820EDAC}">
                        <c15:formulaRef>
                          <c15:sqref>Task_1!$C$11:$C$20</c15:sqref>
                        </c15:formulaRef>
                      </c:ext>
                    </c:extLst>
                    <c:numCache>
                      <c:formatCode>0.0</c:formatCode>
                      <c:ptCount val="10"/>
                      <c:pt idx="0">
                        <c:v>176.15833333333339</c:v>
                      </c:pt>
                      <c:pt idx="1">
                        <c:v>189.55</c:v>
                      </c:pt>
                      <c:pt idx="2">
                        <c:v>199.9</c:v>
                      </c:pt>
                      <c:pt idx="3">
                        <c:v>182.5</c:v>
                      </c:pt>
                      <c:pt idx="4">
                        <c:v>179.8</c:v>
                      </c:pt>
                      <c:pt idx="5">
                        <c:v>187.8</c:v>
                      </c:pt>
                      <c:pt idx="6">
                        <c:v>169.7</c:v>
                      </c:pt>
                      <c:pt idx="7">
                        <c:v>180.3</c:v>
                      </c:pt>
                      <c:pt idx="8">
                        <c:v>184.9</c:v>
                      </c:pt>
                      <c:pt idx="9">
                        <c:v>179.5</c:v>
                      </c:pt>
                    </c:numCache>
                  </c:numRef>
                </c:val>
                <c:extLst>
                  <c:ext xmlns:c16="http://schemas.microsoft.com/office/drawing/2014/chart" uri="{C3380CC4-5D6E-409C-BE32-E72D297353CC}">
                    <c16:uniqueId val="{00000000-85B1-4C04-BAFB-08037B55D538}"/>
                  </c:ext>
                </c:extLst>
              </c15:ser>
            </c15:filteredBarSeries>
          </c:ext>
        </c:extLst>
      </c:barChart>
      <c:catAx>
        <c:axId val="66677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789344"/>
        <c:crosses val="autoZero"/>
        <c:auto val="1"/>
        <c:lblAlgn val="ctr"/>
        <c:lblOffset val="100"/>
        <c:noMultiLvlLbl val="0"/>
      </c:catAx>
      <c:valAx>
        <c:axId val="66678934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775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Task_2!$I$5</c:f>
              <c:strCache>
                <c:ptCount val="1"/>
                <c:pt idx="0">
                  <c:v>Inflation%</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Task_2!$H$6:$H$12</c:f>
              <c:numCache>
                <c:formatCode>General</c:formatCode>
                <c:ptCount val="7"/>
                <c:pt idx="0">
                  <c:v>2017</c:v>
                </c:pt>
                <c:pt idx="1">
                  <c:v>2018</c:v>
                </c:pt>
                <c:pt idx="2">
                  <c:v>2019</c:v>
                </c:pt>
                <c:pt idx="3">
                  <c:v>2020</c:v>
                </c:pt>
                <c:pt idx="4">
                  <c:v>2021</c:v>
                </c:pt>
                <c:pt idx="5">
                  <c:v>2022</c:v>
                </c:pt>
                <c:pt idx="6">
                  <c:v>2023</c:v>
                </c:pt>
              </c:numCache>
            </c:numRef>
          </c:cat>
          <c:val>
            <c:numRef>
              <c:f>Task_2!$I$6:$I$12</c:f>
              <c:numCache>
                <c:formatCode>0.0</c:formatCode>
                <c:ptCount val="7"/>
                <c:pt idx="0">
                  <c:v>2.7147659462676246</c:v>
                </c:pt>
                <c:pt idx="1">
                  <c:v>3.3247120662071623</c:v>
                </c:pt>
                <c:pt idx="2">
                  <c:v>3.6967094537187939</c:v>
                </c:pt>
                <c:pt idx="3">
                  <c:v>6.3851339980088353</c:v>
                </c:pt>
                <c:pt idx="4">
                  <c:v>6.847304570021409</c:v>
                </c:pt>
                <c:pt idx="5">
                  <c:v>6.2375978776566834</c:v>
                </c:pt>
                <c:pt idx="6">
                  <c:v>3.0646156825250523</c:v>
                </c:pt>
              </c:numCache>
            </c:numRef>
          </c:val>
          <c:smooth val="0"/>
          <c:extLst>
            <c:ext xmlns:c16="http://schemas.microsoft.com/office/drawing/2014/chart" uri="{C3380CC4-5D6E-409C-BE32-E72D297353CC}">
              <c16:uniqueId val="{00000000-3DEC-4374-B192-CFFAE28A6E81}"/>
            </c:ext>
          </c:extLst>
        </c:ser>
        <c:dLbls>
          <c:dLblPos val="t"/>
          <c:showLegendKey val="0"/>
          <c:showVal val="1"/>
          <c:showCatName val="0"/>
          <c:showSerName val="0"/>
          <c:showPercent val="0"/>
          <c:showBubbleSize val="0"/>
        </c:dLbls>
        <c:smooth val="0"/>
        <c:axId val="1665930895"/>
        <c:axId val="1665926319"/>
      </c:lineChart>
      <c:catAx>
        <c:axId val="1665930895"/>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926319"/>
        <c:crosses val="autoZero"/>
        <c:auto val="1"/>
        <c:lblAlgn val="ctr"/>
        <c:lblOffset val="100"/>
        <c:noMultiLvlLbl val="0"/>
      </c:catAx>
      <c:valAx>
        <c:axId val="166592631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9308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Inflation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Task_3!$K$3</c:f>
              <c:strCache>
                <c:ptCount val="1"/>
                <c:pt idx="0">
                  <c:v>MOM%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Task_3!$J$4:$J$15</c:f>
              <c:strCache>
                <c:ptCount val="12"/>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strCache>
            </c:strRef>
          </c:cat>
          <c:val>
            <c:numRef>
              <c:f>Task_3!$K$4:$K$15</c:f>
              <c:numCache>
                <c:formatCode>0.00</c:formatCode>
                <c:ptCount val="12"/>
                <c:pt idx="0">
                  <c:v>0</c:v>
                </c:pt>
                <c:pt idx="1">
                  <c:v>0.19773245523113386</c:v>
                </c:pt>
                <c:pt idx="2">
                  <c:v>7.3207607225281954E-2</c:v>
                </c:pt>
                <c:pt idx="3">
                  <c:v>0.50730745376185649</c:v>
                </c:pt>
                <c:pt idx="4">
                  <c:v>0.69303797468356165</c:v>
                </c:pt>
                <c:pt idx="5">
                  <c:v>-1.7285269807369604E-2</c:v>
                </c:pt>
                <c:pt idx="6">
                  <c:v>-0.5547959199710808</c:v>
                </c:pt>
                <c:pt idx="7">
                  <c:v>0.43461769447167736</c:v>
                </c:pt>
                <c:pt idx="8">
                  <c:v>-0.61999402036225049</c:v>
                </c:pt>
                <c:pt idx="9">
                  <c:v>4.7502177183077693E-3</c:v>
                </c:pt>
                <c:pt idx="10">
                  <c:v>0.47816586972357461</c:v>
                </c:pt>
                <c:pt idx="11">
                  <c:v>0.75165458556570408</c:v>
                </c:pt>
              </c:numCache>
            </c:numRef>
          </c:val>
          <c:extLst>
            <c:ext xmlns:c16="http://schemas.microsoft.com/office/drawing/2014/chart" uri="{C3380CC4-5D6E-409C-BE32-E72D297353CC}">
              <c16:uniqueId val="{00000000-DDD5-4529-8D5E-FC5E22AA8385}"/>
            </c:ext>
          </c:extLst>
        </c:ser>
        <c:dLbls>
          <c:dLblPos val="outEnd"/>
          <c:showLegendKey val="0"/>
          <c:showVal val="1"/>
          <c:showCatName val="0"/>
          <c:showSerName val="0"/>
          <c:showPercent val="0"/>
          <c:showBubbleSize val="0"/>
        </c:dLbls>
        <c:gapWidth val="219"/>
        <c:overlap val="-27"/>
        <c:axId val="1974720655"/>
        <c:axId val="1974721487"/>
      </c:barChart>
      <c:catAx>
        <c:axId val="19747206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721487"/>
        <c:crosses val="autoZero"/>
        <c:auto val="1"/>
        <c:lblAlgn val="ctr"/>
        <c:lblOffset val="100"/>
        <c:noMultiLvlLbl val="0"/>
      </c:catAx>
      <c:valAx>
        <c:axId val="19747214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7206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COVID-19 changed Inflation Patterns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Task_4!$I$34:$I$35</c:f>
              <c:strCache>
                <c:ptCount val="2"/>
                <c:pt idx="0">
                  <c:v>Food_Bucket_I%</c:v>
                </c:pt>
                <c:pt idx="1">
                  <c:v>-</c:v>
                </c:pt>
              </c:strCache>
            </c:strRef>
          </c:tx>
          <c:spPr>
            <a:ln w="28575" cap="rnd">
              <a:solidFill>
                <a:schemeClr val="accent1"/>
              </a:solidFill>
              <a:round/>
            </a:ln>
            <a:effectLst/>
          </c:spPr>
          <c:marker>
            <c:symbol val="none"/>
          </c:marker>
          <c:cat>
            <c:multiLvlStrRef>
              <c:f>Task_4!$G$36:$H$59</c:f>
              <c:multiLvlStrCache>
                <c:ptCount val="24"/>
                <c:lvl>
                  <c:pt idx="0">
                    <c:v>March</c:v>
                  </c:pt>
                  <c:pt idx="1">
                    <c:v>May</c:v>
                  </c:pt>
                  <c:pt idx="2">
                    <c:v>June</c:v>
                  </c:pt>
                  <c:pt idx="3">
                    <c:v>July</c:v>
                  </c:pt>
                  <c:pt idx="4">
                    <c:v>August</c:v>
                  </c:pt>
                  <c:pt idx="5">
                    <c:v>September</c:v>
                  </c:pt>
                  <c:pt idx="6">
                    <c:v>October</c:v>
                  </c:pt>
                  <c:pt idx="7">
                    <c:v>November</c:v>
                  </c:pt>
                  <c:pt idx="8">
                    <c:v>December</c:v>
                  </c:pt>
                  <c:pt idx="9">
                    <c:v>January</c:v>
                  </c:pt>
                  <c:pt idx="10">
                    <c:v>February</c:v>
                  </c:pt>
                  <c:pt idx="11">
                    <c:v>March</c:v>
                  </c:pt>
                  <c:pt idx="12">
                    <c:v>April</c:v>
                  </c:pt>
                  <c:pt idx="13">
                    <c:v>May</c:v>
                  </c:pt>
                  <c:pt idx="14">
                    <c:v>June</c:v>
                  </c:pt>
                  <c:pt idx="15">
                    <c:v>July</c:v>
                  </c:pt>
                  <c:pt idx="16">
                    <c:v>August</c:v>
                  </c:pt>
                  <c:pt idx="17">
                    <c:v>September</c:v>
                  </c:pt>
                  <c:pt idx="18">
                    <c:v>October</c:v>
                  </c:pt>
                  <c:pt idx="19">
                    <c:v>November</c:v>
                  </c:pt>
                  <c:pt idx="20">
                    <c:v>December</c:v>
                  </c:pt>
                  <c:pt idx="21">
                    <c:v>January</c:v>
                  </c:pt>
                  <c:pt idx="22">
                    <c:v>February</c:v>
                  </c:pt>
                  <c:pt idx="23">
                    <c:v>March</c:v>
                  </c:pt>
                </c:lvl>
                <c:lvl>
                  <c:pt idx="0">
                    <c:v>2019</c:v>
                  </c:pt>
                  <c:pt idx="1">
                    <c:v>2019</c:v>
                  </c:pt>
                  <c:pt idx="2">
                    <c:v>2019</c:v>
                  </c:pt>
                  <c:pt idx="3">
                    <c:v>2019</c:v>
                  </c:pt>
                  <c:pt idx="4">
                    <c:v>2019</c:v>
                  </c:pt>
                  <c:pt idx="5">
                    <c:v>2019</c:v>
                  </c:pt>
                  <c:pt idx="6">
                    <c:v>2019</c:v>
                  </c:pt>
                  <c:pt idx="7">
                    <c:v>2019</c:v>
                  </c:pt>
                  <c:pt idx="8">
                    <c:v>2019</c:v>
                  </c:pt>
                  <c:pt idx="9">
                    <c:v>2020</c:v>
                  </c:pt>
                  <c:pt idx="10">
                    <c:v>2020</c:v>
                  </c:pt>
                  <c:pt idx="11">
                    <c:v>2020</c:v>
                  </c:pt>
                  <c:pt idx="12">
                    <c:v>2020</c:v>
                  </c:pt>
                  <c:pt idx="13">
                    <c:v>2020</c:v>
                  </c:pt>
                  <c:pt idx="14">
                    <c:v>2020</c:v>
                  </c:pt>
                  <c:pt idx="15">
                    <c:v>2020</c:v>
                  </c:pt>
                  <c:pt idx="16">
                    <c:v>2020</c:v>
                  </c:pt>
                  <c:pt idx="17">
                    <c:v>2020</c:v>
                  </c:pt>
                  <c:pt idx="18">
                    <c:v>2020</c:v>
                  </c:pt>
                  <c:pt idx="19">
                    <c:v>2020</c:v>
                  </c:pt>
                  <c:pt idx="20">
                    <c:v>2020</c:v>
                  </c:pt>
                  <c:pt idx="21">
                    <c:v>2021</c:v>
                  </c:pt>
                  <c:pt idx="22">
                    <c:v>2021</c:v>
                  </c:pt>
                  <c:pt idx="23">
                    <c:v>2021</c:v>
                  </c:pt>
                </c:lvl>
              </c:multiLvlStrCache>
            </c:multiLvlStrRef>
          </c:cat>
          <c:val>
            <c:numRef>
              <c:f>Task_4!$I$36:$I$59</c:f>
              <c:numCache>
                <c:formatCode>0.0</c:formatCode>
                <c:ptCount val="24"/>
                <c:pt idx="0">
                  <c:v>0.3890009467747953</c:v>
                </c:pt>
                <c:pt idx="1">
                  <c:v>1.7242439774474607</c:v>
                </c:pt>
                <c:pt idx="2">
                  <c:v>1.22339567881328</c:v>
                </c:pt>
                <c:pt idx="3">
                  <c:v>1.2763076678015917</c:v>
                </c:pt>
                <c:pt idx="4">
                  <c:v>0.4856086819754985</c:v>
                </c:pt>
                <c:pt idx="5">
                  <c:v>0.55174032987026089</c:v>
                </c:pt>
                <c:pt idx="6">
                  <c:v>1.4788006148697317</c:v>
                </c:pt>
                <c:pt idx="7">
                  <c:v>1.3000210917876196</c:v>
                </c:pt>
                <c:pt idx="8">
                  <c:v>1.8000794987791158</c:v>
                </c:pt>
                <c:pt idx="9">
                  <c:v>-0.27332564798631392</c:v>
                </c:pt>
                <c:pt idx="10">
                  <c:v>-1.4449519903048151</c:v>
                </c:pt>
                <c:pt idx="11">
                  <c:v>-0.84562996594779172</c:v>
                </c:pt>
                <c:pt idx="12">
                  <c:v>3.0126113750405299</c:v>
                </c:pt>
                <c:pt idx="13">
                  <c:v>-1.4622536672099602</c:v>
                </c:pt>
                <c:pt idx="14">
                  <c:v>2.4293971147972524</c:v>
                </c:pt>
                <c:pt idx="15">
                  <c:v>0</c:v>
                </c:pt>
                <c:pt idx="16">
                  <c:v>1.4129736673089253</c:v>
                </c:pt>
                <c:pt idx="17">
                  <c:v>0.61702705147923687</c:v>
                </c:pt>
                <c:pt idx="18">
                  <c:v>2.0447433730172992</c:v>
                </c:pt>
                <c:pt idx="19">
                  <c:v>2.2786951694482331</c:v>
                </c:pt>
                <c:pt idx="20">
                  <c:v>0.59445861189605265</c:v>
                </c:pt>
                <c:pt idx="21">
                  <c:v>-1.4199825285623917</c:v>
                </c:pt>
                <c:pt idx="22">
                  <c:v>-1.6854323046983501</c:v>
                </c:pt>
                <c:pt idx="23">
                  <c:v>-3.5346930119147285E-3</c:v>
                </c:pt>
              </c:numCache>
            </c:numRef>
          </c:val>
          <c:smooth val="0"/>
          <c:extLst>
            <c:ext xmlns:c16="http://schemas.microsoft.com/office/drawing/2014/chart" uri="{C3380CC4-5D6E-409C-BE32-E72D297353CC}">
              <c16:uniqueId val="{00000000-DF87-4729-A98D-C0AA9295F105}"/>
            </c:ext>
          </c:extLst>
        </c:ser>
        <c:ser>
          <c:idx val="1"/>
          <c:order val="1"/>
          <c:tx>
            <c:strRef>
              <c:f>Task_4!$J$34:$J$35</c:f>
              <c:strCache>
                <c:ptCount val="2"/>
                <c:pt idx="0">
                  <c:v>Health_I%</c:v>
                </c:pt>
                <c:pt idx="1">
                  <c:v>-</c:v>
                </c:pt>
              </c:strCache>
            </c:strRef>
          </c:tx>
          <c:spPr>
            <a:ln w="28575" cap="rnd">
              <a:solidFill>
                <a:schemeClr val="accent2"/>
              </a:solidFill>
              <a:round/>
            </a:ln>
            <a:effectLst/>
          </c:spPr>
          <c:marker>
            <c:symbol val="none"/>
          </c:marker>
          <c:cat>
            <c:multiLvlStrRef>
              <c:f>Task_4!$G$36:$H$59</c:f>
              <c:multiLvlStrCache>
                <c:ptCount val="24"/>
                <c:lvl>
                  <c:pt idx="0">
                    <c:v>March</c:v>
                  </c:pt>
                  <c:pt idx="1">
                    <c:v>May</c:v>
                  </c:pt>
                  <c:pt idx="2">
                    <c:v>June</c:v>
                  </c:pt>
                  <c:pt idx="3">
                    <c:v>July</c:v>
                  </c:pt>
                  <c:pt idx="4">
                    <c:v>August</c:v>
                  </c:pt>
                  <c:pt idx="5">
                    <c:v>September</c:v>
                  </c:pt>
                  <c:pt idx="6">
                    <c:v>October</c:v>
                  </c:pt>
                  <c:pt idx="7">
                    <c:v>November</c:v>
                  </c:pt>
                  <c:pt idx="8">
                    <c:v>December</c:v>
                  </c:pt>
                  <c:pt idx="9">
                    <c:v>January</c:v>
                  </c:pt>
                  <c:pt idx="10">
                    <c:v>February</c:v>
                  </c:pt>
                  <c:pt idx="11">
                    <c:v>March</c:v>
                  </c:pt>
                  <c:pt idx="12">
                    <c:v>April</c:v>
                  </c:pt>
                  <c:pt idx="13">
                    <c:v>May</c:v>
                  </c:pt>
                  <c:pt idx="14">
                    <c:v>June</c:v>
                  </c:pt>
                  <c:pt idx="15">
                    <c:v>July</c:v>
                  </c:pt>
                  <c:pt idx="16">
                    <c:v>August</c:v>
                  </c:pt>
                  <c:pt idx="17">
                    <c:v>September</c:v>
                  </c:pt>
                  <c:pt idx="18">
                    <c:v>October</c:v>
                  </c:pt>
                  <c:pt idx="19">
                    <c:v>November</c:v>
                  </c:pt>
                  <c:pt idx="20">
                    <c:v>December</c:v>
                  </c:pt>
                  <c:pt idx="21">
                    <c:v>January</c:v>
                  </c:pt>
                  <c:pt idx="22">
                    <c:v>February</c:v>
                  </c:pt>
                  <c:pt idx="23">
                    <c:v>March</c:v>
                  </c:pt>
                </c:lvl>
                <c:lvl>
                  <c:pt idx="0">
                    <c:v>2019</c:v>
                  </c:pt>
                  <c:pt idx="1">
                    <c:v>2019</c:v>
                  </c:pt>
                  <c:pt idx="2">
                    <c:v>2019</c:v>
                  </c:pt>
                  <c:pt idx="3">
                    <c:v>2019</c:v>
                  </c:pt>
                  <c:pt idx="4">
                    <c:v>2019</c:v>
                  </c:pt>
                  <c:pt idx="5">
                    <c:v>2019</c:v>
                  </c:pt>
                  <c:pt idx="6">
                    <c:v>2019</c:v>
                  </c:pt>
                  <c:pt idx="7">
                    <c:v>2019</c:v>
                  </c:pt>
                  <c:pt idx="8">
                    <c:v>2019</c:v>
                  </c:pt>
                  <c:pt idx="9">
                    <c:v>2020</c:v>
                  </c:pt>
                  <c:pt idx="10">
                    <c:v>2020</c:v>
                  </c:pt>
                  <c:pt idx="11">
                    <c:v>2020</c:v>
                  </c:pt>
                  <c:pt idx="12">
                    <c:v>2020</c:v>
                  </c:pt>
                  <c:pt idx="13">
                    <c:v>2020</c:v>
                  </c:pt>
                  <c:pt idx="14">
                    <c:v>2020</c:v>
                  </c:pt>
                  <c:pt idx="15">
                    <c:v>2020</c:v>
                  </c:pt>
                  <c:pt idx="16">
                    <c:v>2020</c:v>
                  </c:pt>
                  <c:pt idx="17">
                    <c:v>2020</c:v>
                  </c:pt>
                  <c:pt idx="18">
                    <c:v>2020</c:v>
                  </c:pt>
                  <c:pt idx="19">
                    <c:v>2020</c:v>
                  </c:pt>
                  <c:pt idx="20">
                    <c:v>2020</c:v>
                  </c:pt>
                  <c:pt idx="21">
                    <c:v>2021</c:v>
                  </c:pt>
                  <c:pt idx="22">
                    <c:v>2021</c:v>
                  </c:pt>
                  <c:pt idx="23">
                    <c:v>2021</c:v>
                  </c:pt>
                </c:lvl>
              </c:multiLvlStrCache>
            </c:multiLvlStrRef>
          </c:cat>
          <c:val>
            <c:numRef>
              <c:f>Task_4!$J$36:$J$59</c:f>
              <c:numCache>
                <c:formatCode>0.0</c:formatCode>
                <c:ptCount val="24"/>
                <c:pt idx="0">
                  <c:v>0.41474654377879799</c:v>
                </c:pt>
                <c:pt idx="1">
                  <c:v>0.50481872418543616</c:v>
                </c:pt>
                <c:pt idx="2">
                  <c:v>0.31963470319632881</c:v>
                </c:pt>
                <c:pt idx="3">
                  <c:v>0.34137460172963136</c:v>
                </c:pt>
                <c:pt idx="4">
                  <c:v>0.40825584032660084</c:v>
                </c:pt>
                <c:pt idx="5">
                  <c:v>0.36141856787892351</c:v>
                </c:pt>
                <c:pt idx="6">
                  <c:v>0.27008777852802546</c:v>
                </c:pt>
                <c:pt idx="7">
                  <c:v>0.33670033670035587</c:v>
                </c:pt>
                <c:pt idx="8">
                  <c:v>0.31319910514539601</c:v>
                </c:pt>
                <c:pt idx="9">
                  <c:v>0.51293487957180073</c:v>
                </c:pt>
                <c:pt idx="10">
                  <c:v>0.35500332815621916</c:v>
                </c:pt>
                <c:pt idx="11">
                  <c:v>0.37585673225734878</c:v>
                </c:pt>
                <c:pt idx="12">
                  <c:v>-0.92511013215859395</c:v>
                </c:pt>
                <c:pt idx="13">
                  <c:v>0.46687416629612405</c:v>
                </c:pt>
                <c:pt idx="14">
                  <c:v>1.9473334808585996</c:v>
                </c:pt>
                <c:pt idx="15">
                  <c:v>0</c:v>
                </c:pt>
                <c:pt idx="16">
                  <c:v>0.39070978945083201</c:v>
                </c:pt>
                <c:pt idx="17">
                  <c:v>0.47567567567568553</c:v>
                </c:pt>
                <c:pt idx="18">
                  <c:v>0.45190445448675831</c:v>
                </c:pt>
                <c:pt idx="19">
                  <c:v>0.5998286203941755</c:v>
                </c:pt>
                <c:pt idx="20">
                  <c:v>0.68143100511074828</c:v>
                </c:pt>
                <c:pt idx="21">
                  <c:v>0.65566835871402462</c:v>
                </c:pt>
                <c:pt idx="22">
                  <c:v>1.2607690691321887</c:v>
                </c:pt>
                <c:pt idx="23">
                  <c:v>0.26976551151691458</c:v>
                </c:pt>
              </c:numCache>
            </c:numRef>
          </c:val>
          <c:smooth val="0"/>
          <c:extLst>
            <c:ext xmlns:c16="http://schemas.microsoft.com/office/drawing/2014/chart" uri="{C3380CC4-5D6E-409C-BE32-E72D297353CC}">
              <c16:uniqueId val="{00000001-DF87-4729-A98D-C0AA9295F105}"/>
            </c:ext>
          </c:extLst>
        </c:ser>
        <c:ser>
          <c:idx val="2"/>
          <c:order val="2"/>
          <c:tx>
            <c:strRef>
              <c:f>Task_4!$K$34:$K$35</c:f>
              <c:strCache>
                <c:ptCount val="2"/>
                <c:pt idx="0">
                  <c:v>Fuel_and_light_I%</c:v>
                </c:pt>
                <c:pt idx="1">
                  <c:v>-</c:v>
                </c:pt>
              </c:strCache>
            </c:strRef>
          </c:tx>
          <c:spPr>
            <a:ln w="28575" cap="rnd">
              <a:solidFill>
                <a:schemeClr val="accent3"/>
              </a:solidFill>
              <a:round/>
            </a:ln>
            <a:effectLst/>
          </c:spPr>
          <c:marker>
            <c:symbol val="none"/>
          </c:marker>
          <c:cat>
            <c:multiLvlStrRef>
              <c:f>Task_4!$G$36:$H$59</c:f>
              <c:multiLvlStrCache>
                <c:ptCount val="24"/>
                <c:lvl>
                  <c:pt idx="0">
                    <c:v>March</c:v>
                  </c:pt>
                  <c:pt idx="1">
                    <c:v>May</c:v>
                  </c:pt>
                  <c:pt idx="2">
                    <c:v>June</c:v>
                  </c:pt>
                  <c:pt idx="3">
                    <c:v>July</c:v>
                  </c:pt>
                  <c:pt idx="4">
                    <c:v>August</c:v>
                  </c:pt>
                  <c:pt idx="5">
                    <c:v>September</c:v>
                  </c:pt>
                  <c:pt idx="6">
                    <c:v>October</c:v>
                  </c:pt>
                  <c:pt idx="7">
                    <c:v>November</c:v>
                  </c:pt>
                  <c:pt idx="8">
                    <c:v>December</c:v>
                  </c:pt>
                  <c:pt idx="9">
                    <c:v>January</c:v>
                  </c:pt>
                  <c:pt idx="10">
                    <c:v>February</c:v>
                  </c:pt>
                  <c:pt idx="11">
                    <c:v>March</c:v>
                  </c:pt>
                  <c:pt idx="12">
                    <c:v>April</c:v>
                  </c:pt>
                  <c:pt idx="13">
                    <c:v>May</c:v>
                  </c:pt>
                  <c:pt idx="14">
                    <c:v>June</c:v>
                  </c:pt>
                  <c:pt idx="15">
                    <c:v>July</c:v>
                  </c:pt>
                  <c:pt idx="16">
                    <c:v>August</c:v>
                  </c:pt>
                  <c:pt idx="17">
                    <c:v>September</c:v>
                  </c:pt>
                  <c:pt idx="18">
                    <c:v>October</c:v>
                  </c:pt>
                  <c:pt idx="19">
                    <c:v>November</c:v>
                  </c:pt>
                  <c:pt idx="20">
                    <c:v>December</c:v>
                  </c:pt>
                  <c:pt idx="21">
                    <c:v>January</c:v>
                  </c:pt>
                  <c:pt idx="22">
                    <c:v>February</c:v>
                  </c:pt>
                  <c:pt idx="23">
                    <c:v>March</c:v>
                  </c:pt>
                </c:lvl>
                <c:lvl>
                  <c:pt idx="0">
                    <c:v>2019</c:v>
                  </c:pt>
                  <c:pt idx="1">
                    <c:v>2019</c:v>
                  </c:pt>
                  <c:pt idx="2">
                    <c:v>2019</c:v>
                  </c:pt>
                  <c:pt idx="3">
                    <c:v>2019</c:v>
                  </c:pt>
                  <c:pt idx="4">
                    <c:v>2019</c:v>
                  </c:pt>
                  <c:pt idx="5">
                    <c:v>2019</c:v>
                  </c:pt>
                  <c:pt idx="6">
                    <c:v>2019</c:v>
                  </c:pt>
                  <c:pt idx="7">
                    <c:v>2019</c:v>
                  </c:pt>
                  <c:pt idx="8">
                    <c:v>2019</c:v>
                  </c:pt>
                  <c:pt idx="9">
                    <c:v>2020</c:v>
                  </c:pt>
                  <c:pt idx="10">
                    <c:v>2020</c:v>
                  </c:pt>
                  <c:pt idx="11">
                    <c:v>2020</c:v>
                  </c:pt>
                  <c:pt idx="12">
                    <c:v>2020</c:v>
                  </c:pt>
                  <c:pt idx="13">
                    <c:v>2020</c:v>
                  </c:pt>
                  <c:pt idx="14">
                    <c:v>2020</c:v>
                  </c:pt>
                  <c:pt idx="15">
                    <c:v>2020</c:v>
                  </c:pt>
                  <c:pt idx="16">
                    <c:v>2020</c:v>
                  </c:pt>
                  <c:pt idx="17">
                    <c:v>2020</c:v>
                  </c:pt>
                  <c:pt idx="18">
                    <c:v>2020</c:v>
                  </c:pt>
                  <c:pt idx="19">
                    <c:v>2020</c:v>
                  </c:pt>
                  <c:pt idx="20">
                    <c:v>2020</c:v>
                  </c:pt>
                  <c:pt idx="21">
                    <c:v>2021</c:v>
                  </c:pt>
                  <c:pt idx="22">
                    <c:v>2021</c:v>
                  </c:pt>
                  <c:pt idx="23">
                    <c:v>2021</c:v>
                  </c:pt>
                </c:lvl>
              </c:multiLvlStrCache>
            </c:multiLvlStrRef>
          </c:cat>
          <c:val>
            <c:numRef>
              <c:f>Task_4!$K$36:$K$59</c:f>
              <c:numCache>
                <c:formatCode>0.0</c:formatCode>
                <c:ptCount val="24"/>
                <c:pt idx="0">
                  <c:v>0.99805258033104605</c:v>
                </c:pt>
                <c:pt idx="1">
                  <c:v>0.40973728609305232</c:v>
                </c:pt>
                <c:pt idx="2">
                  <c:v>0.69611137782045251</c:v>
                </c:pt>
                <c:pt idx="3">
                  <c:v>-1.5256257449344401</c:v>
                </c:pt>
                <c:pt idx="4">
                  <c:v>-0.65359477124185472</c:v>
                </c:pt>
                <c:pt idx="5">
                  <c:v>0.56042884990252306</c:v>
                </c:pt>
                <c:pt idx="6">
                  <c:v>1.090380421613784</c:v>
                </c:pt>
                <c:pt idx="7">
                  <c:v>1.3662511984659678</c:v>
                </c:pt>
                <c:pt idx="8">
                  <c:v>1.0167888389690061</c:v>
                </c:pt>
                <c:pt idx="9">
                  <c:v>0.6788389513108829</c:v>
                </c:pt>
                <c:pt idx="10">
                  <c:v>1.9297837712160055</c:v>
                </c:pt>
                <c:pt idx="11">
                  <c:v>1.2089416058394056</c:v>
                </c:pt>
                <c:pt idx="12">
                  <c:v>-3.1778228532792352</c:v>
                </c:pt>
                <c:pt idx="13">
                  <c:v>1.6410614525139426</c:v>
                </c:pt>
                <c:pt idx="14">
                  <c:v>-2.9199587770525599</c:v>
                </c:pt>
                <c:pt idx="15">
                  <c:v>0</c:v>
                </c:pt>
                <c:pt idx="16">
                  <c:v>0.75489502241096351</c:v>
                </c:pt>
                <c:pt idx="17">
                  <c:v>-0.14048232264107963</c:v>
                </c:pt>
                <c:pt idx="18">
                  <c:v>0.1172332942555819</c:v>
                </c:pt>
                <c:pt idx="19">
                  <c:v>0.32786885245899777</c:v>
                </c:pt>
                <c:pt idx="20">
                  <c:v>0.65359477124183274</c:v>
                </c:pt>
                <c:pt idx="21">
                  <c:v>2.4350649350649549</c:v>
                </c:pt>
                <c:pt idx="22">
                  <c:v>3.2148517093049485</c:v>
                </c:pt>
                <c:pt idx="23">
                  <c:v>2.2812020179864017</c:v>
                </c:pt>
              </c:numCache>
            </c:numRef>
          </c:val>
          <c:smooth val="0"/>
          <c:extLst>
            <c:ext xmlns:c16="http://schemas.microsoft.com/office/drawing/2014/chart" uri="{C3380CC4-5D6E-409C-BE32-E72D297353CC}">
              <c16:uniqueId val="{00000002-DF87-4729-A98D-C0AA9295F105}"/>
            </c:ext>
          </c:extLst>
        </c:ser>
        <c:ser>
          <c:idx val="3"/>
          <c:order val="3"/>
          <c:tx>
            <c:strRef>
              <c:f>Task_4!$L$34:$L$35</c:f>
              <c:strCache>
                <c:ptCount val="2"/>
                <c:pt idx="0">
                  <c:v>Household_goods_and_services_I%</c:v>
                </c:pt>
                <c:pt idx="1">
                  <c:v>-</c:v>
                </c:pt>
              </c:strCache>
            </c:strRef>
          </c:tx>
          <c:spPr>
            <a:ln w="28575" cap="rnd">
              <a:solidFill>
                <a:schemeClr val="accent4"/>
              </a:solidFill>
              <a:round/>
            </a:ln>
            <a:effectLst/>
          </c:spPr>
          <c:marker>
            <c:symbol val="none"/>
          </c:marker>
          <c:cat>
            <c:multiLvlStrRef>
              <c:f>Task_4!$G$36:$H$59</c:f>
              <c:multiLvlStrCache>
                <c:ptCount val="24"/>
                <c:lvl>
                  <c:pt idx="0">
                    <c:v>March</c:v>
                  </c:pt>
                  <c:pt idx="1">
                    <c:v>May</c:v>
                  </c:pt>
                  <c:pt idx="2">
                    <c:v>June</c:v>
                  </c:pt>
                  <c:pt idx="3">
                    <c:v>July</c:v>
                  </c:pt>
                  <c:pt idx="4">
                    <c:v>August</c:v>
                  </c:pt>
                  <c:pt idx="5">
                    <c:v>September</c:v>
                  </c:pt>
                  <c:pt idx="6">
                    <c:v>October</c:v>
                  </c:pt>
                  <c:pt idx="7">
                    <c:v>November</c:v>
                  </c:pt>
                  <c:pt idx="8">
                    <c:v>December</c:v>
                  </c:pt>
                  <c:pt idx="9">
                    <c:v>January</c:v>
                  </c:pt>
                  <c:pt idx="10">
                    <c:v>February</c:v>
                  </c:pt>
                  <c:pt idx="11">
                    <c:v>March</c:v>
                  </c:pt>
                  <c:pt idx="12">
                    <c:v>April</c:v>
                  </c:pt>
                  <c:pt idx="13">
                    <c:v>May</c:v>
                  </c:pt>
                  <c:pt idx="14">
                    <c:v>June</c:v>
                  </c:pt>
                  <c:pt idx="15">
                    <c:v>July</c:v>
                  </c:pt>
                  <c:pt idx="16">
                    <c:v>August</c:v>
                  </c:pt>
                  <c:pt idx="17">
                    <c:v>September</c:v>
                  </c:pt>
                  <c:pt idx="18">
                    <c:v>October</c:v>
                  </c:pt>
                  <c:pt idx="19">
                    <c:v>November</c:v>
                  </c:pt>
                  <c:pt idx="20">
                    <c:v>December</c:v>
                  </c:pt>
                  <c:pt idx="21">
                    <c:v>January</c:v>
                  </c:pt>
                  <c:pt idx="22">
                    <c:v>February</c:v>
                  </c:pt>
                  <c:pt idx="23">
                    <c:v>March</c:v>
                  </c:pt>
                </c:lvl>
                <c:lvl>
                  <c:pt idx="0">
                    <c:v>2019</c:v>
                  </c:pt>
                  <c:pt idx="1">
                    <c:v>2019</c:v>
                  </c:pt>
                  <c:pt idx="2">
                    <c:v>2019</c:v>
                  </c:pt>
                  <c:pt idx="3">
                    <c:v>2019</c:v>
                  </c:pt>
                  <c:pt idx="4">
                    <c:v>2019</c:v>
                  </c:pt>
                  <c:pt idx="5">
                    <c:v>2019</c:v>
                  </c:pt>
                  <c:pt idx="6">
                    <c:v>2019</c:v>
                  </c:pt>
                  <c:pt idx="7">
                    <c:v>2019</c:v>
                  </c:pt>
                  <c:pt idx="8">
                    <c:v>2019</c:v>
                  </c:pt>
                  <c:pt idx="9">
                    <c:v>2020</c:v>
                  </c:pt>
                  <c:pt idx="10">
                    <c:v>2020</c:v>
                  </c:pt>
                  <c:pt idx="11">
                    <c:v>2020</c:v>
                  </c:pt>
                  <c:pt idx="12">
                    <c:v>2020</c:v>
                  </c:pt>
                  <c:pt idx="13">
                    <c:v>2020</c:v>
                  </c:pt>
                  <c:pt idx="14">
                    <c:v>2020</c:v>
                  </c:pt>
                  <c:pt idx="15">
                    <c:v>2020</c:v>
                  </c:pt>
                  <c:pt idx="16">
                    <c:v>2020</c:v>
                  </c:pt>
                  <c:pt idx="17">
                    <c:v>2020</c:v>
                  </c:pt>
                  <c:pt idx="18">
                    <c:v>2020</c:v>
                  </c:pt>
                  <c:pt idx="19">
                    <c:v>2020</c:v>
                  </c:pt>
                  <c:pt idx="20">
                    <c:v>2020</c:v>
                  </c:pt>
                  <c:pt idx="21">
                    <c:v>2021</c:v>
                  </c:pt>
                  <c:pt idx="22">
                    <c:v>2021</c:v>
                  </c:pt>
                  <c:pt idx="23">
                    <c:v>2021</c:v>
                  </c:pt>
                </c:lvl>
              </c:multiLvlStrCache>
            </c:multiLvlStrRef>
          </c:cat>
          <c:val>
            <c:numRef>
              <c:f>Task_4!$L$36:$L$59</c:f>
              <c:numCache>
                <c:formatCode>0.0</c:formatCode>
                <c:ptCount val="24"/>
                <c:pt idx="0">
                  <c:v>4.6468401486986208E-2</c:v>
                </c:pt>
                <c:pt idx="1">
                  <c:v>-4.6446818392937447E-2</c:v>
                </c:pt>
                <c:pt idx="2">
                  <c:v>9.2936802973992219E-2</c:v>
                </c:pt>
                <c:pt idx="3">
                  <c:v>0.25533890436395945</c:v>
                </c:pt>
                <c:pt idx="4">
                  <c:v>0.20838156980783379</c:v>
                </c:pt>
                <c:pt idx="5">
                  <c:v>9.2421441774486426E-2</c:v>
                </c:pt>
                <c:pt idx="6">
                  <c:v>0.25392428439518411</c:v>
                </c:pt>
                <c:pt idx="7">
                  <c:v>0.23025558369791121</c:v>
                </c:pt>
                <c:pt idx="8">
                  <c:v>0.34458993797381116</c:v>
                </c:pt>
                <c:pt idx="9">
                  <c:v>0.27472527472525915</c:v>
                </c:pt>
                <c:pt idx="10">
                  <c:v>0.1369863013698942</c:v>
                </c:pt>
                <c:pt idx="11">
                  <c:v>2.279981760145789E-2</c:v>
                </c:pt>
                <c:pt idx="12">
                  <c:v>-2.2794620469567883E-2</c:v>
                </c:pt>
                <c:pt idx="13">
                  <c:v>2.279981760145789E-2</c:v>
                </c:pt>
                <c:pt idx="14">
                  <c:v>-4.5589240939155201E-2</c:v>
                </c:pt>
                <c:pt idx="15">
                  <c:v>0</c:v>
                </c:pt>
                <c:pt idx="16">
                  <c:v>1.4367160775370544</c:v>
                </c:pt>
                <c:pt idx="17">
                  <c:v>0.20233812949642971</c:v>
                </c:pt>
                <c:pt idx="18">
                  <c:v>2.2436616558202609E-2</c:v>
                </c:pt>
                <c:pt idx="19">
                  <c:v>0.29161058770749471</c:v>
                </c:pt>
                <c:pt idx="20">
                  <c:v>0.33549541489599644</c:v>
                </c:pt>
                <c:pt idx="21">
                  <c:v>0.22291573785109864</c:v>
                </c:pt>
                <c:pt idx="22">
                  <c:v>0.57829181494660531</c:v>
                </c:pt>
                <c:pt idx="23">
                  <c:v>0.22114108801415933</c:v>
                </c:pt>
              </c:numCache>
            </c:numRef>
          </c:val>
          <c:smooth val="0"/>
          <c:extLst>
            <c:ext xmlns:c16="http://schemas.microsoft.com/office/drawing/2014/chart" uri="{C3380CC4-5D6E-409C-BE32-E72D297353CC}">
              <c16:uniqueId val="{00000003-DF87-4729-A98D-C0AA9295F105}"/>
            </c:ext>
          </c:extLst>
        </c:ser>
        <c:dLbls>
          <c:showLegendKey val="0"/>
          <c:showVal val="0"/>
          <c:showCatName val="0"/>
          <c:showSerName val="0"/>
          <c:showPercent val="0"/>
          <c:showBubbleSize val="0"/>
        </c:dLbls>
        <c:smooth val="0"/>
        <c:axId val="1779812383"/>
        <c:axId val="1779807391"/>
      </c:lineChart>
      <c:catAx>
        <c:axId val="177981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807391"/>
        <c:crosses val="autoZero"/>
        <c:auto val="1"/>
        <c:lblAlgn val="ctr"/>
        <c:lblOffset val="100"/>
        <c:noMultiLvlLbl val="0"/>
      </c:catAx>
      <c:valAx>
        <c:axId val="177980739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8123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Task_4!$C$48</c:f>
              <c:strCache>
                <c:ptCount val="1"/>
                <c:pt idx="0">
                  <c:v>Pre_C-19</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Task_4!$B$49:$B$52</c:f>
              <c:strCache>
                <c:ptCount val="4"/>
                <c:pt idx="0">
                  <c:v>Food_bucket</c:v>
                </c:pt>
                <c:pt idx="1">
                  <c:v>Health</c:v>
                </c:pt>
                <c:pt idx="2">
                  <c:v>Fuel and light</c:v>
                </c:pt>
                <c:pt idx="3">
                  <c:v>Household goods and services</c:v>
                </c:pt>
              </c:strCache>
            </c:strRef>
          </c:cat>
          <c:val>
            <c:numRef>
              <c:f>Task_4!$C$49:$C$52</c:f>
              <c:numCache>
                <c:formatCode>0.00</c:formatCode>
                <c:ptCount val="4"/>
                <c:pt idx="0">
                  <c:v>143.2431818181818</c:v>
                </c:pt>
                <c:pt idx="1">
                  <c:v>148.03030303030303</c:v>
                </c:pt>
                <c:pt idx="2">
                  <c:v>140.09090909090912</c:v>
                </c:pt>
                <c:pt idx="3">
                  <c:v>144.62727272727273</c:v>
                </c:pt>
              </c:numCache>
            </c:numRef>
          </c:val>
          <c:extLst>
            <c:ext xmlns:c16="http://schemas.microsoft.com/office/drawing/2014/chart" uri="{C3380CC4-5D6E-409C-BE32-E72D297353CC}">
              <c16:uniqueId val="{00000000-3205-44CA-99C9-7005DA17DC31}"/>
            </c:ext>
          </c:extLst>
        </c:ser>
        <c:ser>
          <c:idx val="1"/>
          <c:order val="1"/>
          <c:tx>
            <c:strRef>
              <c:f>Task_4!$D$48</c:f>
              <c:strCache>
                <c:ptCount val="1"/>
                <c:pt idx="0">
                  <c:v>Post_C-19</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Task_4!$B$49:$B$52</c:f>
              <c:strCache>
                <c:ptCount val="4"/>
                <c:pt idx="0">
                  <c:v>Food_bucket</c:v>
                </c:pt>
                <c:pt idx="1">
                  <c:v>Health</c:v>
                </c:pt>
                <c:pt idx="2">
                  <c:v>Fuel and light</c:v>
                </c:pt>
                <c:pt idx="3">
                  <c:v>Household goods and services</c:v>
                </c:pt>
              </c:strCache>
            </c:strRef>
          </c:cat>
          <c:val>
            <c:numRef>
              <c:f>Task_4!$D$49:$D$52</c:f>
              <c:numCache>
                <c:formatCode>0.00</c:formatCode>
                <c:ptCount val="4"/>
                <c:pt idx="0">
                  <c:v>155.30775462962964</c:v>
                </c:pt>
                <c:pt idx="1">
                  <c:v>155.56944444444443</c:v>
                </c:pt>
                <c:pt idx="2">
                  <c:v>144.94861111111112</c:v>
                </c:pt>
                <c:pt idx="3">
                  <c:v>148.36944444444444</c:v>
                </c:pt>
              </c:numCache>
            </c:numRef>
          </c:val>
          <c:extLst>
            <c:ext xmlns:c16="http://schemas.microsoft.com/office/drawing/2014/chart" uri="{C3380CC4-5D6E-409C-BE32-E72D297353CC}">
              <c16:uniqueId val="{00000001-3205-44CA-99C9-7005DA17DC31}"/>
            </c:ext>
          </c:extLst>
        </c:ser>
        <c:dLbls>
          <c:dLblPos val="outEnd"/>
          <c:showLegendKey val="0"/>
          <c:showVal val="1"/>
          <c:showCatName val="0"/>
          <c:showSerName val="0"/>
          <c:showPercent val="0"/>
          <c:showBubbleSize val="0"/>
        </c:dLbls>
        <c:gapWidth val="219"/>
        <c:overlap val="-27"/>
        <c:axId val="815661951"/>
        <c:axId val="815659039"/>
      </c:barChart>
      <c:catAx>
        <c:axId val="81566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59039"/>
        <c:crosses val="autoZero"/>
        <c:auto val="1"/>
        <c:lblAlgn val="ctr"/>
        <c:lblOffset val="100"/>
        <c:noMultiLvlLbl val="0"/>
      </c:catAx>
      <c:valAx>
        <c:axId val="8156590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61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Task_5!$I$34:$I$35</c:f>
              <c:strCache>
                <c:ptCount val="2"/>
                <c:pt idx="0">
                  <c:v>Correlation Analysis</c:v>
                </c:pt>
                <c:pt idx="1">
                  <c:v>Correlation with Oil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Task_5!$H$36:$H$42</c:f>
              <c:strCache>
                <c:ptCount val="7"/>
                <c:pt idx="0">
                  <c:v>ENERGY</c:v>
                </c:pt>
                <c:pt idx="1">
                  <c:v>CLOTHING</c:v>
                </c:pt>
                <c:pt idx="2">
                  <c:v>HEALTH</c:v>
                </c:pt>
                <c:pt idx="3">
                  <c:v>TRANSPORTATION</c:v>
                </c:pt>
                <c:pt idx="4">
                  <c:v>HOUSING</c:v>
                </c:pt>
                <c:pt idx="5">
                  <c:v>FOOD</c:v>
                </c:pt>
                <c:pt idx="6">
                  <c:v>GOODS AND SERVICES</c:v>
                </c:pt>
              </c:strCache>
            </c:strRef>
          </c:cat>
          <c:val>
            <c:numRef>
              <c:f>Task_5!$I$36:$I$42</c:f>
              <c:numCache>
                <c:formatCode>General</c:formatCode>
                <c:ptCount val="7"/>
                <c:pt idx="0">
                  <c:v>0.16893901618487861</c:v>
                </c:pt>
                <c:pt idx="1">
                  <c:v>0.15684460942582215</c:v>
                </c:pt>
                <c:pt idx="2">
                  <c:v>0.12424583578297675</c:v>
                </c:pt>
                <c:pt idx="3">
                  <c:v>0.12088108595874097</c:v>
                </c:pt>
                <c:pt idx="4">
                  <c:v>6.7289459846430325E-2</c:v>
                </c:pt>
                <c:pt idx="5">
                  <c:v>-5.113887949935181E-3</c:v>
                </c:pt>
                <c:pt idx="6">
                  <c:v>-1.5558666617153868E-2</c:v>
                </c:pt>
              </c:numCache>
            </c:numRef>
          </c:val>
          <c:smooth val="0"/>
          <c:extLst>
            <c:ext xmlns:c16="http://schemas.microsoft.com/office/drawing/2014/chart" uri="{C3380CC4-5D6E-409C-BE32-E72D297353CC}">
              <c16:uniqueId val="{00000000-CC5B-41AC-B78C-4DC6AF3BBEB7}"/>
            </c:ext>
          </c:extLst>
        </c:ser>
        <c:dLbls>
          <c:showLegendKey val="0"/>
          <c:showVal val="0"/>
          <c:showCatName val="0"/>
          <c:showSerName val="0"/>
          <c:showPercent val="0"/>
          <c:showBubbleSize val="0"/>
        </c:dLbls>
        <c:marker val="1"/>
        <c:smooth val="0"/>
        <c:axId val="675628864"/>
        <c:axId val="675645504"/>
      </c:lineChart>
      <c:catAx>
        <c:axId val="67562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645504"/>
        <c:crosses val="autoZero"/>
        <c:auto val="1"/>
        <c:lblAlgn val="ctr"/>
        <c:lblOffset val="100"/>
        <c:noMultiLvlLbl val="0"/>
      </c:catAx>
      <c:valAx>
        <c:axId val="675645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62886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COVID-19 changed Inflation Patterns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Task_4!$I$34:$I$35</c:f>
              <c:strCache>
                <c:ptCount val="2"/>
                <c:pt idx="0">
                  <c:v>Food_Bucket_I%</c:v>
                </c:pt>
                <c:pt idx="1">
                  <c:v>-</c:v>
                </c:pt>
              </c:strCache>
            </c:strRef>
          </c:tx>
          <c:spPr>
            <a:ln w="28575" cap="rnd">
              <a:solidFill>
                <a:schemeClr val="accent1"/>
              </a:solidFill>
              <a:round/>
            </a:ln>
            <a:effectLst/>
          </c:spPr>
          <c:marker>
            <c:symbol val="none"/>
          </c:marker>
          <c:cat>
            <c:multiLvlStrRef>
              <c:f>Task_4!$G$36:$H$59</c:f>
              <c:multiLvlStrCache>
                <c:ptCount val="24"/>
                <c:lvl>
                  <c:pt idx="0">
                    <c:v>March</c:v>
                  </c:pt>
                  <c:pt idx="1">
                    <c:v>May</c:v>
                  </c:pt>
                  <c:pt idx="2">
                    <c:v>June</c:v>
                  </c:pt>
                  <c:pt idx="3">
                    <c:v>July</c:v>
                  </c:pt>
                  <c:pt idx="4">
                    <c:v>August</c:v>
                  </c:pt>
                  <c:pt idx="5">
                    <c:v>September</c:v>
                  </c:pt>
                  <c:pt idx="6">
                    <c:v>October</c:v>
                  </c:pt>
                  <c:pt idx="7">
                    <c:v>November</c:v>
                  </c:pt>
                  <c:pt idx="8">
                    <c:v>December</c:v>
                  </c:pt>
                  <c:pt idx="9">
                    <c:v>January</c:v>
                  </c:pt>
                  <c:pt idx="10">
                    <c:v>February</c:v>
                  </c:pt>
                  <c:pt idx="11">
                    <c:v>March</c:v>
                  </c:pt>
                  <c:pt idx="12">
                    <c:v>April</c:v>
                  </c:pt>
                  <c:pt idx="13">
                    <c:v>May</c:v>
                  </c:pt>
                  <c:pt idx="14">
                    <c:v>June</c:v>
                  </c:pt>
                  <c:pt idx="15">
                    <c:v>July</c:v>
                  </c:pt>
                  <c:pt idx="16">
                    <c:v>August</c:v>
                  </c:pt>
                  <c:pt idx="17">
                    <c:v>September</c:v>
                  </c:pt>
                  <c:pt idx="18">
                    <c:v>October</c:v>
                  </c:pt>
                  <c:pt idx="19">
                    <c:v>November</c:v>
                  </c:pt>
                  <c:pt idx="20">
                    <c:v>December</c:v>
                  </c:pt>
                  <c:pt idx="21">
                    <c:v>January</c:v>
                  </c:pt>
                  <c:pt idx="22">
                    <c:v>February</c:v>
                  </c:pt>
                  <c:pt idx="23">
                    <c:v>March</c:v>
                  </c:pt>
                </c:lvl>
                <c:lvl>
                  <c:pt idx="0">
                    <c:v>2019</c:v>
                  </c:pt>
                  <c:pt idx="1">
                    <c:v>2019</c:v>
                  </c:pt>
                  <c:pt idx="2">
                    <c:v>2019</c:v>
                  </c:pt>
                  <c:pt idx="3">
                    <c:v>2019</c:v>
                  </c:pt>
                  <c:pt idx="4">
                    <c:v>2019</c:v>
                  </c:pt>
                  <c:pt idx="5">
                    <c:v>2019</c:v>
                  </c:pt>
                  <c:pt idx="6">
                    <c:v>2019</c:v>
                  </c:pt>
                  <c:pt idx="7">
                    <c:v>2019</c:v>
                  </c:pt>
                  <c:pt idx="8">
                    <c:v>2019</c:v>
                  </c:pt>
                  <c:pt idx="9">
                    <c:v>2020</c:v>
                  </c:pt>
                  <c:pt idx="10">
                    <c:v>2020</c:v>
                  </c:pt>
                  <c:pt idx="11">
                    <c:v>2020</c:v>
                  </c:pt>
                  <c:pt idx="12">
                    <c:v>2020</c:v>
                  </c:pt>
                  <c:pt idx="13">
                    <c:v>2020</c:v>
                  </c:pt>
                  <c:pt idx="14">
                    <c:v>2020</c:v>
                  </c:pt>
                  <c:pt idx="15">
                    <c:v>2020</c:v>
                  </c:pt>
                  <c:pt idx="16">
                    <c:v>2020</c:v>
                  </c:pt>
                  <c:pt idx="17">
                    <c:v>2020</c:v>
                  </c:pt>
                  <c:pt idx="18">
                    <c:v>2020</c:v>
                  </c:pt>
                  <c:pt idx="19">
                    <c:v>2020</c:v>
                  </c:pt>
                  <c:pt idx="20">
                    <c:v>2020</c:v>
                  </c:pt>
                  <c:pt idx="21">
                    <c:v>2021</c:v>
                  </c:pt>
                  <c:pt idx="22">
                    <c:v>2021</c:v>
                  </c:pt>
                  <c:pt idx="23">
                    <c:v>2021</c:v>
                  </c:pt>
                </c:lvl>
              </c:multiLvlStrCache>
            </c:multiLvlStrRef>
          </c:cat>
          <c:val>
            <c:numRef>
              <c:f>Task_4!$I$36:$I$59</c:f>
              <c:numCache>
                <c:formatCode>0.0</c:formatCode>
                <c:ptCount val="24"/>
                <c:pt idx="0">
                  <c:v>0.3890009467747953</c:v>
                </c:pt>
                <c:pt idx="1">
                  <c:v>1.7242439774474607</c:v>
                </c:pt>
                <c:pt idx="2">
                  <c:v>1.22339567881328</c:v>
                </c:pt>
                <c:pt idx="3">
                  <c:v>1.2763076678015917</c:v>
                </c:pt>
                <c:pt idx="4">
                  <c:v>0.4856086819754985</c:v>
                </c:pt>
                <c:pt idx="5">
                  <c:v>0.55174032987026089</c:v>
                </c:pt>
                <c:pt idx="6">
                  <c:v>1.4788006148697317</c:v>
                </c:pt>
                <c:pt idx="7">
                  <c:v>1.3000210917876196</c:v>
                </c:pt>
                <c:pt idx="8">
                  <c:v>1.8000794987791158</c:v>
                </c:pt>
                <c:pt idx="9">
                  <c:v>-0.27332564798631392</c:v>
                </c:pt>
                <c:pt idx="10">
                  <c:v>-1.4449519903048151</c:v>
                </c:pt>
                <c:pt idx="11">
                  <c:v>-0.84562996594779172</c:v>
                </c:pt>
                <c:pt idx="12">
                  <c:v>3.0126113750405299</c:v>
                </c:pt>
                <c:pt idx="13">
                  <c:v>-1.4622536672099602</c:v>
                </c:pt>
                <c:pt idx="14">
                  <c:v>2.4293971147972524</c:v>
                </c:pt>
                <c:pt idx="15">
                  <c:v>0</c:v>
                </c:pt>
                <c:pt idx="16">
                  <c:v>1.4129736673089253</c:v>
                </c:pt>
                <c:pt idx="17">
                  <c:v>0.61702705147923687</c:v>
                </c:pt>
                <c:pt idx="18">
                  <c:v>2.0447433730172992</c:v>
                </c:pt>
                <c:pt idx="19">
                  <c:v>2.2786951694482331</c:v>
                </c:pt>
                <c:pt idx="20">
                  <c:v>0.59445861189605265</c:v>
                </c:pt>
                <c:pt idx="21">
                  <c:v>-1.4199825285623917</c:v>
                </c:pt>
                <c:pt idx="22">
                  <c:v>-1.6854323046983501</c:v>
                </c:pt>
                <c:pt idx="23">
                  <c:v>-3.5346930119147285E-3</c:v>
                </c:pt>
              </c:numCache>
            </c:numRef>
          </c:val>
          <c:smooth val="0"/>
          <c:extLst>
            <c:ext xmlns:c16="http://schemas.microsoft.com/office/drawing/2014/chart" uri="{C3380CC4-5D6E-409C-BE32-E72D297353CC}">
              <c16:uniqueId val="{00000000-A334-47B0-8D16-208C3D5D2043}"/>
            </c:ext>
          </c:extLst>
        </c:ser>
        <c:ser>
          <c:idx val="1"/>
          <c:order val="1"/>
          <c:tx>
            <c:strRef>
              <c:f>Task_4!$J$34:$J$35</c:f>
              <c:strCache>
                <c:ptCount val="2"/>
                <c:pt idx="0">
                  <c:v>Health_I%</c:v>
                </c:pt>
                <c:pt idx="1">
                  <c:v>-</c:v>
                </c:pt>
              </c:strCache>
            </c:strRef>
          </c:tx>
          <c:spPr>
            <a:ln w="28575" cap="rnd">
              <a:solidFill>
                <a:schemeClr val="accent2"/>
              </a:solidFill>
              <a:round/>
            </a:ln>
            <a:effectLst/>
          </c:spPr>
          <c:marker>
            <c:symbol val="none"/>
          </c:marker>
          <c:cat>
            <c:multiLvlStrRef>
              <c:f>Task_4!$G$36:$H$59</c:f>
              <c:multiLvlStrCache>
                <c:ptCount val="24"/>
                <c:lvl>
                  <c:pt idx="0">
                    <c:v>March</c:v>
                  </c:pt>
                  <c:pt idx="1">
                    <c:v>May</c:v>
                  </c:pt>
                  <c:pt idx="2">
                    <c:v>June</c:v>
                  </c:pt>
                  <c:pt idx="3">
                    <c:v>July</c:v>
                  </c:pt>
                  <c:pt idx="4">
                    <c:v>August</c:v>
                  </c:pt>
                  <c:pt idx="5">
                    <c:v>September</c:v>
                  </c:pt>
                  <c:pt idx="6">
                    <c:v>October</c:v>
                  </c:pt>
                  <c:pt idx="7">
                    <c:v>November</c:v>
                  </c:pt>
                  <c:pt idx="8">
                    <c:v>December</c:v>
                  </c:pt>
                  <c:pt idx="9">
                    <c:v>January</c:v>
                  </c:pt>
                  <c:pt idx="10">
                    <c:v>February</c:v>
                  </c:pt>
                  <c:pt idx="11">
                    <c:v>March</c:v>
                  </c:pt>
                  <c:pt idx="12">
                    <c:v>April</c:v>
                  </c:pt>
                  <c:pt idx="13">
                    <c:v>May</c:v>
                  </c:pt>
                  <c:pt idx="14">
                    <c:v>June</c:v>
                  </c:pt>
                  <c:pt idx="15">
                    <c:v>July</c:v>
                  </c:pt>
                  <c:pt idx="16">
                    <c:v>August</c:v>
                  </c:pt>
                  <c:pt idx="17">
                    <c:v>September</c:v>
                  </c:pt>
                  <c:pt idx="18">
                    <c:v>October</c:v>
                  </c:pt>
                  <c:pt idx="19">
                    <c:v>November</c:v>
                  </c:pt>
                  <c:pt idx="20">
                    <c:v>December</c:v>
                  </c:pt>
                  <c:pt idx="21">
                    <c:v>January</c:v>
                  </c:pt>
                  <c:pt idx="22">
                    <c:v>February</c:v>
                  </c:pt>
                  <c:pt idx="23">
                    <c:v>March</c:v>
                  </c:pt>
                </c:lvl>
                <c:lvl>
                  <c:pt idx="0">
                    <c:v>2019</c:v>
                  </c:pt>
                  <c:pt idx="1">
                    <c:v>2019</c:v>
                  </c:pt>
                  <c:pt idx="2">
                    <c:v>2019</c:v>
                  </c:pt>
                  <c:pt idx="3">
                    <c:v>2019</c:v>
                  </c:pt>
                  <c:pt idx="4">
                    <c:v>2019</c:v>
                  </c:pt>
                  <c:pt idx="5">
                    <c:v>2019</c:v>
                  </c:pt>
                  <c:pt idx="6">
                    <c:v>2019</c:v>
                  </c:pt>
                  <c:pt idx="7">
                    <c:v>2019</c:v>
                  </c:pt>
                  <c:pt idx="8">
                    <c:v>2019</c:v>
                  </c:pt>
                  <c:pt idx="9">
                    <c:v>2020</c:v>
                  </c:pt>
                  <c:pt idx="10">
                    <c:v>2020</c:v>
                  </c:pt>
                  <c:pt idx="11">
                    <c:v>2020</c:v>
                  </c:pt>
                  <c:pt idx="12">
                    <c:v>2020</c:v>
                  </c:pt>
                  <c:pt idx="13">
                    <c:v>2020</c:v>
                  </c:pt>
                  <c:pt idx="14">
                    <c:v>2020</c:v>
                  </c:pt>
                  <c:pt idx="15">
                    <c:v>2020</c:v>
                  </c:pt>
                  <c:pt idx="16">
                    <c:v>2020</c:v>
                  </c:pt>
                  <c:pt idx="17">
                    <c:v>2020</c:v>
                  </c:pt>
                  <c:pt idx="18">
                    <c:v>2020</c:v>
                  </c:pt>
                  <c:pt idx="19">
                    <c:v>2020</c:v>
                  </c:pt>
                  <c:pt idx="20">
                    <c:v>2020</c:v>
                  </c:pt>
                  <c:pt idx="21">
                    <c:v>2021</c:v>
                  </c:pt>
                  <c:pt idx="22">
                    <c:v>2021</c:v>
                  </c:pt>
                  <c:pt idx="23">
                    <c:v>2021</c:v>
                  </c:pt>
                </c:lvl>
              </c:multiLvlStrCache>
            </c:multiLvlStrRef>
          </c:cat>
          <c:val>
            <c:numRef>
              <c:f>Task_4!$J$36:$J$59</c:f>
              <c:numCache>
                <c:formatCode>0.0</c:formatCode>
                <c:ptCount val="24"/>
                <c:pt idx="0">
                  <c:v>0.41474654377879799</c:v>
                </c:pt>
                <c:pt idx="1">
                  <c:v>0.50481872418543616</c:v>
                </c:pt>
                <c:pt idx="2">
                  <c:v>0.31963470319632881</c:v>
                </c:pt>
                <c:pt idx="3">
                  <c:v>0.34137460172963136</c:v>
                </c:pt>
                <c:pt idx="4">
                  <c:v>0.40825584032660084</c:v>
                </c:pt>
                <c:pt idx="5">
                  <c:v>0.36141856787892351</c:v>
                </c:pt>
                <c:pt idx="6">
                  <c:v>0.27008777852802546</c:v>
                </c:pt>
                <c:pt idx="7">
                  <c:v>0.33670033670035587</c:v>
                </c:pt>
                <c:pt idx="8">
                  <c:v>0.31319910514539601</c:v>
                </c:pt>
                <c:pt idx="9">
                  <c:v>0.51293487957180073</c:v>
                </c:pt>
                <c:pt idx="10">
                  <c:v>0.35500332815621916</c:v>
                </c:pt>
                <c:pt idx="11">
                  <c:v>0.37585673225734878</c:v>
                </c:pt>
                <c:pt idx="12">
                  <c:v>-0.92511013215859395</c:v>
                </c:pt>
                <c:pt idx="13">
                  <c:v>0.46687416629612405</c:v>
                </c:pt>
                <c:pt idx="14">
                  <c:v>1.9473334808585996</c:v>
                </c:pt>
                <c:pt idx="15">
                  <c:v>0</c:v>
                </c:pt>
                <c:pt idx="16">
                  <c:v>0.39070978945083201</c:v>
                </c:pt>
                <c:pt idx="17">
                  <c:v>0.47567567567568553</c:v>
                </c:pt>
                <c:pt idx="18">
                  <c:v>0.45190445448675831</c:v>
                </c:pt>
                <c:pt idx="19">
                  <c:v>0.5998286203941755</c:v>
                </c:pt>
                <c:pt idx="20">
                  <c:v>0.68143100511074828</c:v>
                </c:pt>
                <c:pt idx="21">
                  <c:v>0.65566835871402462</c:v>
                </c:pt>
                <c:pt idx="22">
                  <c:v>1.2607690691321887</c:v>
                </c:pt>
                <c:pt idx="23">
                  <c:v>0.26976551151691458</c:v>
                </c:pt>
              </c:numCache>
            </c:numRef>
          </c:val>
          <c:smooth val="0"/>
          <c:extLst>
            <c:ext xmlns:c16="http://schemas.microsoft.com/office/drawing/2014/chart" uri="{C3380CC4-5D6E-409C-BE32-E72D297353CC}">
              <c16:uniqueId val="{00000001-A334-47B0-8D16-208C3D5D2043}"/>
            </c:ext>
          </c:extLst>
        </c:ser>
        <c:ser>
          <c:idx val="2"/>
          <c:order val="2"/>
          <c:tx>
            <c:strRef>
              <c:f>Task_4!$K$34:$K$35</c:f>
              <c:strCache>
                <c:ptCount val="2"/>
                <c:pt idx="0">
                  <c:v>Fuel_and_light_I%</c:v>
                </c:pt>
                <c:pt idx="1">
                  <c:v>-</c:v>
                </c:pt>
              </c:strCache>
            </c:strRef>
          </c:tx>
          <c:spPr>
            <a:ln w="28575" cap="rnd">
              <a:solidFill>
                <a:schemeClr val="accent3"/>
              </a:solidFill>
              <a:round/>
            </a:ln>
            <a:effectLst/>
          </c:spPr>
          <c:marker>
            <c:symbol val="none"/>
          </c:marker>
          <c:cat>
            <c:multiLvlStrRef>
              <c:f>Task_4!$G$36:$H$59</c:f>
              <c:multiLvlStrCache>
                <c:ptCount val="24"/>
                <c:lvl>
                  <c:pt idx="0">
                    <c:v>March</c:v>
                  </c:pt>
                  <c:pt idx="1">
                    <c:v>May</c:v>
                  </c:pt>
                  <c:pt idx="2">
                    <c:v>June</c:v>
                  </c:pt>
                  <c:pt idx="3">
                    <c:v>July</c:v>
                  </c:pt>
                  <c:pt idx="4">
                    <c:v>August</c:v>
                  </c:pt>
                  <c:pt idx="5">
                    <c:v>September</c:v>
                  </c:pt>
                  <c:pt idx="6">
                    <c:v>October</c:v>
                  </c:pt>
                  <c:pt idx="7">
                    <c:v>November</c:v>
                  </c:pt>
                  <c:pt idx="8">
                    <c:v>December</c:v>
                  </c:pt>
                  <c:pt idx="9">
                    <c:v>January</c:v>
                  </c:pt>
                  <c:pt idx="10">
                    <c:v>February</c:v>
                  </c:pt>
                  <c:pt idx="11">
                    <c:v>March</c:v>
                  </c:pt>
                  <c:pt idx="12">
                    <c:v>April</c:v>
                  </c:pt>
                  <c:pt idx="13">
                    <c:v>May</c:v>
                  </c:pt>
                  <c:pt idx="14">
                    <c:v>June</c:v>
                  </c:pt>
                  <c:pt idx="15">
                    <c:v>July</c:v>
                  </c:pt>
                  <c:pt idx="16">
                    <c:v>August</c:v>
                  </c:pt>
                  <c:pt idx="17">
                    <c:v>September</c:v>
                  </c:pt>
                  <c:pt idx="18">
                    <c:v>October</c:v>
                  </c:pt>
                  <c:pt idx="19">
                    <c:v>November</c:v>
                  </c:pt>
                  <c:pt idx="20">
                    <c:v>December</c:v>
                  </c:pt>
                  <c:pt idx="21">
                    <c:v>January</c:v>
                  </c:pt>
                  <c:pt idx="22">
                    <c:v>February</c:v>
                  </c:pt>
                  <c:pt idx="23">
                    <c:v>March</c:v>
                  </c:pt>
                </c:lvl>
                <c:lvl>
                  <c:pt idx="0">
                    <c:v>2019</c:v>
                  </c:pt>
                  <c:pt idx="1">
                    <c:v>2019</c:v>
                  </c:pt>
                  <c:pt idx="2">
                    <c:v>2019</c:v>
                  </c:pt>
                  <c:pt idx="3">
                    <c:v>2019</c:v>
                  </c:pt>
                  <c:pt idx="4">
                    <c:v>2019</c:v>
                  </c:pt>
                  <c:pt idx="5">
                    <c:v>2019</c:v>
                  </c:pt>
                  <c:pt idx="6">
                    <c:v>2019</c:v>
                  </c:pt>
                  <c:pt idx="7">
                    <c:v>2019</c:v>
                  </c:pt>
                  <c:pt idx="8">
                    <c:v>2019</c:v>
                  </c:pt>
                  <c:pt idx="9">
                    <c:v>2020</c:v>
                  </c:pt>
                  <c:pt idx="10">
                    <c:v>2020</c:v>
                  </c:pt>
                  <c:pt idx="11">
                    <c:v>2020</c:v>
                  </c:pt>
                  <c:pt idx="12">
                    <c:v>2020</c:v>
                  </c:pt>
                  <c:pt idx="13">
                    <c:v>2020</c:v>
                  </c:pt>
                  <c:pt idx="14">
                    <c:v>2020</c:v>
                  </c:pt>
                  <c:pt idx="15">
                    <c:v>2020</c:v>
                  </c:pt>
                  <c:pt idx="16">
                    <c:v>2020</c:v>
                  </c:pt>
                  <c:pt idx="17">
                    <c:v>2020</c:v>
                  </c:pt>
                  <c:pt idx="18">
                    <c:v>2020</c:v>
                  </c:pt>
                  <c:pt idx="19">
                    <c:v>2020</c:v>
                  </c:pt>
                  <c:pt idx="20">
                    <c:v>2020</c:v>
                  </c:pt>
                  <c:pt idx="21">
                    <c:v>2021</c:v>
                  </c:pt>
                  <c:pt idx="22">
                    <c:v>2021</c:v>
                  </c:pt>
                  <c:pt idx="23">
                    <c:v>2021</c:v>
                  </c:pt>
                </c:lvl>
              </c:multiLvlStrCache>
            </c:multiLvlStrRef>
          </c:cat>
          <c:val>
            <c:numRef>
              <c:f>Task_4!$K$36:$K$59</c:f>
              <c:numCache>
                <c:formatCode>0.0</c:formatCode>
                <c:ptCount val="24"/>
                <c:pt idx="0">
                  <c:v>0.99805258033104605</c:v>
                </c:pt>
                <c:pt idx="1">
                  <c:v>0.40973728609305232</c:v>
                </c:pt>
                <c:pt idx="2">
                  <c:v>0.69611137782045251</c:v>
                </c:pt>
                <c:pt idx="3">
                  <c:v>-1.5256257449344401</c:v>
                </c:pt>
                <c:pt idx="4">
                  <c:v>-0.65359477124185472</c:v>
                </c:pt>
                <c:pt idx="5">
                  <c:v>0.56042884990252306</c:v>
                </c:pt>
                <c:pt idx="6">
                  <c:v>1.090380421613784</c:v>
                </c:pt>
                <c:pt idx="7">
                  <c:v>1.3662511984659678</c:v>
                </c:pt>
                <c:pt idx="8">
                  <c:v>1.0167888389690061</c:v>
                </c:pt>
                <c:pt idx="9">
                  <c:v>0.6788389513108829</c:v>
                </c:pt>
                <c:pt idx="10">
                  <c:v>1.9297837712160055</c:v>
                </c:pt>
                <c:pt idx="11">
                  <c:v>1.2089416058394056</c:v>
                </c:pt>
                <c:pt idx="12">
                  <c:v>-3.1778228532792352</c:v>
                </c:pt>
                <c:pt idx="13">
                  <c:v>1.6410614525139426</c:v>
                </c:pt>
                <c:pt idx="14">
                  <c:v>-2.9199587770525599</c:v>
                </c:pt>
                <c:pt idx="15">
                  <c:v>0</c:v>
                </c:pt>
                <c:pt idx="16">
                  <c:v>0.75489502241096351</c:v>
                </c:pt>
                <c:pt idx="17">
                  <c:v>-0.14048232264107963</c:v>
                </c:pt>
                <c:pt idx="18">
                  <c:v>0.1172332942555819</c:v>
                </c:pt>
                <c:pt idx="19">
                  <c:v>0.32786885245899777</c:v>
                </c:pt>
                <c:pt idx="20">
                  <c:v>0.65359477124183274</c:v>
                </c:pt>
                <c:pt idx="21">
                  <c:v>2.4350649350649549</c:v>
                </c:pt>
                <c:pt idx="22">
                  <c:v>3.2148517093049485</c:v>
                </c:pt>
                <c:pt idx="23">
                  <c:v>2.2812020179864017</c:v>
                </c:pt>
              </c:numCache>
            </c:numRef>
          </c:val>
          <c:smooth val="0"/>
          <c:extLst>
            <c:ext xmlns:c16="http://schemas.microsoft.com/office/drawing/2014/chart" uri="{C3380CC4-5D6E-409C-BE32-E72D297353CC}">
              <c16:uniqueId val="{00000002-A334-47B0-8D16-208C3D5D2043}"/>
            </c:ext>
          </c:extLst>
        </c:ser>
        <c:ser>
          <c:idx val="3"/>
          <c:order val="3"/>
          <c:tx>
            <c:strRef>
              <c:f>Task_4!$L$34:$L$35</c:f>
              <c:strCache>
                <c:ptCount val="2"/>
                <c:pt idx="0">
                  <c:v>Household_goods_and_services_I%</c:v>
                </c:pt>
                <c:pt idx="1">
                  <c:v>-</c:v>
                </c:pt>
              </c:strCache>
            </c:strRef>
          </c:tx>
          <c:spPr>
            <a:ln w="28575" cap="rnd">
              <a:solidFill>
                <a:schemeClr val="accent4"/>
              </a:solidFill>
              <a:round/>
            </a:ln>
            <a:effectLst/>
          </c:spPr>
          <c:marker>
            <c:symbol val="none"/>
          </c:marker>
          <c:cat>
            <c:multiLvlStrRef>
              <c:f>Task_4!$G$36:$H$59</c:f>
              <c:multiLvlStrCache>
                <c:ptCount val="24"/>
                <c:lvl>
                  <c:pt idx="0">
                    <c:v>March</c:v>
                  </c:pt>
                  <c:pt idx="1">
                    <c:v>May</c:v>
                  </c:pt>
                  <c:pt idx="2">
                    <c:v>June</c:v>
                  </c:pt>
                  <c:pt idx="3">
                    <c:v>July</c:v>
                  </c:pt>
                  <c:pt idx="4">
                    <c:v>August</c:v>
                  </c:pt>
                  <c:pt idx="5">
                    <c:v>September</c:v>
                  </c:pt>
                  <c:pt idx="6">
                    <c:v>October</c:v>
                  </c:pt>
                  <c:pt idx="7">
                    <c:v>November</c:v>
                  </c:pt>
                  <c:pt idx="8">
                    <c:v>December</c:v>
                  </c:pt>
                  <c:pt idx="9">
                    <c:v>January</c:v>
                  </c:pt>
                  <c:pt idx="10">
                    <c:v>February</c:v>
                  </c:pt>
                  <c:pt idx="11">
                    <c:v>March</c:v>
                  </c:pt>
                  <c:pt idx="12">
                    <c:v>April</c:v>
                  </c:pt>
                  <c:pt idx="13">
                    <c:v>May</c:v>
                  </c:pt>
                  <c:pt idx="14">
                    <c:v>June</c:v>
                  </c:pt>
                  <c:pt idx="15">
                    <c:v>July</c:v>
                  </c:pt>
                  <c:pt idx="16">
                    <c:v>August</c:v>
                  </c:pt>
                  <c:pt idx="17">
                    <c:v>September</c:v>
                  </c:pt>
                  <c:pt idx="18">
                    <c:v>October</c:v>
                  </c:pt>
                  <c:pt idx="19">
                    <c:v>November</c:v>
                  </c:pt>
                  <c:pt idx="20">
                    <c:v>December</c:v>
                  </c:pt>
                  <c:pt idx="21">
                    <c:v>January</c:v>
                  </c:pt>
                  <c:pt idx="22">
                    <c:v>February</c:v>
                  </c:pt>
                  <c:pt idx="23">
                    <c:v>March</c:v>
                  </c:pt>
                </c:lvl>
                <c:lvl>
                  <c:pt idx="0">
                    <c:v>2019</c:v>
                  </c:pt>
                  <c:pt idx="1">
                    <c:v>2019</c:v>
                  </c:pt>
                  <c:pt idx="2">
                    <c:v>2019</c:v>
                  </c:pt>
                  <c:pt idx="3">
                    <c:v>2019</c:v>
                  </c:pt>
                  <c:pt idx="4">
                    <c:v>2019</c:v>
                  </c:pt>
                  <c:pt idx="5">
                    <c:v>2019</c:v>
                  </c:pt>
                  <c:pt idx="6">
                    <c:v>2019</c:v>
                  </c:pt>
                  <c:pt idx="7">
                    <c:v>2019</c:v>
                  </c:pt>
                  <c:pt idx="8">
                    <c:v>2019</c:v>
                  </c:pt>
                  <c:pt idx="9">
                    <c:v>2020</c:v>
                  </c:pt>
                  <c:pt idx="10">
                    <c:v>2020</c:v>
                  </c:pt>
                  <c:pt idx="11">
                    <c:v>2020</c:v>
                  </c:pt>
                  <c:pt idx="12">
                    <c:v>2020</c:v>
                  </c:pt>
                  <c:pt idx="13">
                    <c:v>2020</c:v>
                  </c:pt>
                  <c:pt idx="14">
                    <c:v>2020</c:v>
                  </c:pt>
                  <c:pt idx="15">
                    <c:v>2020</c:v>
                  </c:pt>
                  <c:pt idx="16">
                    <c:v>2020</c:v>
                  </c:pt>
                  <c:pt idx="17">
                    <c:v>2020</c:v>
                  </c:pt>
                  <c:pt idx="18">
                    <c:v>2020</c:v>
                  </c:pt>
                  <c:pt idx="19">
                    <c:v>2020</c:v>
                  </c:pt>
                  <c:pt idx="20">
                    <c:v>2020</c:v>
                  </c:pt>
                  <c:pt idx="21">
                    <c:v>2021</c:v>
                  </c:pt>
                  <c:pt idx="22">
                    <c:v>2021</c:v>
                  </c:pt>
                  <c:pt idx="23">
                    <c:v>2021</c:v>
                  </c:pt>
                </c:lvl>
              </c:multiLvlStrCache>
            </c:multiLvlStrRef>
          </c:cat>
          <c:val>
            <c:numRef>
              <c:f>Task_4!$L$36:$L$59</c:f>
              <c:numCache>
                <c:formatCode>0.0</c:formatCode>
                <c:ptCount val="24"/>
                <c:pt idx="0">
                  <c:v>4.6468401486986208E-2</c:v>
                </c:pt>
                <c:pt idx="1">
                  <c:v>-4.6446818392937447E-2</c:v>
                </c:pt>
                <c:pt idx="2">
                  <c:v>9.2936802973992219E-2</c:v>
                </c:pt>
                <c:pt idx="3">
                  <c:v>0.25533890436395945</c:v>
                </c:pt>
                <c:pt idx="4">
                  <c:v>0.20838156980783379</c:v>
                </c:pt>
                <c:pt idx="5">
                  <c:v>9.2421441774486426E-2</c:v>
                </c:pt>
                <c:pt idx="6">
                  <c:v>0.25392428439518411</c:v>
                </c:pt>
                <c:pt idx="7">
                  <c:v>0.23025558369791121</c:v>
                </c:pt>
                <c:pt idx="8">
                  <c:v>0.34458993797381116</c:v>
                </c:pt>
                <c:pt idx="9">
                  <c:v>0.27472527472525915</c:v>
                </c:pt>
                <c:pt idx="10">
                  <c:v>0.1369863013698942</c:v>
                </c:pt>
                <c:pt idx="11">
                  <c:v>2.279981760145789E-2</c:v>
                </c:pt>
                <c:pt idx="12">
                  <c:v>-2.2794620469567883E-2</c:v>
                </c:pt>
                <c:pt idx="13">
                  <c:v>2.279981760145789E-2</c:v>
                </c:pt>
                <c:pt idx="14">
                  <c:v>-4.5589240939155201E-2</c:v>
                </c:pt>
                <c:pt idx="15">
                  <c:v>0</c:v>
                </c:pt>
                <c:pt idx="16">
                  <c:v>1.4367160775370544</c:v>
                </c:pt>
                <c:pt idx="17">
                  <c:v>0.20233812949642971</c:v>
                </c:pt>
                <c:pt idx="18">
                  <c:v>2.2436616558202609E-2</c:v>
                </c:pt>
                <c:pt idx="19">
                  <c:v>0.29161058770749471</c:v>
                </c:pt>
                <c:pt idx="20">
                  <c:v>0.33549541489599644</c:v>
                </c:pt>
                <c:pt idx="21">
                  <c:v>0.22291573785109864</c:v>
                </c:pt>
                <c:pt idx="22">
                  <c:v>0.57829181494660531</c:v>
                </c:pt>
                <c:pt idx="23">
                  <c:v>0.22114108801415933</c:v>
                </c:pt>
              </c:numCache>
            </c:numRef>
          </c:val>
          <c:smooth val="0"/>
          <c:extLst>
            <c:ext xmlns:c16="http://schemas.microsoft.com/office/drawing/2014/chart" uri="{C3380CC4-5D6E-409C-BE32-E72D297353CC}">
              <c16:uniqueId val="{00000003-A334-47B0-8D16-208C3D5D2043}"/>
            </c:ext>
          </c:extLst>
        </c:ser>
        <c:dLbls>
          <c:showLegendKey val="0"/>
          <c:showVal val="0"/>
          <c:showCatName val="0"/>
          <c:showSerName val="0"/>
          <c:showPercent val="0"/>
          <c:showBubbleSize val="0"/>
        </c:dLbls>
        <c:smooth val="0"/>
        <c:axId val="1779812383"/>
        <c:axId val="1779807391"/>
      </c:lineChart>
      <c:catAx>
        <c:axId val="1779812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807391"/>
        <c:crosses val="autoZero"/>
        <c:auto val="1"/>
        <c:lblAlgn val="ctr"/>
        <c:lblOffset val="100"/>
        <c:noMultiLvlLbl val="0"/>
      </c:catAx>
      <c:valAx>
        <c:axId val="1779807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Index</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8123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Category Contribution Latest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1"/>
          <c:order val="1"/>
          <c:tx>
            <c:strRef>
              <c:f>Task_1!$D$10</c:f>
              <c:strCache>
                <c:ptCount val="1"/>
                <c:pt idx="0">
                  <c:v>Contribution %</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Task_1!$B$11:$B$20</c:f>
              <c:strCache>
                <c:ptCount val="10"/>
                <c:pt idx="0">
                  <c:v>Average of Food_bucket</c:v>
                </c:pt>
                <c:pt idx="1">
                  <c:v>Average of CF_Bucket</c:v>
                </c:pt>
                <c:pt idx="2">
                  <c:v>Average of Pan, tobacco and intoxicants</c:v>
                </c:pt>
                <c:pt idx="3">
                  <c:v>Average of Fuel and light</c:v>
                </c:pt>
                <c:pt idx="4">
                  <c:v>Average of Household goods and services</c:v>
                </c:pt>
                <c:pt idx="5">
                  <c:v>Average of Health</c:v>
                </c:pt>
                <c:pt idx="6">
                  <c:v>Average of Transport and communication</c:v>
                </c:pt>
                <c:pt idx="7">
                  <c:v>Average of Education</c:v>
                </c:pt>
                <c:pt idx="8">
                  <c:v>Average of Personal care and effects</c:v>
                </c:pt>
                <c:pt idx="9">
                  <c:v>Average of Miscellaneous</c:v>
                </c:pt>
              </c:strCache>
            </c:strRef>
          </c:cat>
          <c:val>
            <c:numRef>
              <c:f>Task_1!$D$11:$D$20</c:f>
              <c:numCache>
                <c:formatCode>0.00</c:formatCode>
                <c:ptCount val="10"/>
                <c:pt idx="0">
                  <c:v>9.6255686138798726</c:v>
                </c:pt>
                <c:pt idx="1">
                  <c:v>10.357310359587093</c:v>
                </c:pt>
                <c:pt idx="2">
                  <c:v>10.92285065091775</c:v>
                </c:pt>
                <c:pt idx="3">
                  <c:v>9.9720872625937442</c:v>
                </c:pt>
                <c:pt idx="4">
                  <c:v>9.8245550126813992</c:v>
                </c:pt>
                <c:pt idx="5">
                  <c:v>10.261687605014275</c:v>
                </c:pt>
                <c:pt idx="6">
                  <c:v>9.2726751148611406</c:v>
                </c:pt>
                <c:pt idx="7">
                  <c:v>9.8518757997022028</c:v>
                </c:pt>
                <c:pt idx="8">
                  <c:v>10.103227040293609</c:v>
                </c:pt>
                <c:pt idx="9">
                  <c:v>9.808162540468917</c:v>
                </c:pt>
              </c:numCache>
            </c:numRef>
          </c:val>
          <c:extLst>
            <c:ext xmlns:c16="http://schemas.microsoft.com/office/drawing/2014/chart" uri="{C3380CC4-5D6E-409C-BE32-E72D297353CC}">
              <c16:uniqueId val="{00000000-F237-43CE-9259-53F7DFDB93EF}"/>
            </c:ext>
          </c:extLst>
        </c:ser>
        <c:dLbls>
          <c:dLblPos val="ctr"/>
          <c:showLegendKey val="0"/>
          <c:showVal val="1"/>
          <c:showCatName val="0"/>
          <c:showSerName val="0"/>
          <c:showPercent val="0"/>
          <c:showBubbleSize val="0"/>
        </c:dLbls>
        <c:gapWidth val="150"/>
        <c:overlap val="100"/>
        <c:axId val="666775616"/>
        <c:axId val="666789344"/>
        <c:extLst>
          <c:ext xmlns:c15="http://schemas.microsoft.com/office/drawing/2012/chart" uri="{02D57815-91ED-43cb-92C2-25804820EDAC}">
            <c15:filteredBarSeries>
              <c15:ser>
                <c:idx val="0"/>
                <c:order val="0"/>
                <c:tx>
                  <c:strRef>
                    <c:extLst>
                      <c:ext uri="{02D57815-91ED-43cb-92C2-25804820EDAC}">
                        <c15:formulaRef>
                          <c15:sqref>Task_1!$C$10</c15:sqref>
                        </c15:formulaRef>
                      </c:ext>
                    </c:extLst>
                    <c:strCache>
                      <c:ptCount val="1"/>
                      <c:pt idx="0">
                        <c:v>Average_Index_value</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Task_1!$B$11:$B$20</c15:sqref>
                        </c15:formulaRef>
                      </c:ext>
                    </c:extLst>
                    <c:strCache>
                      <c:ptCount val="10"/>
                      <c:pt idx="0">
                        <c:v>Average of Food_bucket</c:v>
                      </c:pt>
                      <c:pt idx="1">
                        <c:v>Average of CF_Bucket</c:v>
                      </c:pt>
                      <c:pt idx="2">
                        <c:v>Average of Pan, tobacco and intoxicants</c:v>
                      </c:pt>
                      <c:pt idx="3">
                        <c:v>Average of Fuel and light</c:v>
                      </c:pt>
                      <c:pt idx="4">
                        <c:v>Average of Household goods and services</c:v>
                      </c:pt>
                      <c:pt idx="5">
                        <c:v>Average of Health</c:v>
                      </c:pt>
                      <c:pt idx="6">
                        <c:v>Average of Transport and communication</c:v>
                      </c:pt>
                      <c:pt idx="7">
                        <c:v>Average of Education</c:v>
                      </c:pt>
                      <c:pt idx="8">
                        <c:v>Average of Personal care and effects</c:v>
                      </c:pt>
                      <c:pt idx="9">
                        <c:v>Average of Miscellaneous</c:v>
                      </c:pt>
                    </c:strCache>
                  </c:strRef>
                </c:cat>
                <c:val>
                  <c:numRef>
                    <c:extLst>
                      <c:ext uri="{02D57815-91ED-43cb-92C2-25804820EDAC}">
                        <c15:formulaRef>
                          <c15:sqref>Task_1!$C$11:$C$20</c15:sqref>
                        </c15:formulaRef>
                      </c:ext>
                    </c:extLst>
                    <c:numCache>
                      <c:formatCode>0.0</c:formatCode>
                      <c:ptCount val="10"/>
                      <c:pt idx="0">
                        <c:v>176.15833333333339</c:v>
                      </c:pt>
                      <c:pt idx="1">
                        <c:v>189.55</c:v>
                      </c:pt>
                      <c:pt idx="2">
                        <c:v>199.9</c:v>
                      </c:pt>
                      <c:pt idx="3">
                        <c:v>182.5</c:v>
                      </c:pt>
                      <c:pt idx="4">
                        <c:v>179.8</c:v>
                      </c:pt>
                      <c:pt idx="5">
                        <c:v>187.8</c:v>
                      </c:pt>
                      <c:pt idx="6">
                        <c:v>169.7</c:v>
                      </c:pt>
                      <c:pt idx="7">
                        <c:v>180.3</c:v>
                      </c:pt>
                      <c:pt idx="8">
                        <c:v>184.9</c:v>
                      </c:pt>
                      <c:pt idx="9">
                        <c:v>179.5</c:v>
                      </c:pt>
                    </c:numCache>
                  </c:numRef>
                </c:val>
                <c:extLst>
                  <c:ext xmlns:c16="http://schemas.microsoft.com/office/drawing/2014/chart" uri="{C3380CC4-5D6E-409C-BE32-E72D297353CC}">
                    <c16:uniqueId val="{00000001-F237-43CE-9259-53F7DFDB93EF}"/>
                  </c:ext>
                </c:extLst>
              </c15:ser>
            </c15:filteredBarSeries>
          </c:ext>
        </c:extLst>
      </c:barChart>
      <c:catAx>
        <c:axId val="66677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789344"/>
        <c:crosses val="autoZero"/>
        <c:auto val="1"/>
        <c:lblAlgn val="ctr"/>
        <c:lblOffset val="100"/>
        <c:noMultiLvlLbl val="0"/>
      </c:catAx>
      <c:valAx>
        <c:axId val="66678934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775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Inflation before and after March 2020</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Task_4!$C$48</c:f>
              <c:strCache>
                <c:ptCount val="1"/>
                <c:pt idx="0">
                  <c:v>Pre_C-19</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Task_4!$B$49:$B$52</c:f>
              <c:strCache>
                <c:ptCount val="4"/>
                <c:pt idx="0">
                  <c:v>Food_bucket</c:v>
                </c:pt>
                <c:pt idx="1">
                  <c:v>Health</c:v>
                </c:pt>
                <c:pt idx="2">
                  <c:v>Fuel and light</c:v>
                </c:pt>
                <c:pt idx="3">
                  <c:v>Household goods and services</c:v>
                </c:pt>
              </c:strCache>
            </c:strRef>
          </c:cat>
          <c:val>
            <c:numRef>
              <c:f>Task_4!$C$49:$C$52</c:f>
              <c:numCache>
                <c:formatCode>0.00</c:formatCode>
                <c:ptCount val="4"/>
                <c:pt idx="0">
                  <c:v>143.2431818181818</c:v>
                </c:pt>
                <c:pt idx="1">
                  <c:v>148.03030303030303</c:v>
                </c:pt>
                <c:pt idx="2">
                  <c:v>140.09090909090912</c:v>
                </c:pt>
                <c:pt idx="3">
                  <c:v>144.62727272727273</c:v>
                </c:pt>
              </c:numCache>
            </c:numRef>
          </c:val>
          <c:extLst>
            <c:ext xmlns:c16="http://schemas.microsoft.com/office/drawing/2014/chart" uri="{C3380CC4-5D6E-409C-BE32-E72D297353CC}">
              <c16:uniqueId val="{00000000-BDAD-4AC8-ACFD-FE07A21FE643}"/>
            </c:ext>
          </c:extLst>
        </c:ser>
        <c:ser>
          <c:idx val="1"/>
          <c:order val="1"/>
          <c:tx>
            <c:strRef>
              <c:f>Task_4!$D$48</c:f>
              <c:strCache>
                <c:ptCount val="1"/>
                <c:pt idx="0">
                  <c:v>Post_C-19</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Task_4!$B$49:$B$52</c:f>
              <c:strCache>
                <c:ptCount val="4"/>
                <c:pt idx="0">
                  <c:v>Food_bucket</c:v>
                </c:pt>
                <c:pt idx="1">
                  <c:v>Health</c:v>
                </c:pt>
                <c:pt idx="2">
                  <c:v>Fuel and light</c:v>
                </c:pt>
                <c:pt idx="3">
                  <c:v>Household goods and services</c:v>
                </c:pt>
              </c:strCache>
            </c:strRef>
          </c:cat>
          <c:val>
            <c:numRef>
              <c:f>Task_4!$D$49:$D$52</c:f>
              <c:numCache>
                <c:formatCode>0.00</c:formatCode>
                <c:ptCount val="4"/>
                <c:pt idx="0">
                  <c:v>155.30775462962964</c:v>
                </c:pt>
                <c:pt idx="1">
                  <c:v>155.56944444444443</c:v>
                </c:pt>
                <c:pt idx="2">
                  <c:v>144.94861111111112</c:v>
                </c:pt>
                <c:pt idx="3">
                  <c:v>148.36944444444444</c:v>
                </c:pt>
              </c:numCache>
            </c:numRef>
          </c:val>
          <c:extLst>
            <c:ext xmlns:c16="http://schemas.microsoft.com/office/drawing/2014/chart" uri="{C3380CC4-5D6E-409C-BE32-E72D297353CC}">
              <c16:uniqueId val="{00000001-BDAD-4AC8-ACFD-FE07A21FE643}"/>
            </c:ext>
          </c:extLst>
        </c:ser>
        <c:dLbls>
          <c:dLblPos val="outEnd"/>
          <c:showLegendKey val="0"/>
          <c:showVal val="1"/>
          <c:showCatName val="0"/>
          <c:showSerName val="0"/>
          <c:showPercent val="0"/>
          <c:showBubbleSize val="0"/>
        </c:dLbls>
        <c:gapWidth val="219"/>
        <c:overlap val="-27"/>
        <c:axId val="815661951"/>
        <c:axId val="815659039"/>
      </c:barChart>
      <c:catAx>
        <c:axId val="81566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59039"/>
        <c:crosses val="autoZero"/>
        <c:auto val="1"/>
        <c:lblAlgn val="ctr"/>
        <c:lblOffset val="100"/>
        <c:noMultiLvlLbl val="0"/>
      </c:catAx>
      <c:valAx>
        <c:axId val="8156590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61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Year-on-Year CPI Trend </a:t>
            </a:r>
            <a:r>
              <a:rPr lang="en-IN"/>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Task_2!$I$5</c:f>
              <c:strCache>
                <c:ptCount val="1"/>
                <c:pt idx="0">
                  <c:v>Inflation%</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Task_2!$H$6:$H$12</c:f>
              <c:numCache>
                <c:formatCode>General</c:formatCode>
                <c:ptCount val="7"/>
                <c:pt idx="0">
                  <c:v>2017</c:v>
                </c:pt>
                <c:pt idx="1">
                  <c:v>2018</c:v>
                </c:pt>
                <c:pt idx="2">
                  <c:v>2019</c:v>
                </c:pt>
                <c:pt idx="3">
                  <c:v>2020</c:v>
                </c:pt>
                <c:pt idx="4">
                  <c:v>2021</c:v>
                </c:pt>
                <c:pt idx="5">
                  <c:v>2022</c:v>
                </c:pt>
                <c:pt idx="6">
                  <c:v>2023</c:v>
                </c:pt>
              </c:numCache>
            </c:numRef>
          </c:cat>
          <c:val>
            <c:numRef>
              <c:f>Task_2!$I$6:$I$12</c:f>
              <c:numCache>
                <c:formatCode>0.0</c:formatCode>
                <c:ptCount val="7"/>
                <c:pt idx="0">
                  <c:v>2.7147659462676246</c:v>
                </c:pt>
                <c:pt idx="1">
                  <c:v>3.3247120662071623</c:v>
                </c:pt>
                <c:pt idx="2">
                  <c:v>3.6967094537187939</c:v>
                </c:pt>
                <c:pt idx="3">
                  <c:v>6.3851339980088353</c:v>
                </c:pt>
                <c:pt idx="4">
                  <c:v>6.847304570021409</c:v>
                </c:pt>
                <c:pt idx="5">
                  <c:v>6.2375978776566834</c:v>
                </c:pt>
                <c:pt idx="6">
                  <c:v>3.0646156825250523</c:v>
                </c:pt>
              </c:numCache>
            </c:numRef>
          </c:val>
          <c:smooth val="0"/>
          <c:extLst>
            <c:ext xmlns:c16="http://schemas.microsoft.com/office/drawing/2014/chart" uri="{C3380CC4-5D6E-409C-BE32-E72D297353CC}">
              <c16:uniqueId val="{00000000-D6F6-422E-A33C-D1A19E99F54F}"/>
            </c:ext>
          </c:extLst>
        </c:ser>
        <c:dLbls>
          <c:dLblPos val="t"/>
          <c:showLegendKey val="0"/>
          <c:showVal val="1"/>
          <c:showCatName val="0"/>
          <c:showSerName val="0"/>
          <c:showPercent val="0"/>
          <c:showBubbleSize val="0"/>
        </c:dLbls>
        <c:smooth val="0"/>
        <c:axId val="1665930895"/>
        <c:axId val="1665926319"/>
      </c:lineChart>
      <c:catAx>
        <c:axId val="16659308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926319"/>
        <c:crosses val="autoZero"/>
        <c:auto val="1"/>
        <c:lblAlgn val="ctr"/>
        <c:lblOffset val="100"/>
        <c:noMultiLvlLbl val="0"/>
      </c:catAx>
      <c:valAx>
        <c:axId val="16659263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YOY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9308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Inflation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Task_3!$K$3</c:f>
              <c:strCache>
                <c:ptCount val="1"/>
                <c:pt idx="0">
                  <c:v>MOM%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Task_3!$J$4:$J$15</c:f>
              <c:strCache>
                <c:ptCount val="12"/>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strCache>
            </c:strRef>
          </c:cat>
          <c:val>
            <c:numRef>
              <c:f>Task_3!$K$4:$K$15</c:f>
              <c:numCache>
                <c:formatCode>0.00</c:formatCode>
                <c:ptCount val="12"/>
                <c:pt idx="0">
                  <c:v>0</c:v>
                </c:pt>
                <c:pt idx="1">
                  <c:v>0.19773245523113386</c:v>
                </c:pt>
                <c:pt idx="2">
                  <c:v>7.3207607225281954E-2</c:v>
                </c:pt>
                <c:pt idx="3">
                  <c:v>0.50730745376185649</c:v>
                </c:pt>
                <c:pt idx="4">
                  <c:v>0.69303797468356165</c:v>
                </c:pt>
                <c:pt idx="5">
                  <c:v>-1.7285269807369604E-2</c:v>
                </c:pt>
                <c:pt idx="6">
                  <c:v>-0.5547959199710808</c:v>
                </c:pt>
                <c:pt idx="7">
                  <c:v>0.43461769447167736</c:v>
                </c:pt>
                <c:pt idx="8">
                  <c:v>-0.61999402036225049</c:v>
                </c:pt>
                <c:pt idx="9">
                  <c:v>4.7502177183077693E-3</c:v>
                </c:pt>
                <c:pt idx="10">
                  <c:v>0.47816586972357461</c:v>
                </c:pt>
                <c:pt idx="11">
                  <c:v>0.75165458556570408</c:v>
                </c:pt>
              </c:numCache>
            </c:numRef>
          </c:val>
          <c:extLst>
            <c:ext xmlns:c16="http://schemas.microsoft.com/office/drawing/2014/chart" uri="{C3380CC4-5D6E-409C-BE32-E72D297353CC}">
              <c16:uniqueId val="{00000000-E51E-4C22-8435-67AB6643F4E8}"/>
            </c:ext>
          </c:extLst>
        </c:ser>
        <c:dLbls>
          <c:dLblPos val="outEnd"/>
          <c:showLegendKey val="0"/>
          <c:showVal val="1"/>
          <c:showCatName val="0"/>
          <c:showSerName val="0"/>
          <c:showPercent val="0"/>
          <c:showBubbleSize val="0"/>
        </c:dLbls>
        <c:gapWidth val="219"/>
        <c:overlap val="-27"/>
        <c:axId val="1974720655"/>
        <c:axId val="1974721487"/>
      </c:barChart>
      <c:catAx>
        <c:axId val="19747206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721487"/>
        <c:crosses val="autoZero"/>
        <c:auto val="1"/>
        <c:lblAlgn val="ctr"/>
        <c:lblOffset val="100"/>
        <c:noMultiLvlLbl val="0"/>
      </c:catAx>
      <c:valAx>
        <c:axId val="19747214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7206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Task_5!$I$34:$I$35</c:f>
              <c:strCache>
                <c:ptCount val="2"/>
                <c:pt idx="0">
                  <c:v>Correlation Analysis</c:v>
                </c:pt>
                <c:pt idx="1">
                  <c:v>Correlation with Oil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Task_5!$H$36:$H$42</c:f>
              <c:strCache>
                <c:ptCount val="7"/>
                <c:pt idx="0">
                  <c:v>ENERGY</c:v>
                </c:pt>
                <c:pt idx="1">
                  <c:v>CLOTHING</c:v>
                </c:pt>
                <c:pt idx="2">
                  <c:v>HEALTH</c:v>
                </c:pt>
                <c:pt idx="3">
                  <c:v>TRANSPORTATION</c:v>
                </c:pt>
                <c:pt idx="4">
                  <c:v>HOUSING</c:v>
                </c:pt>
                <c:pt idx="5">
                  <c:v>FOOD</c:v>
                </c:pt>
                <c:pt idx="6">
                  <c:v>GOODS AND SERVICES</c:v>
                </c:pt>
              </c:strCache>
            </c:strRef>
          </c:cat>
          <c:val>
            <c:numRef>
              <c:f>Task_5!$I$36:$I$42</c:f>
              <c:numCache>
                <c:formatCode>General</c:formatCode>
                <c:ptCount val="7"/>
                <c:pt idx="0">
                  <c:v>0.16893901618487861</c:v>
                </c:pt>
                <c:pt idx="1">
                  <c:v>0.15684460942582215</c:v>
                </c:pt>
                <c:pt idx="2">
                  <c:v>0.12424583578297675</c:v>
                </c:pt>
                <c:pt idx="3">
                  <c:v>0.12088108595874097</c:v>
                </c:pt>
                <c:pt idx="4">
                  <c:v>6.7289459846430325E-2</c:v>
                </c:pt>
                <c:pt idx="5">
                  <c:v>-5.113887949935181E-3</c:v>
                </c:pt>
                <c:pt idx="6">
                  <c:v>-1.5558666617153868E-2</c:v>
                </c:pt>
              </c:numCache>
            </c:numRef>
          </c:val>
          <c:smooth val="0"/>
          <c:extLst>
            <c:ext xmlns:c16="http://schemas.microsoft.com/office/drawing/2014/chart" uri="{C3380CC4-5D6E-409C-BE32-E72D297353CC}">
              <c16:uniqueId val="{00000000-0C94-422F-A567-9AF9C0D9BC9B}"/>
            </c:ext>
          </c:extLst>
        </c:ser>
        <c:dLbls>
          <c:dLblPos val="t"/>
          <c:showLegendKey val="0"/>
          <c:showVal val="1"/>
          <c:showCatName val="0"/>
          <c:showSerName val="0"/>
          <c:showPercent val="0"/>
          <c:showBubbleSize val="0"/>
        </c:dLbls>
        <c:marker val="1"/>
        <c:smooth val="0"/>
        <c:axId val="675628864"/>
        <c:axId val="675645504"/>
      </c:lineChart>
      <c:catAx>
        <c:axId val="6756288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Categories</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645504"/>
        <c:crosses val="autoZero"/>
        <c:auto val="1"/>
        <c:lblAlgn val="ctr"/>
        <c:lblOffset val="100"/>
        <c:noMultiLvlLbl val="0"/>
      </c:catAx>
      <c:valAx>
        <c:axId val="675645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Correlation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62886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emf"/><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352425</xdr:colOff>
      <xdr:row>7</xdr:row>
      <xdr:rowOff>71437</xdr:rowOff>
    </xdr:from>
    <xdr:to>
      <xdr:col>6</xdr:col>
      <xdr:colOff>790575</xdr:colOff>
      <xdr:row>21</xdr:row>
      <xdr:rowOff>147637</xdr:rowOff>
    </xdr:to>
    <xdr:graphicFrame macro="">
      <xdr:nvGraphicFramePr>
        <xdr:cNvPr id="2" name="Chart 1">
          <a:extLst>
            <a:ext uri="{FF2B5EF4-FFF2-40B4-BE49-F238E27FC236}">
              <a16:creationId xmlns:a16="http://schemas.microsoft.com/office/drawing/2014/main" id="{0902E4BE-6CB9-4FD1-ABF3-FAB5297947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733425</xdr:colOff>
      <xdr:row>7</xdr:row>
      <xdr:rowOff>104775</xdr:rowOff>
    </xdr:from>
    <xdr:to>
      <xdr:col>4</xdr:col>
      <xdr:colOff>104775</xdr:colOff>
      <xdr:row>14</xdr:row>
      <xdr:rowOff>38100</xdr:rowOff>
    </xdr:to>
    <mc:AlternateContent xmlns:mc="http://schemas.openxmlformats.org/markup-compatibility/2006">
      <mc:Choice xmlns:a14="http://schemas.microsoft.com/office/drawing/2010/main" Requires="a14">
        <xdr:graphicFrame macro="">
          <xdr:nvGraphicFramePr>
            <xdr:cNvPr id="3" name="Sector">
              <a:extLst>
                <a:ext uri="{FF2B5EF4-FFF2-40B4-BE49-F238E27FC236}">
                  <a16:creationId xmlns:a16="http://schemas.microsoft.com/office/drawing/2014/main" id="{27DA4649-7ED5-46AB-83E2-7D230751604D}"/>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dr:sp macro="" textlink="">
          <xdr:nvSpPr>
            <xdr:cNvPr id="0" name=""/>
            <xdr:cNvSpPr>
              <a:spLocks noTextEdit="1"/>
            </xdr:cNvSpPr>
          </xdr:nvSpPr>
          <xdr:spPr>
            <a:xfrm>
              <a:off x="4495800" y="1438275"/>
              <a:ext cx="1828800" cy="126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1447800</xdr:colOff>
      <xdr:row>13</xdr:row>
      <xdr:rowOff>33337</xdr:rowOff>
    </xdr:from>
    <xdr:to>
      <xdr:col>9</xdr:col>
      <xdr:colOff>571500</xdr:colOff>
      <xdr:row>27</xdr:row>
      <xdr:rowOff>109537</xdr:rowOff>
    </xdr:to>
    <xdr:graphicFrame macro="">
      <xdr:nvGraphicFramePr>
        <xdr:cNvPr id="2" name="Chart 1">
          <a:extLst>
            <a:ext uri="{FF2B5EF4-FFF2-40B4-BE49-F238E27FC236}">
              <a16:creationId xmlns:a16="http://schemas.microsoft.com/office/drawing/2014/main" id="{D4AC8883-82F5-4796-92C7-123F674688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514350</xdr:colOff>
      <xdr:row>3</xdr:row>
      <xdr:rowOff>185737</xdr:rowOff>
    </xdr:from>
    <xdr:to>
      <xdr:col>15</xdr:col>
      <xdr:colOff>190500</xdr:colOff>
      <xdr:row>18</xdr:row>
      <xdr:rowOff>71437</xdr:rowOff>
    </xdr:to>
    <xdr:graphicFrame macro="">
      <xdr:nvGraphicFramePr>
        <xdr:cNvPr id="2" name="Chart 1">
          <a:extLst>
            <a:ext uri="{FF2B5EF4-FFF2-40B4-BE49-F238E27FC236}">
              <a16:creationId xmlns:a16="http://schemas.microsoft.com/office/drawing/2014/main" id="{9297ED12-F829-4D23-BCE2-BBA44C2CA2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333375</xdr:colOff>
      <xdr:row>61</xdr:row>
      <xdr:rowOff>23811</xdr:rowOff>
    </xdr:from>
    <xdr:to>
      <xdr:col>14</xdr:col>
      <xdr:colOff>666750</xdr:colOff>
      <xdr:row>86</xdr:row>
      <xdr:rowOff>104775</xdr:rowOff>
    </xdr:to>
    <xdr:graphicFrame macro="">
      <xdr:nvGraphicFramePr>
        <xdr:cNvPr id="2" name="Chart 1">
          <a:extLst>
            <a:ext uri="{FF2B5EF4-FFF2-40B4-BE49-F238E27FC236}">
              <a16:creationId xmlns:a16="http://schemas.microsoft.com/office/drawing/2014/main" id="{F5189522-4F38-4111-AD68-0DB5AEA821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47625</xdr:colOff>
      <xdr:row>29</xdr:row>
      <xdr:rowOff>4762</xdr:rowOff>
    </xdr:from>
    <xdr:to>
      <xdr:col>4</xdr:col>
      <xdr:colOff>400050</xdr:colOff>
      <xdr:row>43</xdr:row>
      <xdr:rowOff>80962</xdr:rowOff>
    </xdr:to>
    <xdr:graphicFrame macro="">
      <xdr:nvGraphicFramePr>
        <xdr:cNvPr id="3" name="Chart 2">
          <a:extLst>
            <a:ext uri="{FF2B5EF4-FFF2-40B4-BE49-F238E27FC236}">
              <a16:creationId xmlns:a16="http://schemas.microsoft.com/office/drawing/2014/main" id="{C875D69B-638D-4F97-9F95-7C865DAC08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962025</xdr:colOff>
      <xdr:row>27</xdr:row>
      <xdr:rowOff>166687</xdr:rowOff>
    </xdr:from>
    <xdr:to>
      <xdr:col>8</xdr:col>
      <xdr:colOff>752475</xdr:colOff>
      <xdr:row>42</xdr:row>
      <xdr:rowOff>52387</xdr:rowOff>
    </xdr:to>
    <xdr:graphicFrame macro="">
      <xdr:nvGraphicFramePr>
        <xdr:cNvPr id="2" name="Chart 1">
          <a:extLst>
            <a:ext uri="{FF2B5EF4-FFF2-40B4-BE49-F238E27FC236}">
              <a16:creationId xmlns:a16="http://schemas.microsoft.com/office/drawing/2014/main" id="{493E99DA-F259-4AA7-8CDB-4533C39AD3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xdr:rowOff>
    </xdr:from>
    <xdr:to>
      <xdr:col>36</xdr:col>
      <xdr:colOff>0</xdr:colOff>
      <xdr:row>47</xdr:row>
      <xdr:rowOff>95251</xdr:rowOff>
    </xdr:to>
    <xdr:sp macro="" textlink="">
      <xdr:nvSpPr>
        <xdr:cNvPr id="3" name="Rectangle 2">
          <a:extLst>
            <a:ext uri="{FF2B5EF4-FFF2-40B4-BE49-F238E27FC236}">
              <a16:creationId xmlns:a16="http://schemas.microsoft.com/office/drawing/2014/main" id="{B66E567A-DF31-4634-A2B0-939AA65C5586}"/>
            </a:ext>
          </a:extLst>
        </xdr:cNvPr>
        <xdr:cNvSpPr/>
      </xdr:nvSpPr>
      <xdr:spPr>
        <a:xfrm>
          <a:off x="0" y="1"/>
          <a:ext cx="22421850" cy="9048750"/>
        </a:xfrm>
        <a:prstGeom prst="rect">
          <a:avLst/>
        </a:prstGeom>
        <a:solidFill>
          <a:schemeClr val="accent5">
            <a:lumMod val="20000"/>
            <a:lumOff val="80000"/>
          </a:schemeClr>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190501</xdr:colOff>
      <xdr:row>22</xdr:row>
      <xdr:rowOff>133350</xdr:rowOff>
    </xdr:from>
    <xdr:to>
      <xdr:col>10</xdr:col>
      <xdr:colOff>304800</xdr:colOff>
      <xdr:row>39</xdr:row>
      <xdr:rowOff>147638</xdr:rowOff>
    </xdr:to>
    <xdr:graphicFrame macro="">
      <xdr:nvGraphicFramePr>
        <xdr:cNvPr id="6" name="Chart 5">
          <a:extLst>
            <a:ext uri="{FF2B5EF4-FFF2-40B4-BE49-F238E27FC236}">
              <a16:creationId xmlns:a16="http://schemas.microsoft.com/office/drawing/2014/main" id="{CAF5939D-2C6D-426D-93FB-3A5552080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400050</xdr:colOff>
      <xdr:row>4</xdr:row>
      <xdr:rowOff>85724</xdr:rowOff>
    </xdr:from>
    <xdr:to>
      <xdr:col>10</xdr:col>
      <xdr:colOff>95250</xdr:colOff>
      <xdr:row>18</xdr:row>
      <xdr:rowOff>161924</xdr:rowOff>
    </xdr:to>
    <xdr:graphicFrame macro="">
      <xdr:nvGraphicFramePr>
        <xdr:cNvPr id="7" name="Chart 6">
          <a:extLst>
            <a:ext uri="{FF2B5EF4-FFF2-40B4-BE49-F238E27FC236}">
              <a16:creationId xmlns:a16="http://schemas.microsoft.com/office/drawing/2014/main" id="{4C2EC2D8-E0B7-4E99-BC8B-82176F3A1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76199</xdr:colOff>
      <xdr:row>12</xdr:row>
      <xdr:rowOff>47624</xdr:rowOff>
    </xdr:from>
    <xdr:to>
      <xdr:col>2</xdr:col>
      <xdr:colOff>342900</xdr:colOff>
      <xdr:row>18</xdr:row>
      <xdr:rowOff>171449</xdr:rowOff>
    </xdr:to>
    <mc:AlternateContent xmlns:mc="http://schemas.openxmlformats.org/markup-compatibility/2006">
      <mc:Choice xmlns:a14="http://schemas.microsoft.com/office/drawing/2010/main" Requires="a14">
        <xdr:graphicFrame macro="">
          <xdr:nvGraphicFramePr>
            <xdr:cNvPr id="8" name="Sector 1">
              <a:extLst>
                <a:ext uri="{FF2B5EF4-FFF2-40B4-BE49-F238E27FC236}">
                  <a16:creationId xmlns:a16="http://schemas.microsoft.com/office/drawing/2014/main" id="{F8072247-3823-482C-BA95-A7C91DDE676B}"/>
                </a:ext>
              </a:extLst>
            </xdr:cNvPr>
            <xdr:cNvGraphicFramePr/>
          </xdr:nvGraphicFramePr>
          <xdr:xfrm>
            <a:off x="0" y="0"/>
            <a:ext cx="0" cy="0"/>
          </xdr:xfrm>
          <a:graphic>
            <a:graphicData uri="http://schemas.microsoft.com/office/drawing/2010/slicer">
              <sle:slicer xmlns:sle="http://schemas.microsoft.com/office/drawing/2010/slicer" name="Sector 1"/>
            </a:graphicData>
          </a:graphic>
        </xdr:graphicFrame>
      </mc:Choice>
      <mc:Fallback>
        <xdr:sp macro="" textlink="">
          <xdr:nvSpPr>
            <xdr:cNvPr id="0" name=""/>
            <xdr:cNvSpPr>
              <a:spLocks noTextEdit="1"/>
            </xdr:cNvSpPr>
          </xdr:nvSpPr>
          <xdr:spPr>
            <a:xfrm>
              <a:off x="76199" y="2333624"/>
              <a:ext cx="1967594" cy="126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0</xdr:row>
      <xdr:rowOff>114300</xdr:rowOff>
    </xdr:from>
    <xdr:to>
      <xdr:col>36</xdr:col>
      <xdr:colOff>1</xdr:colOff>
      <xdr:row>3</xdr:row>
      <xdr:rowOff>133350</xdr:rowOff>
    </xdr:to>
    <xdr:sp macro="" textlink="">
      <xdr:nvSpPr>
        <xdr:cNvPr id="9" name="Rectangle 8">
          <a:extLst>
            <a:ext uri="{FF2B5EF4-FFF2-40B4-BE49-F238E27FC236}">
              <a16:creationId xmlns:a16="http://schemas.microsoft.com/office/drawing/2014/main" id="{995C28EF-9FEC-49BE-B866-4F788AE11FA1}"/>
            </a:ext>
          </a:extLst>
        </xdr:cNvPr>
        <xdr:cNvSpPr/>
      </xdr:nvSpPr>
      <xdr:spPr>
        <a:xfrm>
          <a:off x="1" y="114300"/>
          <a:ext cx="22421850" cy="590550"/>
        </a:xfrm>
        <a:prstGeom prst="rect">
          <a:avLst/>
        </a:prstGeom>
        <a:solidFill>
          <a:schemeClr val="accent1">
            <a:lumMod val="60000"/>
            <a:lumOff val="40000"/>
          </a:schemeClr>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a:solidFill>
                <a:schemeClr val="bg1"/>
              </a:solidFill>
            </a:rPr>
            <a:t>India CPI Inflation Case Study</a:t>
          </a:r>
        </a:p>
      </xdr:txBody>
    </xdr:sp>
    <xdr:clientData/>
  </xdr:twoCellAnchor>
  <xdr:twoCellAnchor>
    <xdr:from>
      <xdr:col>10</xdr:col>
      <xdr:colOff>495300</xdr:colOff>
      <xdr:row>22</xdr:row>
      <xdr:rowOff>142875</xdr:rowOff>
    </xdr:from>
    <xdr:to>
      <xdr:col>18</xdr:col>
      <xdr:colOff>104776</xdr:colOff>
      <xdr:row>39</xdr:row>
      <xdr:rowOff>152400</xdr:rowOff>
    </xdr:to>
    <xdr:graphicFrame macro="">
      <xdr:nvGraphicFramePr>
        <xdr:cNvPr id="13" name="Chart 12">
          <a:extLst>
            <a:ext uri="{FF2B5EF4-FFF2-40B4-BE49-F238E27FC236}">
              <a16:creationId xmlns:a16="http://schemas.microsoft.com/office/drawing/2014/main" id="{00A3EF32-620D-4108-9783-EBF7DB673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333375</xdr:colOff>
      <xdr:row>4</xdr:row>
      <xdr:rowOff>85725</xdr:rowOff>
    </xdr:from>
    <xdr:to>
      <xdr:col>18</xdr:col>
      <xdr:colOff>28575</xdr:colOff>
      <xdr:row>18</xdr:row>
      <xdr:rowOff>161925</xdr:rowOff>
    </xdr:to>
    <xdr:graphicFrame macro="">
      <xdr:nvGraphicFramePr>
        <xdr:cNvPr id="17" name="Chart 16">
          <a:extLst>
            <a:ext uri="{FF2B5EF4-FFF2-40B4-BE49-F238E27FC236}">
              <a16:creationId xmlns:a16="http://schemas.microsoft.com/office/drawing/2014/main" id="{56A5C6E6-1D6C-4202-AC0E-32AD51F4F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400050</xdr:colOff>
      <xdr:row>4</xdr:row>
      <xdr:rowOff>95250</xdr:rowOff>
    </xdr:from>
    <xdr:to>
      <xdr:col>34</xdr:col>
      <xdr:colOff>438150</xdr:colOff>
      <xdr:row>18</xdr:row>
      <xdr:rowOff>171450</xdr:rowOff>
    </xdr:to>
    <xdr:graphicFrame macro="">
      <xdr:nvGraphicFramePr>
        <xdr:cNvPr id="20" name="Chart 19">
          <a:extLst>
            <a:ext uri="{FF2B5EF4-FFF2-40B4-BE49-F238E27FC236}">
              <a16:creationId xmlns:a16="http://schemas.microsoft.com/office/drawing/2014/main" id="{881B434F-EF60-4E4D-8EC9-AF6FCC029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133350</xdr:colOff>
      <xdr:row>4</xdr:row>
      <xdr:rowOff>95250</xdr:rowOff>
    </xdr:from>
    <xdr:to>
      <xdr:col>2</xdr:col>
      <xdr:colOff>333375</xdr:colOff>
      <xdr:row>11</xdr:row>
      <xdr:rowOff>123825</xdr:rowOff>
    </xdr:to>
    <xdr:sp macro="" textlink="">
      <xdr:nvSpPr>
        <xdr:cNvPr id="22" name="TextBox 21">
          <a:extLst>
            <a:ext uri="{FF2B5EF4-FFF2-40B4-BE49-F238E27FC236}">
              <a16:creationId xmlns:a16="http://schemas.microsoft.com/office/drawing/2014/main" id="{4B55B92F-A1BB-4F9D-AF23-239B5F141F3E}"/>
            </a:ext>
          </a:extLst>
        </xdr:cNvPr>
        <xdr:cNvSpPr txBox="1"/>
      </xdr:nvSpPr>
      <xdr:spPr>
        <a:xfrm>
          <a:off x="133350" y="857250"/>
          <a:ext cx="1895475" cy="1362075"/>
        </a:xfrm>
        <a:prstGeom prst="rect">
          <a:avLst/>
        </a:prstGeom>
        <a:solidFill>
          <a:schemeClr val="accent1">
            <a:lumMod val="60000"/>
            <a:lumOff val="40000"/>
          </a:schemeClr>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a:solidFill>
                <a:schemeClr val="bg1"/>
              </a:solidFill>
            </a:rPr>
            <a:t>Short Note:</a:t>
          </a:r>
        </a:p>
        <a:p>
          <a:r>
            <a:rPr lang="en-IN">
              <a:solidFill>
                <a:schemeClr val="bg1"/>
              </a:solidFill>
            </a:rPr>
            <a:t>CPI -</a:t>
          </a:r>
          <a:r>
            <a:rPr lang="en-IN" baseline="0">
              <a:solidFill>
                <a:schemeClr val="bg1"/>
              </a:solidFill>
            </a:rPr>
            <a:t> Consumer Price Index</a:t>
          </a:r>
          <a:endParaRPr lang="en-IN">
            <a:solidFill>
              <a:schemeClr val="bg1"/>
            </a:solidFill>
          </a:endParaRPr>
        </a:p>
        <a:p>
          <a:endParaRPr lang="en-IN">
            <a:solidFill>
              <a:schemeClr val="bg1"/>
            </a:solidFill>
          </a:endParaRPr>
        </a:p>
        <a:p>
          <a:r>
            <a:rPr lang="en-IN">
              <a:solidFill>
                <a:schemeClr val="bg1"/>
              </a:solidFill>
            </a:rPr>
            <a:t>CPI measures changes in consumer prices, indicating inflation and household living costs.</a:t>
          </a:r>
          <a:endParaRPr lang="en-IN" sz="1100">
            <a:solidFill>
              <a:schemeClr val="bg1"/>
            </a:solidFill>
          </a:endParaRPr>
        </a:p>
      </xdr:txBody>
    </xdr:sp>
    <xdr:clientData/>
  </xdr:twoCellAnchor>
  <xdr:twoCellAnchor editAs="oneCell">
    <xdr:from>
      <xdr:col>18</xdr:col>
      <xdr:colOff>419100</xdr:colOff>
      <xdr:row>22</xdr:row>
      <xdr:rowOff>152400</xdr:rowOff>
    </xdr:from>
    <xdr:to>
      <xdr:col>26</xdr:col>
      <xdr:colOff>180975</xdr:colOff>
      <xdr:row>39</xdr:row>
      <xdr:rowOff>142875</xdr:rowOff>
    </xdr:to>
    <xdr:pic>
      <xdr:nvPicPr>
        <xdr:cNvPr id="38" name="Picture 37">
          <a:extLst>
            <a:ext uri="{FF2B5EF4-FFF2-40B4-BE49-F238E27FC236}">
              <a16:creationId xmlns:a16="http://schemas.microsoft.com/office/drawing/2014/main" id="{1779F80D-D29D-4CCE-9E95-7103D1B1FCE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868150" y="4343400"/>
          <a:ext cx="4638675" cy="3228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380999</xdr:colOff>
      <xdr:row>22</xdr:row>
      <xdr:rowOff>142876</xdr:rowOff>
    </xdr:from>
    <xdr:to>
      <xdr:col>34</xdr:col>
      <xdr:colOff>485774</xdr:colOff>
      <xdr:row>39</xdr:row>
      <xdr:rowOff>133350</xdr:rowOff>
    </xdr:to>
    <xdr:graphicFrame macro="">
      <xdr:nvGraphicFramePr>
        <xdr:cNvPr id="42" name="Chart 41">
          <a:extLst>
            <a:ext uri="{FF2B5EF4-FFF2-40B4-BE49-F238E27FC236}">
              <a16:creationId xmlns:a16="http://schemas.microsoft.com/office/drawing/2014/main" id="{05EFA7FA-26E5-46CF-937A-BB5C3E53A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nt" refreshedDate="46300.762582754629" createdVersion="7" refreshedVersion="7" minRefreshableVersion="3" recordCount="372" xr:uid="{F968C6C2-9F81-481F-AF99-7E25D7AFF249}">
  <cacheSource type="worksheet">
    <worksheetSource ref="A1:AF373" sheet="Buckets"/>
  </cacheSource>
  <cacheFields count="32">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3">
        <s v="January"/>
        <s v="February"/>
        <s v="March"/>
        <s v="April"/>
        <s v="May"/>
        <s v="June"/>
        <s v="July"/>
        <s v="August"/>
        <s v="September"/>
        <s v="October"/>
        <s v="November "/>
        <s v="November"/>
        <s v="December"/>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_bucket" numFmtId="0">
      <sharedItems containsSemiMixedTypes="0" containsString="0" containsNumber="1" minValue="105.51666666666665" maxValue="179.33333333333334"/>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F_Bucket" numFmtId="0">
      <sharedItems containsSemiMixedTypes="0" containsString="0" containsNumber="1" minValue="105.45" maxValue="189.55"/>
    </cacheField>
    <cacheField name="Clothing and footwear" numFmtId="0">
      <sharedItems containsSemiMixedTypes="0" containsString="0" containsNumber="1" minValue="105.8" maxValue="190.8"/>
    </cacheField>
    <cacheField name="Housing" numFmtId="0">
      <sharedItems containsMixedTypes="1"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s>
  <extLst>
    <ext xmlns:x14="http://schemas.microsoft.com/office/spreadsheetml/2009/9/main" uri="{725AE2AE-9491-48be-B2B4-4EB974FC3084}">
      <x14:pivotCacheDefinition pivotCacheId="18944074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nt" refreshedDate="46300.762584490738" createdVersion="7" refreshedVersion="7" minRefreshableVersion="3" recordCount="372" xr:uid="{DD577452-8FCE-4335-97D1-368CF04AB95A}">
  <cacheSource type="worksheet">
    <worksheetSource ref="A1:AC373" sheet="combined_bucket"/>
  </cacheSource>
  <cacheFields count="29">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Housing" numFmtId="0">
      <sharedItems containsMixedTypes="1"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Combined" numFmtId="0">
      <sharedItems containsSemiMixedTypes="0" containsString="0" containsNumber="1" minValue="104.89583333333333" maxValue="179.61739130434785"/>
    </cacheField>
    <cacheField name="General index" numFmtId="0">
      <sharedItems containsSemiMixedTypes="0" containsString="0" containsNumber="1" minValue="104" maxValue="179.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nt" refreshedDate="46300.762585069446" createdVersion="7" refreshedVersion="7" minRefreshableVersion="3" recordCount="372" xr:uid="{F930834C-52AC-42EA-A69E-E91D0372E7AE}">
  <cacheSource type="worksheet">
    <worksheetSource ref="A1:AD373" sheet="Final_Clean_table"/>
  </cacheSource>
  <cacheFields count="30">
    <cacheField name="Sector" numFmtId="0">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3">
        <s v="January"/>
        <s v="February"/>
        <s v="March"/>
        <s v="April"/>
        <s v="May"/>
        <s v="June"/>
        <s v="July"/>
        <s v="August"/>
        <s v="September"/>
        <s v="October"/>
        <s v="November "/>
        <s v="November"/>
        <s v="December"/>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0">
      <sharedItems containsMixedTypes="1"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x v="0"/>
    <n v="107.5"/>
    <n v="106.3"/>
    <n v="108.1"/>
    <n v="104.9"/>
    <n v="106.1"/>
    <n v="103.9"/>
    <n v="101.9"/>
    <n v="106.1"/>
    <n v="106.8"/>
    <n v="103.1"/>
    <n v="104.8"/>
    <n v="106.7"/>
    <n v="105.51666666666665"/>
    <n v="105.5"/>
    <n v="105.1"/>
    <n v="106.5"/>
    <n v="105.8"/>
    <n v="106.15"/>
    <n v="106.4"/>
    <s v="NA"/>
    <n v="105.5"/>
    <n v="104.8"/>
    <n v="104"/>
    <n v="103.3"/>
    <n v="103.4"/>
    <n v="103.8"/>
    <n v="104.7"/>
    <n v="104"/>
    <n v="105.1"/>
  </r>
  <r>
    <x v="1"/>
    <x v="0"/>
    <x v="0"/>
    <n v="110.5"/>
    <n v="109.1"/>
    <n v="113"/>
    <n v="103.6"/>
    <n v="103.4"/>
    <n v="102.3"/>
    <n v="102.9"/>
    <n v="105.8"/>
    <n v="105.1"/>
    <n v="101.8"/>
    <n v="105.1"/>
    <n v="107.9"/>
    <n v="105.875"/>
    <n v="105.9"/>
    <n v="105.2"/>
    <n v="105.9"/>
    <n v="105"/>
    <n v="105.45"/>
    <n v="105.8"/>
    <n v="100.3"/>
    <n v="105.4"/>
    <n v="104.8"/>
    <n v="104.1"/>
    <n v="103.2"/>
    <n v="102.9"/>
    <n v="103.5"/>
    <n v="104.3"/>
    <n v="103.7"/>
    <n v="104"/>
  </r>
  <r>
    <x v="2"/>
    <x v="0"/>
    <x v="0"/>
    <n v="108.4"/>
    <n v="107.3"/>
    <n v="110"/>
    <n v="104.4"/>
    <n v="105.1"/>
    <n v="103.2"/>
    <n v="102.2"/>
    <n v="106"/>
    <n v="106.2"/>
    <n v="102.7"/>
    <n v="104.9"/>
    <n v="107.3"/>
    <n v="105.64166666666669"/>
    <n v="105.6"/>
    <n v="105.1"/>
    <n v="106.3"/>
    <n v="105.5"/>
    <n v="105.9"/>
    <n v="106.2"/>
    <n v="100.3"/>
    <n v="105.5"/>
    <n v="104.8"/>
    <n v="104"/>
    <n v="103.2"/>
    <n v="103.1"/>
    <n v="103.6"/>
    <n v="104.5"/>
    <n v="103.9"/>
    <n v="104.6"/>
  </r>
  <r>
    <x v="0"/>
    <x v="0"/>
    <x v="1"/>
    <n v="109.2"/>
    <n v="108.7"/>
    <n v="110.2"/>
    <n v="105.4"/>
    <n v="106.7"/>
    <n v="104"/>
    <n v="102.4"/>
    <n v="105.9"/>
    <n v="105.7"/>
    <n v="103.1"/>
    <n v="105.1"/>
    <n v="107.7"/>
    <n v="106.175"/>
    <n v="106.3"/>
    <n v="105.6"/>
    <n v="107.1"/>
    <n v="106.3"/>
    <n v="106.69999999999999"/>
    <n v="107"/>
    <s v="NA"/>
    <n v="106.2"/>
    <n v="105.2"/>
    <n v="104.4"/>
    <n v="103.9"/>
    <n v="104"/>
    <n v="104.1"/>
    <n v="104.6"/>
    <n v="104.4"/>
    <n v="105.8"/>
  </r>
  <r>
    <x v="1"/>
    <x v="0"/>
    <x v="1"/>
    <n v="112.9"/>
    <n v="112.9"/>
    <n v="116.9"/>
    <n v="104"/>
    <n v="103.5"/>
    <n v="103.1"/>
    <n v="104.9"/>
    <n v="104.1"/>
    <n v="103.8"/>
    <n v="102.3"/>
    <n v="106"/>
    <n v="109"/>
    <n v="106.95"/>
    <n v="107.2"/>
    <n v="106"/>
    <n v="106.6"/>
    <n v="105.5"/>
    <n v="106.05"/>
    <n v="106.4"/>
    <n v="100.4"/>
    <n v="105.7"/>
    <n v="105.2"/>
    <n v="104.7"/>
    <n v="104.4"/>
    <n v="103.3"/>
    <n v="103.7"/>
    <n v="104.3"/>
    <n v="104.3"/>
    <n v="104.7"/>
  </r>
  <r>
    <x v="2"/>
    <x v="0"/>
    <x v="1"/>
    <n v="110.4"/>
    <n v="110.2"/>
    <n v="112.8"/>
    <n v="104.9"/>
    <n v="105.5"/>
    <n v="103.6"/>
    <n v="103.2"/>
    <n v="105.3"/>
    <n v="105.1"/>
    <n v="102.8"/>
    <n v="105.5"/>
    <n v="108.3"/>
    <n v="106.46666666666668"/>
    <n v="106.6"/>
    <n v="105.7"/>
    <n v="106.9"/>
    <n v="106"/>
    <n v="106.45"/>
    <n v="106.8"/>
    <n v="100.4"/>
    <n v="106"/>
    <n v="105.2"/>
    <n v="104.5"/>
    <n v="104.2"/>
    <n v="103.6"/>
    <n v="103.9"/>
    <n v="104.5"/>
    <n v="104.4"/>
    <n v="105.3"/>
  </r>
  <r>
    <x v="0"/>
    <x v="0"/>
    <x v="2"/>
    <n v="110.2"/>
    <n v="108.8"/>
    <n v="109.9"/>
    <n v="105.6"/>
    <n v="106.2"/>
    <n v="105.7"/>
    <n v="101.4"/>
    <n v="105.7"/>
    <n v="105"/>
    <n v="103.3"/>
    <n v="105.6"/>
    <n v="108.2"/>
    <n v="106.30000000000001"/>
    <n v="106.6"/>
    <n v="106.5"/>
    <n v="107.6"/>
    <n v="106.8"/>
    <n v="107.19999999999999"/>
    <n v="107.5"/>
    <s v="NA"/>
    <n v="106.1"/>
    <n v="105.6"/>
    <n v="104.7"/>
    <n v="104.6"/>
    <n v="104"/>
    <n v="104.3"/>
    <n v="104.3"/>
    <n v="104.6"/>
    <n v="106"/>
  </r>
  <r>
    <x v="1"/>
    <x v="0"/>
    <x v="2"/>
    <n v="113.9"/>
    <n v="111.4"/>
    <n v="113.2"/>
    <n v="104.3"/>
    <n v="102.7"/>
    <n v="104.9"/>
    <n v="103.8"/>
    <n v="103.5"/>
    <n v="102.6"/>
    <n v="102.4"/>
    <n v="107"/>
    <n v="109.8"/>
    <n v="106.625"/>
    <n v="107.3"/>
    <n v="106.8"/>
    <n v="107.2"/>
    <n v="106"/>
    <n v="106.6"/>
    <n v="107"/>
    <n v="100.4"/>
    <n v="106"/>
    <n v="105.7"/>
    <n v="105.2"/>
    <n v="105.5"/>
    <n v="103.5"/>
    <n v="103.8"/>
    <n v="104.2"/>
    <n v="104.9"/>
    <n v="105"/>
  </r>
  <r>
    <x v="2"/>
    <x v="0"/>
    <x v="2"/>
    <n v="111.4"/>
    <n v="109.7"/>
    <n v="111.2"/>
    <n v="105.1"/>
    <n v="104.9"/>
    <n v="105.3"/>
    <n v="102.2"/>
    <n v="105"/>
    <n v="104.2"/>
    <n v="103"/>
    <n v="106.2"/>
    <n v="108.9"/>
    <n v="106.42500000000001"/>
    <n v="106.9"/>
    <n v="106.6"/>
    <n v="107.4"/>
    <n v="106.5"/>
    <n v="106.95"/>
    <n v="107.3"/>
    <n v="100.4"/>
    <n v="106.1"/>
    <n v="105.6"/>
    <n v="104.9"/>
    <n v="105.1"/>
    <n v="103.7"/>
    <n v="104"/>
    <n v="104.3"/>
    <n v="104.7"/>
    <n v="105.5"/>
  </r>
  <r>
    <x v="0"/>
    <x v="0"/>
    <x v="3"/>
    <n v="110.2"/>
    <n v="109.5"/>
    <n v="106.9"/>
    <n v="106.3"/>
    <n v="105.7"/>
    <n v="108.3"/>
    <n v="103.4"/>
    <n v="105.7"/>
    <n v="104.2"/>
    <n v="103.2"/>
    <n v="106.5"/>
    <n v="108.8"/>
    <n v="106.55833333333334"/>
    <n v="107.1"/>
    <n v="107.1"/>
    <n v="108.1"/>
    <n v="107.4"/>
    <n v="107.75"/>
    <n v="108"/>
    <s v="NA"/>
    <n v="106.5"/>
    <n v="106.1"/>
    <n v="105.1"/>
    <n v="104.4"/>
    <n v="104.5"/>
    <n v="104.8"/>
    <n v="102.7"/>
    <n v="104.6"/>
    <n v="106.4"/>
  </r>
  <r>
    <x v="1"/>
    <x v="0"/>
    <x v="3"/>
    <n v="114.6"/>
    <n v="113.4"/>
    <n v="106"/>
    <n v="104.7"/>
    <n v="102.1"/>
    <n v="109.5"/>
    <n v="109.7"/>
    <n v="104.6"/>
    <n v="102"/>
    <n v="103.5"/>
    <n v="108.2"/>
    <n v="110.6"/>
    <n v="107.40833333333332"/>
    <n v="108.8"/>
    <n v="108.5"/>
    <n v="107.9"/>
    <n v="106.4"/>
    <n v="107.15"/>
    <n v="107.7"/>
    <n v="100.5"/>
    <n v="106.4"/>
    <n v="106.5"/>
    <n v="105.7"/>
    <n v="105"/>
    <n v="104"/>
    <n v="105.2"/>
    <n v="103.2"/>
    <n v="105.1"/>
    <n v="105.7"/>
  </r>
  <r>
    <x v="2"/>
    <x v="0"/>
    <x v="3"/>
    <n v="111.6"/>
    <n v="110.9"/>
    <n v="106.6"/>
    <n v="105.7"/>
    <n v="104.4"/>
    <n v="108.9"/>
    <n v="105.5"/>
    <n v="105.3"/>
    <n v="103.5"/>
    <n v="103.3"/>
    <n v="107.2"/>
    <n v="109.6"/>
    <n v="106.875"/>
    <n v="107.7"/>
    <n v="107.5"/>
    <n v="108"/>
    <n v="107"/>
    <n v="107.5"/>
    <n v="107.9"/>
    <n v="100.5"/>
    <n v="106.5"/>
    <n v="106.3"/>
    <n v="105.3"/>
    <n v="104.7"/>
    <n v="104.2"/>
    <n v="105"/>
    <n v="102.9"/>
    <n v="104.8"/>
    <n v="106.1"/>
  </r>
  <r>
    <x v="0"/>
    <x v="0"/>
    <x v="4"/>
    <n v="110.9"/>
    <n v="109.8"/>
    <n v="105.9"/>
    <n v="107.5"/>
    <n v="105.3"/>
    <n v="108.1"/>
    <n v="107.3"/>
    <n v="106.1"/>
    <n v="103.7"/>
    <n v="104"/>
    <n v="107.4"/>
    <n v="109.9"/>
    <n v="107.15833333333335"/>
    <n v="108.1"/>
    <n v="108.1"/>
    <n v="108.8"/>
    <n v="107.9"/>
    <n v="108.35"/>
    <n v="108.6"/>
    <s v="NA"/>
    <n v="107.5"/>
    <n v="106.8"/>
    <n v="105.7"/>
    <n v="104.1"/>
    <n v="105"/>
    <n v="105.5"/>
    <n v="102.1"/>
    <n v="104.8"/>
    <n v="107.2"/>
  </r>
  <r>
    <x v="1"/>
    <x v="0"/>
    <x v="4"/>
    <n v="115.4"/>
    <n v="114.2"/>
    <n v="102.7"/>
    <n v="105.5"/>
    <n v="101.5"/>
    <n v="110.6"/>
    <n v="123.7"/>
    <n v="105.2"/>
    <n v="101.9"/>
    <n v="105"/>
    <n v="109.1"/>
    <n v="111.3"/>
    <n v="108.84166666666665"/>
    <n v="111.1"/>
    <n v="109.8"/>
    <n v="108.5"/>
    <n v="106.7"/>
    <n v="107.6"/>
    <n v="108.3"/>
    <n v="100.5"/>
    <n v="107.2"/>
    <n v="107.1"/>
    <n v="106.2"/>
    <n v="103.9"/>
    <n v="104.6"/>
    <n v="105.7"/>
    <n v="102.6"/>
    <n v="104.9"/>
    <n v="106.6"/>
  </r>
  <r>
    <x v="2"/>
    <x v="0"/>
    <x v="4"/>
    <n v="112.3"/>
    <n v="111.3"/>
    <n v="104.7"/>
    <n v="106.8"/>
    <n v="103.9"/>
    <n v="109.3"/>
    <n v="112.9"/>
    <n v="105.8"/>
    <n v="103.1"/>
    <n v="104.3"/>
    <n v="108.1"/>
    <n v="110.5"/>
    <n v="107.74999999999999"/>
    <n v="109.2"/>
    <n v="108.6"/>
    <n v="108.7"/>
    <n v="107.4"/>
    <n v="108.05000000000001"/>
    <n v="108.5"/>
    <n v="100.5"/>
    <n v="107.4"/>
    <n v="106.9"/>
    <n v="105.9"/>
    <n v="104"/>
    <n v="104.8"/>
    <n v="105.6"/>
    <n v="102.3"/>
    <n v="104.8"/>
    <n v="106.9"/>
  </r>
  <r>
    <x v="0"/>
    <x v="0"/>
    <x v="5"/>
    <n v="112.3"/>
    <n v="112.1"/>
    <n v="108.1"/>
    <n v="108.3"/>
    <n v="105.9"/>
    <n v="109.2"/>
    <n v="118"/>
    <n v="106.8"/>
    <n v="104.1"/>
    <n v="105.4"/>
    <n v="108.2"/>
    <n v="111"/>
    <n v="109.11666666666667"/>
    <n v="110.6"/>
    <n v="109"/>
    <n v="109.7"/>
    <n v="108.8"/>
    <n v="109.25"/>
    <n v="109.5"/>
    <s v="NA"/>
    <n v="108.5"/>
    <n v="107.5"/>
    <n v="106.3"/>
    <n v="105"/>
    <n v="105.6"/>
    <n v="106.5"/>
    <n v="102.5"/>
    <n v="105.5"/>
    <n v="108.9"/>
  </r>
  <r>
    <x v="1"/>
    <x v="0"/>
    <x v="5"/>
    <n v="117"/>
    <n v="120.1"/>
    <n v="112.5"/>
    <n v="107.3"/>
    <n v="101.3"/>
    <n v="112.4"/>
    <n v="143.6"/>
    <n v="105.4"/>
    <n v="101.4"/>
    <n v="106.4"/>
    <n v="110"/>
    <n v="112.2"/>
    <n v="112.46666666666668"/>
    <n v="115"/>
    <n v="110.9"/>
    <n v="109.2"/>
    <n v="107.2"/>
    <n v="108.2"/>
    <n v="108.9"/>
    <n v="106.6"/>
    <n v="108"/>
    <n v="107.7"/>
    <n v="106.5"/>
    <n v="105.2"/>
    <n v="105.2"/>
    <n v="108.1"/>
    <n v="103.3"/>
    <n v="106.1"/>
    <n v="109.7"/>
  </r>
  <r>
    <x v="2"/>
    <x v="0"/>
    <x v="5"/>
    <n v="113.8"/>
    <n v="114.9"/>
    <n v="109.8"/>
    <n v="107.9"/>
    <n v="104.2"/>
    <n v="110.7"/>
    <n v="126.7"/>
    <n v="106.3"/>
    <n v="103.2"/>
    <n v="105.7"/>
    <n v="109"/>
    <n v="111.6"/>
    <n v="110.31666666666666"/>
    <n v="112.2"/>
    <n v="109.5"/>
    <n v="109.5"/>
    <n v="108.1"/>
    <n v="108.8"/>
    <n v="109.3"/>
    <n v="106.6"/>
    <n v="108.3"/>
    <n v="107.6"/>
    <n v="106.4"/>
    <n v="105.1"/>
    <n v="105.4"/>
    <n v="107.4"/>
    <n v="102.8"/>
    <n v="105.8"/>
    <n v="109.3"/>
  </r>
  <r>
    <x v="0"/>
    <x v="0"/>
    <x v="6"/>
    <n v="113.4"/>
    <n v="114.9"/>
    <n v="110.5"/>
    <n v="109.3"/>
    <n v="106.2"/>
    <n v="110.3"/>
    <n v="129.19999999999999"/>
    <n v="107.1"/>
    <n v="104.3"/>
    <n v="106.4"/>
    <n v="109.1"/>
    <n v="112.1"/>
    <n v="111.06666666666665"/>
    <n v="113.1"/>
    <n v="109.8"/>
    <n v="110.5"/>
    <n v="109.5"/>
    <n v="110"/>
    <n v="110.3"/>
    <s v="NA"/>
    <n v="109.5"/>
    <n v="108.3"/>
    <n v="106.9"/>
    <n v="106.8"/>
    <n v="106.4"/>
    <n v="107.8"/>
    <n v="102.5"/>
    <n v="106.5"/>
    <n v="110.7"/>
  </r>
  <r>
    <x v="1"/>
    <x v="0"/>
    <x v="6"/>
    <n v="117.8"/>
    <n v="119.2"/>
    <n v="114"/>
    <n v="108.3"/>
    <n v="101.1"/>
    <n v="113.2"/>
    <n v="160.9"/>
    <n v="105.1"/>
    <n v="101.3"/>
    <n v="107.5"/>
    <n v="110.4"/>
    <n v="113.1"/>
    <n v="114.325"/>
    <n v="117.5"/>
    <n v="111.7"/>
    <n v="109.8"/>
    <n v="107.8"/>
    <n v="108.8"/>
    <n v="109.5"/>
    <n v="107.7"/>
    <n v="108.6"/>
    <n v="108.1"/>
    <n v="107.1"/>
    <n v="107.3"/>
    <n v="105.9"/>
    <n v="110.1"/>
    <n v="103.2"/>
    <n v="107.3"/>
    <n v="111.4"/>
  </r>
  <r>
    <x v="2"/>
    <x v="0"/>
    <x v="6"/>
    <n v="114.8"/>
    <n v="116.4"/>
    <n v="111.9"/>
    <n v="108.9"/>
    <n v="104.3"/>
    <n v="111.7"/>
    <n v="140"/>
    <n v="106.4"/>
    <n v="103.3"/>
    <n v="106.8"/>
    <n v="109.6"/>
    <n v="112.6"/>
    <n v="112.22499999999998"/>
    <n v="114.7"/>
    <n v="110.3"/>
    <n v="110.2"/>
    <n v="108.8"/>
    <n v="109.5"/>
    <n v="110"/>
    <n v="107.7"/>
    <n v="109.2"/>
    <n v="108.2"/>
    <n v="107"/>
    <n v="107.1"/>
    <n v="106.1"/>
    <n v="109.1"/>
    <n v="102.8"/>
    <n v="106.9"/>
    <n v="111"/>
  </r>
  <r>
    <x v="0"/>
    <x v="0"/>
    <x v="7"/>
    <n v="114.3"/>
    <n v="115.4"/>
    <n v="111.1"/>
    <n v="110"/>
    <n v="106.4"/>
    <n v="110.8"/>
    <n v="138.9"/>
    <n v="107.4"/>
    <n v="104.1"/>
    <n v="106.9"/>
    <n v="109.7"/>
    <n v="112.6"/>
    <n v="112.3"/>
    <n v="114.9"/>
    <n v="110.7"/>
    <n v="111.3"/>
    <n v="110.2"/>
    <n v="110.75"/>
    <n v="111.1"/>
    <s v="NA"/>
    <n v="109.9"/>
    <n v="108.7"/>
    <n v="107.5"/>
    <n v="107.8"/>
    <n v="106.8"/>
    <n v="108.7"/>
    <n v="105"/>
    <n v="107.5"/>
    <n v="112.1"/>
  </r>
  <r>
    <x v="1"/>
    <x v="0"/>
    <x v="7"/>
    <n v="118.3"/>
    <n v="120.4"/>
    <n v="112.7"/>
    <n v="108.9"/>
    <n v="101.1"/>
    <n v="108.7"/>
    <n v="177"/>
    <n v="104.7"/>
    <n v="101"/>
    <n v="108.5"/>
    <n v="110.9"/>
    <n v="114.3"/>
    <n v="115.54166666666669"/>
    <n v="119.6"/>
    <n v="112.4"/>
    <n v="110.6"/>
    <n v="108.3"/>
    <n v="109.44999999999999"/>
    <n v="110.2"/>
    <n v="108.9"/>
    <n v="109.3"/>
    <n v="108.7"/>
    <n v="107.6"/>
    <n v="108.1"/>
    <n v="106.5"/>
    <n v="110.8"/>
    <n v="106"/>
    <n v="108.3"/>
    <n v="112.7"/>
  </r>
  <r>
    <x v="2"/>
    <x v="0"/>
    <x v="7"/>
    <n v="115.6"/>
    <n v="117.2"/>
    <n v="111.7"/>
    <n v="109.6"/>
    <n v="104.5"/>
    <n v="109.8"/>
    <n v="151.80000000000001"/>
    <n v="106.5"/>
    <n v="103.1"/>
    <n v="107.4"/>
    <n v="110.2"/>
    <n v="113.4"/>
    <n v="113.40000000000002"/>
    <n v="116.6"/>
    <n v="111.2"/>
    <n v="111"/>
    <n v="109.4"/>
    <n v="110.2"/>
    <n v="110.7"/>
    <n v="108.9"/>
    <n v="109.7"/>
    <n v="108.7"/>
    <n v="107.5"/>
    <n v="108"/>
    <n v="106.6"/>
    <n v="109.9"/>
    <n v="105.4"/>
    <n v="107.9"/>
    <n v="112.4"/>
  </r>
  <r>
    <x v="0"/>
    <x v="0"/>
    <x v="8"/>
    <n v="115.4"/>
    <n v="115.7"/>
    <n v="111.7"/>
    <n v="111"/>
    <n v="107.4"/>
    <n v="110.9"/>
    <n v="154"/>
    <n v="108.1"/>
    <n v="104.2"/>
    <n v="107.9"/>
    <n v="110.4"/>
    <n v="114"/>
    <n v="114.22500000000002"/>
    <n v="117.8"/>
    <n v="111.7"/>
    <n v="112.7"/>
    <n v="111.4"/>
    <n v="112.05000000000001"/>
    <n v="112.5"/>
    <s v="NA"/>
    <n v="111.1"/>
    <n v="109.6"/>
    <n v="108.3"/>
    <n v="109.3"/>
    <n v="107.7"/>
    <n v="109.8"/>
    <n v="106.7"/>
    <n v="108.7"/>
    <n v="114.2"/>
  </r>
  <r>
    <x v="1"/>
    <x v="0"/>
    <x v="8"/>
    <n v="118.6"/>
    <n v="119.1"/>
    <n v="113.2"/>
    <n v="109.6"/>
    <n v="101.7"/>
    <n v="103.2"/>
    <n v="174.3"/>
    <n v="105.1"/>
    <n v="100.8"/>
    <n v="109.1"/>
    <n v="111.1"/>
    <n v="115.4"/>
    <n v="115.10000000000001"/>
    <n v="119.2"/>
    <n v="112.9"/>
    <n v="111.4"/>
    <n v="109"/>
    <n v="110.2"/>
    <n v="111.1"/>
    <n v="109.7"/>
    <n v="109.5"/>
    <n v="109.6"/>
    <n v="107.9"/>
    <n v="110.4"/>
    <n v="107.4"/>
    <n v="111.2"/>
    <n v="106.9"/>
    <n v="109.4"/>
    <n v="113.2"/>
  </r>
  <r>
    <x v="2"/>
    <x v="0"/>
    <x v="8"/>
    <n v="116.4"/>
    <n v="116.9"/>
    <n v="112.3"/>
    <n v="110.5"/>
    <n v="105.3"/>
    <n v="107.3"/>
    <n v="160.9"/>
    <n v="107.1"/>
    <n v="103.1"/>
    <n v="108.3"/>
    <n v="110.7"/>
    <n v="114.6"/>
    <n v="114.44999999999999"/>
    <n v="118.3"/>
    <n v="112"/>
    <n v="112.2"/>
    <n v="110.4"/>
    <n v="111.30000000000001"/>
    <n v="111.9"/>
    <n v="109.7"/>
    <n v="110.5"/>
    <n v="109.6"/>
    <n v="108.1"/>
    <n v="109.9"/>
    <n v="107.5"/>
    <n v="110.6"/>
    <n v="106.8"/>
    <n v="109"/>
    <n v="113.7"/>
  </r>
  <r>
    <x v="0"/>
    <x v="0"/>
    <x v="9"/>
    <n v="116.3"/>
    <n v="115.4"/>
    <n v="112.6"/>
    <n v="111.7"/>
    <n v="107.7"/>
    <n v="113.2"/>
    <n v="164.9"/>
    <n v="108.3"/>
    <n v="103.9"/>
    <n v="108.2"/>
    <n v="111.1"/>
    <n v="114.9"/>
    <n v="115.68333333333334"/>
    <n v="119.8"/>
    <n v="112.2"/>
    <n v="113.6"/>
    <n v="112.3"/>
    <n v="112.94999999999999"/>
    <n v="113.4"/>
    <s v="NA"/>
    <n v="111.6"/>
    <n v="110.4"/>
    <n v="108.9"/>
    <n v="109.3"/>
    <n v="108.3"/>
    <n v="110.2"/>
    <n v="107.5"/>
    <n v="109.1"/>
    <n v="115.5"/>
  </r>
  <r>
    <x v="1"/>
    <x v="0"/>
    <x v="9"/>
    <n v="118.9"/>
    <n v="118.1"/>
    <n v="114.5"/>
    <n v="110.4"/>
    <n v="102.3"/>
    <n v="106.2"/>
    <n v="183.5"/>
    <n v="105.3"/>
    <n v="100.2"/>
    <n v="109.6"/>
    <n v="111.4"/>
    <n v="116"/>
    <n v="116.36666666666666"/>
    <n v="120.8"/>
    <n v="113.5"/>
    <n v="112.5"/>
    <n v="109.7"/>
    <n v="111.1"/>
    <n v="112"/>
    <n v="110.5"/>
    <n v="109.7"/>
    <n v="110.2"/>
    <n v="108.2"/>
    <n v="109.7"/>
    <n v="108"/>
    <n v="111.3"/>
    <n v="107.3"/>
    <n v="109.4"/>
    <n v="114"/>
  </r>
  <r>
    <x v="2"/>
    <x v="0"/>
    <x v="9"/>
    <n v="117.1"/>
    <n v="116.3"/>
    <n v="113.3"/>
    <n v="111.2"/>
    <n v="105.7"/>
    <n v="109.9"/>
    <n v="171.2"/>
    <n v="107.3"/>
    <n v="102.7"/>
    <n v="108.7"/>
    <n v="111.2"/>
    <n v="115.4"/>
    <n v="115.83333333333336"/>
    <n v="120.2"/>
    <n v="112.5"/>
    <n v="113.2"/>
    <n v="111.2"/>
    <n v="112.2"/>
    <n v="112.8"/>
    <n v="110.5"/>
    <n v="110.9"/>
    <n v="110.3"/>
    <n v="108.6"/>
    <n v="109.5"/>
    <n v="108.1"/>
    <n v="110.8"/>
    <n v="107.4"/>
    <n v="109.2"/>
    <n v="114.8"/>
  </r>
  <r>
    <x v="0"/>
    <x v="0"/>
    <x v="10"/>
    <n v="117.3"/>
    <n v="114.9"/>
    <n v="116.2"/>
    <n v="112.8"/>
    <n v="108.9"/>
    <n v="116.6"/>
    <n v="178.1"/>
    <n v="109.1"/>
    <n v="103.6"/>
    <n v="109"/>
    <n v="111.8"/>
    <n v="116"/>
    <n v="117.85833333333333"/>
    <n v="122.5"/>
    <n v="112.8"/>
    <n v="114.6"/>
    <n v="113.1"/>
    <n v="113.85"/>
    <n v="114.4"/>
    <s v="NA"/>
    <n v="112.6"/>
    <n v="111.3"/>
    <n v="109.7"/>
    <n v="109.6"/>
    <n v="108.7"/>
    <n v="111"/>
    <n v="108.2"/>
    <n v="109.8"/>
    <n v="117.4"/>
  </r>
  <r>
    <x v="1"/>
    <x v="0"/>
    <x v="11"/>
    <n v="119.8"/>
    <n v="116.3"/>
    <n v="122.6"/>
    <n v="112"/>
    <n v="103.2"/>
    <n v="110"/>
    <n v="192.8"/>
    <n v="106.3"/>
    <n v="99.5"/>
    <n v="110.3"/>
    <n v="111.8"/>
    <n v="117.1"/>
    <n v="118.47499999999998"/>
    <n v="122.9"/>
    <n v="114.1"/>
    <n v="113.5"/>
    <n v="110.3"/>
    <n v="111.9"/>
    <n v="113"/>
    <n v="111.1"/>
    <n v="110"/>
    <n v="110.9"/>
    <n v="108.6"/>
    <n v="109.5"/>
    <n v="108.5"/>
    <n v="111.3"/>
    <n v="107.9"/>
    <n v="109.6"/>
    <n v="115"/>
  </r>
  <r>
    <x v="2"/>
    <x v="0"/>
    <x v="11"/>
    <n v="118.1"/>
    <n v="115.4"/>
    <n v="118.7"/>
    <n v="112.5"/>
    <n v="106.8"/>
    <n v="113.5"/>
    <n v="183.1"/>
    <n v="108.2"/>
    <n v="102.2"/>
    <n v="109.4"/>
    <n v="111.8"/>
    <n v="116.5"/>
    <n v="118.01666666666667"/>
    <n v="122.6"/>
    <n v="113.1"/>
    <n v="114.2"/>
    <n v="111.9"/>
    <n v="113.05000000000001"/>
    <n v="113.8"/>
    <n v="111.1"/>
    <n v="111.6"/>
    <n v="111.1"/>
    <n v="109.3"/>
    <n v="109.5"/>
    <n v="108.6"/>
    <n v="111.2"/>
    <n v="108.1"/>
    <n v="109.7"/>
    <n v="116.3"/>
  </r>
  <r>
    <x v="0"/>
    <x v="0"/>
    <x v="12"/>
    <n v="118.4"/>
    <n v="115.9"/>
    <n v="120.4"/>
    <n v="113.8"/>
    <n v="109.5"/>
    <n v="115.5"/>
    <n v="145.69999999999999"/>
    <n v="109.5"/>
    <n v="102.9"/>
    <n v="109.8"/>
    <n v="112.1"/>
    <n v="116.8"/>
    <n v="115.85833333333333"/>
    <n v="118.7"/>
    <n v="113.6"/>
    <n v="115.8"/>
    <n v="114"/>
    <n v="114.9"/>
    <n v="115.5"/>
    <s v="NA"/>
    <n v="112.8"/>
    <n v="112.1"/>
    <n v="110.1"/>
    <n v="109.9"/>
    <n v="109.2"/>
    <n v="111.6"/>
    <n v="108.1"/>
    <n v="110.1"/>
    <n v="115.5"/>
  </r>
  <r>
    <x v="1"/>
    <x v="0"/>
    <x v="12"/>
    <n v="120.5"/>
    <n v="118.1"/>
    <n v="128.5"/>
    <n v="112.8"/>
    <n v="103.4"/>
    <n v="110.7"/>
    <n v="144.80000000000001"/>
    <n v="107.1"/>
    <n v="98.6"/>
    <n v="111.9"/>
    <n v="112.1"/>
    <n v="118.1"/>
    <n v="115.55000000000001"/>
    <n v="117.8"/>
    <n v="115"/>
    <n v="114.2"/>
    <n v="110.9"/>
    <n v="112.55000000000001"/>
    <n v="113.7"/>
    <n v="110.7"/>
    <n v="110.4"/>
    <n v="111.3"/>
    <n v="109"/>
    <n v="109.7"/>
    <n v="108.9"/>
    <n v="111.4"/>
    <n v="107.7"/>
    <n v="109.8"/>
    <n v="113.3"/>
  </r>
  <r>
    <x v="2"/>
    <x v="0"/>
    <x v="12"/>
    <n v="119.1"/>
    <n v="116.7"/>
    <n v="123.5"/>
    <n v="113.4"/>
    <n v="107.3"/>
    <n v="113.3"/>
    <n v="145.4"/>
    <n v="108.7"/>
    <n v="101.5"/>
    <n v="110.5"/>
    <n v="112.1"/>
    <n v="117.4"/>
    <n v="115.74166666666667"/>
    <n v="118.4"/>
    <n v="114"/>
    <n v="115.2"/>
    <n v="112.7"/>
    <n v="113.95"/>
    <n v="114.8"/>
    <n v="110.7"/>
    <n v="111.9"/>
    <n v="111.7"/>
    <n v="109.7"/>
    <n v="109.8"/>
    <n v="109"/>
    <n v="111.5"/>
    <n v="107.9"/>
    <n v="110"/>
    <n v="114.5"/>
  </r>
  <r>
    <x v="0"/>
    <x v="1"/>
    <x v="0"/>
    <n v="118.9"/>
    <n v="117.1"/>
    <n v="120.5"/>
    <n v="114.4"/>
    <n v="109"/>
    <n v="115.5"/>
    <n v="123.9"/>
    <n v="109.6"/>
    <n v="101.8"/>
    <n v="110.2"/>
    <n v="112.4"/>
    <n v="117.3"/>
    <n v="114.21666666666668"/>
    <n v="116"/>
    <n v="114"/>
    <n v="116.5"/>
    <n v="114.5"/>
    <n v="115.5"/>
    <n v="116.2"/>
    <s v="NA"/>
    <n v="113"/>
    <n v="112.6"/>
    <n v="110.6"/>
    <n v="110.5"/>
    <n v="109.6"/>
    <n v="111.8"/>
    <n v="108.3"/>
    <n v="110.6"/>
    <n v="114.2"/>
  </r>
  <r>
    <x v="1"/>
    <x v="1"/>
    <x v="0"/>
    <n v="121.2"/>
    <n v="122"/>
    <n v="129.9"/>
    <n v="113.6"/>
    <n v="102.9"/>
    <n v="112.1"/>
    <n v="118.9"/>
    <n v="107.5"/>
    <n v="96.9"/>
    <n v="112.7"/>
    <n v="112.1"/>
    <n v="119"/>
    <n v="114.06666666666666"/>
    <n v="115.5"/>
    <n v="115.7"/>
    <n v="114.8"/>
    <n v="111.3"/>
    <n v="113.05"/>
    <n v="114.3"/>
    <n v="111.6"/>
    <n v="111"/>
    <n v="111.9"/>
    <n v="109.7"/>
    <n v="110.8"/>
    <n v="109.8"/>
    <n v="111.5"/>
    <n v="108"/>
    <n v="110.5"/>
    <n v="112.9"/>
  </r>
  <r>
    <x v="2"/>
    <x v="1"/>
    <x v="0"/>
    <n v="119.6"/>
    <n v="118.8"/>
    <n v="124.1"/>
    <n v="114.1"/>
    <n v="106.8"/>
    <n v="113.9"/>
    <n v="122.2"/>
    <n v="108.9"/>
    <n v="100.2"/>
    <n v="111"/>
    <n v="112.3"/>
    <n v="118.1"/>
    <n v="114.16666666666664"/>
    <n v="115.8"/>
    <n v="114.5"/>
    <n v="115.8"/>
    <n v="113.2"/>
    <n v="114.5"/>
    <n v="115.4"/>
    <n v="111.6"/>
    <n v="112.2"/>
    <n v="112.3"/>
    <n v="110.3"/>
    <n v="110.7"/>
    <n v="109.7"/>
    <n v="111.6"/>
    <n v="108.2"/>
    <n v="110.6"/>
    <n v="113.6"/>
  </r>
  <r>
    <x v="0"/>
    <x v="1"/>
    <x v="1"/>
    <n v="119.4"/>
    <n v="117.7"/>
    <n v="121.2"/>
    <n v="115"/>
    <n v="109"/>
    <n v="116.6"/>
    <n v="116"/>
    <n v="109.8"/>
    <n v="101.1"/>
    <n v="110.4"/>
    <n v="112.9"/>
    <n v="117.8"/>
    <n v="113.90833333333335"/>
    <n v="115.3"/>
    <n v="114.2"/>
    <n v="117.1"/>
    <n v="114.5"/>
    <n v="115.8"/>
    <n v="116.7"/>
    <s v="NA"/>
    <n v="113.2"/>
    <n v="112.9"/>
    <n v="110.9"/>
    <n v="110.8"/>
    <n v="109.9"/>
    <n v="112"/>
    <n v="108.7"/>
    <n v="110.9"/>
    <n v="114"/>
  </r>
  <r>
    <x v="1"/>
    <x v="1"/>
    <x v="1"/>
    <n v="121.9"/>
    <n v="122"/>
    <n v="124.5"/>
    <n v="115.2"/>
    <n v="102.5"/>
    <n v="114.1"/>
    <n v="111.5"/>
    <n v="108.2"/>
    <n v="95.4"/>
    <n v="113.5"/>
    <n v="112.1"/>
    <n v="119.9"/>
    <n v="113.39999999999999"/>
    <n v="115.2"/>
    <n v="116.2"/>
    <n v="115.3"/>
    <n v="111.7"/>
    <n v="113.5"/>
    <n v="114.7"/>
    <n v="112.5"/>
    <n v="111.1"/>
    <n v="112.6"/>
    <n v="110.4"/>
    <n v="111.3"/>
    <n v="110.3"/>
    <n v="111.6"/>
    <n v="108.7"/>
    <n v="111"/>
    <n v="113.1"/>
  </r>
  <r>
    <x v="2"/>
    <x v="1"/>
    <x v="1"/>
    <n v="120.2"/>
    <n v="119.2"/>
    <n v="122.5"/>
    <n v="115.1"/>
    <n v="106.6"/>
    <n v="115.4"/>
    <n v="114.5"/>
    <n v="109.3"/>
    <n v="99.2"/>
    <n v="111.4"/>
    <n v="112.6"/>
    <n v="118.8"/>
    <n v="113.73333333333333"/>
    <n v="115.3"/>
    <n v="114.7"/>
    <n v="116.4"/>
    <n v="113.3"/>
    <n v="114.85"/>
    <n v="115.9"/>
    <n v="112.5"/>
    <n v="112.4"/>
    <n v="112.8"/>
    <n v="110.7"/>
    <n v="111.1"/>
    <n v="110.1"/>
    <n v="111.8"/>
    <n v="108.7"/>
    <n v="110.9"/>
    <n v="113.6"/>
  </r>
  <r>
    <x v="0"/>
    <x v="1"/>
    <x v="2"/>
    <n v="120.1"/>
    <n v="118.1"/>
    <n v="120.7"/>
    <n v="116.1"/>
    <n v="109.3"/>
    <n v="119.6"/>
    <n v="117.9"/>
    <n v="110.2"/>
    <n v="101.2"/>
    <n v="110.7"/>
    <n v="113"/>
    <n v="118.3"/>
    <n v="114.60000000000001"/>
    <n v="116.2"/>
    <n v="114.6"/>
    <n v="117.5"/>
    <n v="114.9"/>
    <n v="116.2"/>
    <n v="117.2"/>
    <s v="NA"/>
    <n v="113.4"/>
    <n v="113.4"/>
    <n v="111.4"/>
    <n v="111.2"/>
    <n v="110.2"/>
    <n v="112.4"/>
    <n v="108.9"/>
    <n v="111.3"/>
    <n v="114.6"/>
  </r>
  <r>
    <x v="1"/>
    <x v="1"/>
    <x v="2"/>
    <n v="122.1"/>
    <n v="121.4"/>
    <n v="121.5"/>
    <n v="116.2"/>
    <n v="102.8"/>
    <n v="117.7"/>
    <n v="113.3"/>
    <n v="108.9"/>
    <n v="96.3"/>
    <n v="114.1"/>
    <n v="112.2"/>
    <n v="120.5"/>
    <n v="113.91666666666667"/>
    <n v="116"/>
    <n v="116.7"/>
    <n v="115.8"/>
    <n v="112.1"/>
    <n v="113.94999999999999"/>
    <n v="115.2"/>
    <n v="113.2"/>
    <n v="110.9"/>
    <n v="113"/>
    <n v="110.8"/>
    <n v="111.6"/>
    <n v="110.9"/>
    <n v="111.8"/>
    <n v="109.2"/>
    <n v="111.4"/>
    <n v="113.7"/>
  </r>
  <r>
    <x v="2"/>
    <x v="1"/>
    <x v="2"/>
    <n v="120.7"/>
    <n v="119.3"/>
    <n v="121"/>
    <n v="116.1"/>
    <n v="106.9"/>
    <n v="118.7"/>
    <n v="116.3"/>
    <n v="109.8"/>
    <n v="99.6"/>
    <n v="111.8"/>
    <n v="112.7"/>
    <n v="119.3"/>
    <n v="114.34999999999998"/>
    <n v="116.1"/>
    <n v="115.2"/>
    <n v="116.8"/>
    <n v="113.7"/>
    <n v="115.25"/>
    <n v="116.4"/>
    <n v="113.2"/>
    <n v="112.5"/>
    <n v="113.2"/>
    <n v="111.2"/>
    <n v="111.4"/>
    <n v="110.6"/>
    <n v="112"/>
    <n v="109"/>
    <n v="111.3"/>
    <n v="114.2"/>
  </r>
  <r>
    <x v="0"/>
    <x v="1"/>
    <x v="3"/>
    <n v="120.2"/>
    <n v="118.9"/>
    <n v="118.1"/>
    <n v="117"/>
    <n v="109.7"/>
    <n v="125.5"/>
    <n v="120.5"/>
    <n v="111"/>
    <n v="102.6"/>
    <n v="111.2"/>
    <n v="113.5"/>
    <n v="118.7"/>
    <n v="115.575"/>
    <n v="117.2"/>
    <n v="115.4"/>
    <n v="118.1"/>
    <n v="116.1"/>
    <n v="117.1"/>
    <n v="117.8"/>
    <s v="NA"/>
    <n v="113.4"/>
    <n v="113.7"/>
    <n v="111.8"/>
    <n v="111.2"/>
    <n v="110.5"/>
    <n v="113"/>
    <n v="108.9"/>
    <n v="111.5"/>
    <n v="115.4"/>
  </r>
  <r>
    <x v="1"/>
    <x v="1"/>
    <x v="3"/>
    <n v="122.5"/>
    <n v="121.7"/>
    <n v="113.3"/>
    <n v="117"/>
    <n v="103.1"/>
    <n v="126.7"/>
    <n v="121.2"/>
    <n v="111"/>
    <n v="100.3"/>
    <n v="115.3"/>
    <n v="112.7"/>
    <n v="121"/>
    <n v="115.48333333333335"/>
    <n v="118.2"/>
    <n v="117.6"/>
    <n v="116.3"/>
    <n v="112.5"/>
    <n v="114.4"/>
    <n v="115.7"/>
    <n v="113.9"/>
    <n v="110.9"/>
    <n v="113.4"/>
    <n v="111"/>
    <n v="111.2"/>
    <n v="111.2"/>
    <n v="112.5"/>
    <n v="109.1"/>
    <n v="111.4"/>
    <n v="114.7"/>
  </r>
  <r>
    <x v="2"/>
    <x v="1"/>
    <x v="3"/>
    <n v="120.9"/>
    <n v="119.9"/>
    <n v="116.2"/>
    <n v="117"/>
    <n v="107.3"/>
    <n v="126.1"/>
    <n v="120.7"/>
    <n v="111"/>
    <n v="101.8"/>
    <n v="112.6"/>
    <n v="113.2"/>
    <n v="119.8"/>
    <n v="115.54166666666667"/>
    <n v="117.6"/>
    <n v="116"/>
    <n v="117.4"/>
    <n v="114.6"/>
    <n v="116"/>
    <n v="117"/>
    <n v="113.9"/>
    <n v="112.5"/>
    <n v="113.6"/>
    <n v="111.5"/>
    <n v="111.2"/>
    <n v="110.9"/>
    <n v="112.7"/>
    <n v="109"/>
    <n v="111.5"/>
    <n v="115.1"/>
  </r>
  <r>
    <x v="0"/>
    <x v="1"/>
    <x v="4"/>
    <n v="120.3"/>
    <n v="120.2"/>
    <n v="116.9"/>
    <n v="118"/>
    <n v="110.1"/>
    <n v="126.3"/>
    <n v="123.9"/>
    <n v="111.5"/>
    <n v="103.5"/>
    <n v="111.6"/>
    <n v="114.2"/>
    <n v="119.2"/>
    <n v="116.30833333333332"/>
    <n v="118.2"/>
    <n v="116.3"/>
    <n v="118.7"/>
    <n v="116.8"/>
    <n v="117.75"/>
    <n v="118.5"/>
    <s v="NA"/>
    <n v="113.4"/>
    <n v="114.1"/>
    <n v="112.1"/>
    <n v="111.4"/>
    <n v="110.9"/>
    <n v="113.1"/>
    <n v="108.9"/>
    <n v="111.8"/>
    <n v="116"/>
  </r>
  <r>
    <x v="1"/>
    <x v="1"/>
    <x v="4"/>
    <n v="122.7"/>
    <n v="124.1"/>
    <n v="114.2"/>
    <n v="119.1"/>
    <n v="103.5"/>
    <n v="129.19999999999999"/>
    <n v="127"/>
    <n v="112.6"/>
    <n v="101.3"/>
    <n v="117"/>
    <n v="112.9"/>
    <n v="121.7"/>
    <n v="117.10833333333335"/>
    <n v="120"/>
    <n v="118.3"/>
    <n v="116.8"/>
    <n v="112.9"/>
    <n v="114.85"/>
    <n v="116.2"/>
    <n v="114.3"/>
    <n v="111.1"/>
    <n v="114.1"/>
    <n v="111.2"/>
    <n v="111.3"/>
    <n v="111.5"/>
    <n v="112.9"/>
    <n v="109.3"/>
    <n v="111.7"/>
    <n v="115.6"/>
  </r>
  <r>
    <x v="2"/>
    <x v="1"/>
    <x v="4"/>
    <n v="121.1"/>
    <n v="121.6"/>
    <n v="115.9"/>
    <n v="118.4"/>
    <n v="107.7"/>
    <n v="127.7"/>
    <n v="125"/>
    <n v="111.9"/>
    <n v="102.8"/>
    <n v="113.4"/>
    <n v="113.7"/>
    <n v="120.4"/>
    <n v="116.63333333333337"/>
    <n v="118.9"/>
    <n v="116.8"/>
    <n v="118"/>
    <n v="115.2"/>
    <n v="116.6"/>
    <n v="117.6"/>
    <n v="114.3"/>
    <n v="112.5"/>
    <n v="114.1"/>
    <n v="111.8"/>
    <n v="111.3"/>
    <n v="111.2"/>
    <n v="113"/>
    <n v="109.1"/>
    <n v="111.8"/>
    <n v="115.8"/>
  </r>
  <r>
    <x v="0"/>
    <x v="1"/>
    <x v="5"/>
    <n v="120.7"/>
    <n v="121.6"/>
    <n v="116.1"/>
    <n v="119.3"/>
    <n v="110.3"/>
    <n v="125.8"/>
    <n v="129.30000000000001"/>
    <n v="112.2"/>
    <n v="103.6"/>
    <n v="112.3"/>
    <n v="114.9"/>
    <n v="120.1"/>
    <n v="117.18333333333332"/>
    <n v="119.5"/>
    <n v="117.3"/>
    <n v="119.7"/>
    <n v="117.3"/>
    <n v="118.5"/>
    <n v="119.3"/>
    <s v="NA"/>
    <n v="114.4"/>
    <n v="114.9"/>
    <n v="112.8"/>
    <n v="112.2"/>
    <n v="111.4"/>
    <n v="114.3"/>
    <n v="108"/>
    <n v="112.3"/>
    <n v="117"/>
  </r>
  <r>
    <x v="1"/>
    <x v="1"/>
    <x v="5"/>
    <n v="123.1"/>
    <n v="125.9"/>
    <n v="115.4"/>
    <n v="120.4"/>
    <n v="103.4"/>
    <n v="131.19999999999999"/>
    <n v="137.5"/>
    <n v="112.8"/>
    <n v="101.4"/>
    <n v="118.3"/>
    <n v="113.2"/>
    <n v="122.4"/>
    <n v="118.75"/>
    <n v="122"/>
    <n v="119"/>
    <n v="117.4"/>
    <n v="113.2"/>
    <n v="115.30000000000001"/>
    <n v="116.7"/>
    <n v="113.9"/>
    <n v="111.2"/>
    <n v="114.3"/>
    <n v="111.4"/>
    <n v="111.5"/>
    <n v="111.8"/>
    <n v="115.1"/>
    <n v="108.7"/>
    <n v="112.2"/>
    <n v="116.4"/>
  </r>
  <r>
    <x v="2"/>
    <x v="1"/>
    <x v="5"/>
    <n v="121.5"/>
    <n v="123.1"/>
    <n v="115.8"/>
    <n v="119.7"/>
    <n v="107.8"/>
    <n v="128.30000000000001"/>
    <n v="132.1"/>
    <n v="112.4"/>
    <n v="102.9"/>
    <n v="114.3"/>
    <n v="114.2"/>
    <n v="121.2"/>
    <n v="117.77500000000002"/>
    <n v="120.4"/>
    <n v="117.8"/>
    <n v="118.8"/>
    <n v="115.6"/>
    <n v="117.19999999999999"/>
    <n v="118.3"/>
    <n v="113.9"/>
    <n v="113.2"/>
    <n v="114.6"/>
    <n v="112.3"/>
    <n v="111.8"/>
    <n v="111.6"/>
    <n v="114.8"/>
    <n v="108.3"/>
    <n v="112.3"/>
    <n v="116.7"/>
  </r>
  <r>
    <x v="0"/>
    <x v="1"/>
    <x v="6"/>
    <n v="121.7"/>
    <n v="122.5"/>
    <n v="117.7"/>
    <n v="120.6"/>
    <n v="110.4"/>
    <n v="129.1"/>
    <n v="150.1"/>
    <n v="113.2"/>
    <n v="104.8"/>
    <n v="113.3"/>
    <n v="115.6"/>
    <n v="120.9"/>
    <n v="119.99166666666667"/>
    <n v="123.3"/>
    <n v="118"/>
    <n v="120.7"/>
    <n v="118.3"/>
    <n v="119.5"/>
    <n v="120.3"/>
    <s v="NA"/>
    <n v="115.3"/>
    <n v="115.4"/>
    <n v="113.4"/>
    <n v="113.2"/>
    <n v="111.8"/>
    <n v="115.5"/>
    <n v="108.8"/>
    <n v="113.1"/>
    <n v="119.5"/>
  </r>
  <r>
    <x v="1"/>
    <x v="1"/>
    <x v="6"/>
    <n v="123.8"/>
    <n v="126.4"/>
    <n v="118"/>
    <n v="121.6"/>
    <n v="103.5"/>
    <n v="133.69999999999999"/>
    <n v="172.4"/>
    <n v="113.1"/>
    <n v="102.7"/>
    <n v="120"/>
    <n v="113.8"/>
    <n v="123.4"/>
    <n v="122.7"/>
    <n v="127.1"/>
    <n v="121"/>
    <n v="118"/>
    <n v="113.6"/>
    <n v="115.8"/>
    <n v="117.4"/>
    <n v="114.8"/>
    <n v="111.6"/>
    <n v="114.9"/>
    <n v="111.5"/>
    <n v="113"/>
    <n v="112.4"/>
    <n v="117.8"/>
    <n v="109.7"/>
    <n v="113.5"/>
    <n v="118.9"/>
  </r>
  <r>
    <x v="2"/>
    <x v="1"/>
    <x v="6"/>
    <n v="122.4"/>
    <n v="123.9"/>
    <n v="117.8"/>
    <n v="121"/>
    <n v="107.9"/>
    <n v="131.19999999999999"/>
    <n v="157.69999999999999"/>
    <n v="113.2"/>
    <n v="104.1"/>
    <n v="115.5"/>
    <n v="114.8"/>
    <n v="122.1"/>
    <n v="120.96666666666665"/>
    <n v="124.7"/>
    <n v="118.8"/>
    <n v="119.6"/>
    <n v="116.3"/>
    <n v="117.94999999999999"/>
    <n v="119.1"/>
    <n v="114.8"/>
    <n v="113.9"/>
    <n v="115.2"/>
    <n v="112.7"/>
    <n v="113.1"/>
    <n v="112.1"/>
    <n v="116.8"/>
    <n v="109.2"/>
    <n v="113.3"/>
    <n v="119.2"/>
  </r>
  <r>
    <x v="0"/>
    <x v="1"/>
    <x v="7"/>
    <n v="121.8"/>
    <n v="122.8"/>
    <n v="117.8"/>
    <n v="121.9"/>
    <n v="110.6"/>
    <n v="129.69999999999999"/>
    <n v="161.1"/>
    <n v="114.1"/>
    <n v="105.1"/>
    <n v="114.6"/>
    <n v="115.8"/>
    <n v="121.7"/>
    <n v="121.41666666666664"/>
    <n v="125.3"/>
    <n v="118.8"/>
    <n v="120.9"/>
    <n v="118.8"/>
    <n v="119.85"/>
    <n v="120.7"/>
    <s v="NA"/>
    <n v="115.4"/>
    <n v="115.9"/>
    <n v="114"/>
    <n v="113.2"/>
    <n v="112.2"/>
    <n v="116.2"/>
    <n v="109.4"/>
    <n v="113.5"/>
    <n v="120.7"/>
  </r>
  <r>
    <x v="1"/>
    <x v="1"/>
    <x v="7"/>
    <n v="124.8"/>
    <n v="127.3"/>
    <n v="116.5"/>
    <n v="122.2"/>
    <n v="103.6"/>
    <n v="132.69999999999999"/>
    <n v="181.9"/>
    <n v="115.2"/>
    <n v="102.7"/>
    <n v="122.1"/>
    <n v="114.4"/>
    <n v="124.7"/>
    <n v="124.00833333333333"/>
    <n v="128.9"/>
    <n v="123"/>
    <n v="118.6"/>
    <n v="114.1"/>
    <n v="116.35"/>
    <n v="117.9"/>
    <n v="115.5"/>
    <n v="111.8"/>
    <n v="115.3"/>
    <n v="112.2"/>
    <n v="112.5"/>
    <n v="112.9"/>
    <n v="119.2"/>
    <n v="110.5"/>
    <n v="113.9"/>
    <n v="119.9"/>
  </r>
  <r>
    <x v="2"/>
    <x v="1"/>
    <x v="7"/>
    <n v="122.7"/>
    <n v="124.4"/>
    <n v="117.3"/>
    <n v="122"/>
    <n v="108"/>
    <n v="131.1"/>
    <n v="168.2"/>
    <n v="114.5"/>
    <n v="104.3"/>
    <n v="117.1"/>
    <n v="115.2"/>
    <n v="123.1"/>
    <n v="122.32499999999999"/>
    <n v="126.6"/>
    <n v="119.9"/>
    <n v="120"/>
    <n v="116.8"/>
    <n v="118.4"/>
    <n v="119.6"/>
    <n v="115.5"/>
    <n v="114"/>
    <n v="115.6"/>
    <n v="113.3"/>
    <n v="112.8"/>
    <n v="112.6"/>
    <n v="118"/>
    <n v="109.9"/>
    <n v="113.7"/>
    <n v="120.3"/>
  </r>
  <r>
    <x v="0"/>
    <x v="1"/>
    <x v="8"/>
    <n v="122.3"/>
    <n v="122.4"/>
    <n v="117.8"/>
    <n v="122.7"/>
    <n v="110.4"/>
    <n v="129.80000000000001"/>
    <n v="158.80000000000001"/>
    <n v="115"/>
    <n v="104.7"/>
    <n v="114.9"/>
    <n v="116.5"/>
    <n v="122.6"/>
    <n v="121.49166666666667"/>
    <n v="125.3"/>
    <n v="119.5"/>
    <n v="121.7"/>
    <n v="119.2"/>
    <n v="120.45"/>
    <n v="121.3"/>
    <s v="NA"/>
    <n v="115.8"/>
    <n v="116.7"/>
    <n v="114.5"/>
    <n v="112.8"/>
    <n v="112.6"/>
    <n v="116.6"/>
    <n v="109.1"/>
    <n v="113.7"/>
    <n v="120.9"/>
  </r>
  <r>
    <x v="1"/>
    <x v="1"/>
    <x v="8"/>
    <n v="124.2"/>
    <n v="125.4"/>
    <n v="116.4"/>
    <n v="122.7"/>
    <n v="103.5"/>
    <n v="124.5"/>
    <n v="168.6"/>
    <n v="116.9"/>
    <n v="101.9"/>
    <n v="122.9"/>
    <n v="114.8"/>
    <n v="125.2"/>
    <n v="122.25000000000001"/>
    <n v="126.7"/>
    <n v="124.3"/>
    <n v="119.2"/>
    <n v="114.5"/>
    <n v="116.85"/>
    <n v="118.4"/>
    <n v="116.1"/>
    <n v="111.8"/>
    <n v="115.5"/>
    <n v="112.3"/>
    <n v="111.2"/>
    <n v="113.4"/>
    <n v="120"/>
    <n v="110"/>
    <n v="113.6"/>
    <n v="119.2"/>
  </r>
  <r>
    <x v="2"/>
    <x v="1"/>
    <x v="8"/>
    <n v="122.9"/>
    <n v="123.5"/>
    <n v="117.3"/>
    <n v="122.7"/>
    <n v="107.9"/>
    <n v="127.3"/>
    <n v="162.1"/>
    <n v="115.6"/>
    <n v="103.8"/>
    <n v="117.6"/>
    <n v="115.8"/>
    <n v="123.8"/>
    <n v="121.69166666666665"/>
    <n v="125.8"/>
    <n v="120.8"/>
    <n v="120.7"/>
    <n v="117.2"/>
    <n v="118.95"/>
    <n v="120.1"/>
    <n v="116.1"/>
    <n v="114.3"/>
    <n v="116.1"/>
    <n v="113.7"/>
    <n v="112"/>
    <n v="113.1"/>
    <n v="118.6"/>
    <n v="109.5"/>
    <n v="113.7"/>
    <n v="120.1"/>
  </r>
  <r>
    <x v="0"/>
    <x v="1"/>
    <x v="9"/>
    <n v="122.6"/>
    <n v="122.5"/>
    <n v="118.3"/>
    <n v="123.2"/>
    <n v="110.5"/>
    <n v="128.9"/>
    <n v="155.30000000000001"/>
    <n v="115.5"/>
    <n v="104"/>
    <n v="115.3"/>
    <n v="116.8"/>
    <n v="123.2"/>
    <n v="121.34166666666665"/>
    <n v="125.1"/>
    <n v="120"/>
    <n v="122.7"/>
    <n v="120.3"/>
    <n v="121.5"/>
    <n v="122.3"/>
    <s v="NA"/>
    <n v="116.4"/>
    <n v="117.5"/>
    <n v="115.3"/>
    <n v="112.6"/>
    <n v="113"/>
    <n v="116.9"/>
    <n v="109.3"/>
    <n v="114"/>
    <n v="121"/>
  </r>
  <r>
    <x v="1"/>
    <x v="1"/>
    <x v="9"/>
    <n v="124.6"/>
    <n v="126.1"/>
    <n v="117.8"/>
    <n v="123.1"/>
    <n v="103.5"/>
    <n v="123.5"/>
    <n v="159.6"/>
    <n v="117.4"/>
    <n v="101.2"/>
    <n v="123.8"/>
    <n v="115.2"/>
    <n v="125.9"/>
    <n v="121.80833333333334"/>
    <n v="125.8"/>
    <n v="124.3"/>
    <n v="119.6"/>
    <n v="114.9"/>
    <n v="117.25"/>
    <n v="118.9"/>
    <n v="116.7"/>
    <n v="112"/>
    <n v="115.8"/>
    <n v="112.6"/>
    <n v="111"/>
    <n v="113.6"/>
    <n v="120.2"/>
    <n v="110.1"/>
    <n v="113.7"/>
    <n v="119.1"/>
  </r>
  <r>
    <x v="2"/>
    <x v="1"/>
    <x v="9"/>
    <n v="123.2"/>
    <n v="123.8"/>
    <n v="118.1"/>
    <n v="123.2"/>
    <n v="107.9"/>
    <n v="126.4"/>
    <n v="156.80000000000001"/>
    <n v="116.1"/>
    <n v="103.1"/>
    <n v="118.1"/>
    <n v="116.1"/>
    <n v="124.5"/>
    <n v="121.44166666666666"/>
    <n v="125.4"/>
    <n v="121.1"/>
    <n v="121.5"/>
    <n v="118.1"/>
    <n v="119.8"/>
    <n v="121"/>
    <n v="116.7"/>
    <n v="114.7"/>
    <n v="116.7"/>
    <n v="114.3"/>
    <n v="111.8"/>
    <n v="113.3"/>
    <n v="118.8"/>
    <n v="109.6"/>
    <n v="113.9"/>
    <n v="120.1"/>
  </r>
  <r>
    <x v="0"/>
    <x v="1"/>
    <x v="11"/>
    <n v="122.7"/>
    <n v="122.6"/>
    <n v="119.9"/>
    <n v="124"/>
    <n v="110.5"/>
    <n v="128.80000000000001"/>
    <n v="152"/>
    <n v="116.2"/>
    <n v="103.3"/>
    <n v="115.8"/>
    <n v="116.8"/>
    <n v="124.5"/>
    <n v="121.425"/>
    <n v="124.9"/>
    <n v="120.8"/>
    <n v="123.3"/>
    <n v="120.5"/>
    <n v="121.9"/>
    <n v="122.9"/>
    <s v="NA"/>
    <n v="117.3"/>
    <n v="118.1"/>
    <n v="115.9"/>
    <n v="112"/>
    <n v="113.3"/>
    <n v="117.2"/>
    <n v="108.8"/>
    <n v="114.1"/>
    <n v="121.1"/>
  </r>
  <r>
    <x v="1"/>
    <x v="1"/>
    <x v="11"/>
    <n v="124.5"/>
    <n v="125.6"/>
    <n v="122.7"/>
    <n v="124.6"/>
    <n v="103.2"/>
    <n v="122.2"/>
    <n v="153.19999999999999"/>
    <n v="119.3"/>
    <n v="99.8"/>
    <n v="124.6"/>
    <n v="115.8"/>
    <n v="126.9"/>
    <n v="121.86666666666666"/>
    <n v="125.4"/>
    <n v="125.8"/>
    <n v="120.3"/>
    <n v="115.4"/>
    <n v="117.85"/>
    <n v="119.5"/>
    <n v="117.1"/>
    <n v="112.6"/>
    <n v="116.4"/>
    <n v="113"/>
    <n v="109.7"/>
    <n v="114"/>
    <n v="120.3"/>
    <n v="109.6"/>
    <n v="113.4"/>
    <n v="119"/>
  </r>
  <r>
    <x v="2"/>
    <x v="1"/>
    <x v="11"/>
    <n v="123.3"/>
    <n v="123.7"/>
    <n v="121"/>
    <n v="124.2"/>
    <n v="107.8"/>
    <n v="125.7"/>
    <n v="152.4"/>
    <n v="117.2"/>
    <n v="102.1"/>
    <n v="118.7"/>
    <n v="116.4"/>
    <n v="125.6"/>
    <n v="121.50833333333334"/>
    <n v="125.1"/>
    <n v="122.1"/>
    <n v="122.1"/>
    <n v="118.4"/>
    <n v="120.25"/>
    <n v="121.6"/>
    <n v="117.1"/>
    <n v="115.5"/>
    <n v="117.3"/>
    <n v="114.8"/>
    <n v="110.8"/>
    <n v="113.7"/>
    <n v="119"/>
    <n v="109.1"/>
    <n v="113.8"/>
    <n v="120.1"/>
  </r>
  <r>
    <x v="0"/>
    <x v="1"/>
    <x v="12"/>
    <n v="122.4"/>
    <n v="122.4"/>
    <n v="121.8"/>
    <n v="124.2"/>
    <n v="110.2"/>
    <n v="128.6"/>
    <n v="140.30000000000001"/>
    <n v="116.3"/>
    <n v="102"/>
    <n v="116"/>
    <n v="117.3"/>
    <n v="124.8"/>
    <n v="120.52499999999999"/>
    <n v="123.3"/>
    <n v="121.7"/>
    <n v="123.8"/>
    <n v="120.6"/>
    <n v="122.19999999999999"/>
    <n v="123.3"/>
    <s v="NA"/>
    <n v="117.4"/>
    <n v="118.2"/>
    <n v="116.2"/>
    <n v="111.5"/>
    <n v="113.3"/>
    <n v="117.7"/>
    <n v="109.4"/>
    <n v="114.2"/>
    <n v="120.3"/>
  </r>
  <r>
    <x v="1"/>
    <x v="1"/>
    <x v="12"/>
    <n v="124"/>
    <n v="124.7"/>
    <n v="126.3"/>
    <n v="124.9"/>
    <n v="103"/>
    <n v="122.3"/>
    <n v="141"/>
    <n v="120.1"/>
    <n v="97.8"/>
    <n v="125.4"/>
    <n v="116.1"/>
    <n v="127.6"/>
    <n v="121.09999999999998"/>
    <n v="124"/>
    <n v="126.4"/>
    <n v="120.7"/>
    <n v="115.8"/>
    <n v="118.25"/>
    <n v="120"/>
    <n v="116.5"/>
    <n v="113"/>
    <n v="116.8"/>
    <n v="113.2"/>
    <n v="108.8"/>
    <n v="114.3"/>
    <n v="120.7"/>
    <n v="110.4"/>
    <n v="113.4"/>
    <n v="118.4"/>
  </r>
  <r>
    <x v="2"/>
    <x v="1"/>
    <x v="12"/>
    <n v="122.9"/>
    <n v="123.2"/>
    <n v="123.5"/>
    <n v="124.5"/>
    <n v="107.6"/>
    <n v="125.7"/>
    <n v="140.5"/>
    <n v="117.6"/>
    <n v="100.6"/>
    <n v="119.1"/>
    <n v="116.8"/>
    <n v="126.1"/>
    <n v="120.675"/>
    <n v="123.6"/>
    <n v="123"/>
    <n v="122.6"/>
    <n v="118.6"/>
    <n v="120.6"/>
    <n v="122"/>
    <n v="116.5"/>
    <n v="115.7"/>
    <n v="117.5"/>
    <n v="115.1"/>
    <n v="110.1"/>
    <n v="113.9"/>
    <n v="119.5"/>
    <n v="109.8"/>
    <n v="113.8"/>
    <n v="119.4"/>
  </r>
  <r>
    <x v="0"/>
    <x v="2"/>
    <x v="0"/>
    <n v="123.1"/>
    <n v="123.1"/>
    <n v="122.1"/>
    <n v="124.9"/>
    <n v="111"/>
    <n v="130.4"/>
    <n v="132.30000000000001"/>
    <n v="117.2"/>
    <n v="100.5"/>
    <n v="117.2"/>
    <n v="117.9"/>
    <n v="125.6"/>
    <n v="120.44166666666666"/>
    <n v="122.8"/>
    <n v="122.7"/>
    <n v="124.4"/>
    <n v="121.6"/>
    <n v="123"/>
    <n v="124"/>
    <s v="NA"/>
    <n v="118.4"/>
    <n v="118.9"/>
    <n v="116.6"/>
    <n v="111"/>
    <n v="114"/>
    <n v="118.2"/>
    <n v="110.2"/>
    <n v="114.5"/>
    <n v="120.3"/>
  </r>
  <r>
    <x v="1"/>
    <x v="2"/>
    <x v="0"/>
    <n v="124"/>
    <n v="125.5"/>
    <n v="126.6"/>
    <n v="125.2"/>
    <n v="104.3"/>
    <n v="121.3"/>
    <n v="134.4"/>
    <n v="122.9"/>
    <n v="96.1"/>
    <n v="126.6"/>
    <n v="116.5"/>
    <n v="128"/>
    <n v="120.94999999999999"/>
    <n v="123.5"/>
    <n v="127.4"/>
    <n v="121"/>
    <n v="116.1"/>
    <n v="118.55"/>
    <n v="120.2"/>
    <n v="117.3"/>
    <n v="113.4"/>
    <n v="117.2"/>
    <n v="113.7"/>
    <n v="107.9"/>
    <n v="114.6"/>
    <n v="120.8"/>
    <n v="111.4"/>
    <n v="113.4"/>
    <n v="118.5"/>
  </r>
  <r>
    <x v="2"/>
    <x v="2"/>
    <x v="0"/>
    <n v="123.4"/>
    <n v="123.9"/>
    <n v="123.8"/>
    <n v="125"/>
    <n v="108.5"/>
    <n v="126.2"/>
    <n v="133"/>
    <n v="119.1"/>
    <n v="99"/>
    <n v="120.3"/>
    <n v="117.3"/>
    <n v="126.7"/>
    <n v="120.51666666666667"/>
    <n v="123.1"/>
    <n v="124"/>
    <n v="123.1"/>
    <n v="119.3"/>
    <n v="121.19999999999999"/>
    <n v="122.5"/>
    <n v="117.3"/>
    <n v="116.5"/>
    <n v="118.1"/>
    <n v="115.5"/>
    <n v="109.4"/>
    <n v="114.3"/>
    <n v="119.7"/>
    <n v="110.7"/>
    <n v="114"/>
    <n v="119.5"/>
  </r>
  <r>
    <x v="0"/>
    <x v="2"/>
    <x v="1"/>
    <n v="123.4"/>
    <n v="124.4"/>
    <n v="122.1"/>
    <n v="125.8"/>
    <n v="111.5"/>
    <n v="129.4"/>
    <n v="128.19999999999999"/>
    <n v="118.8"/>
    <n v="100"/>
    <n v="118.6"/>
    <n v="118.8"/>
    <n v="126.8"/>
    <n v="120.64999999999998"/>
    <n v="122.8"/>
    <n v="124.2"/>
    <n v="125.4"/>
    <n v="122.7"/>
    <n v="124.05000000000001"/>
    <n v="125"/>
    <s v="NA"/>
    <n v="120"/>
    <n v="119.6"/>
    <n v="117.7"/>
    <n v="110.9"/>
    <n v="114.8"/>
    <n v="118.7"/>
    <n v="110.8"/>
    <n v="115"/>
    <n v="120.6"/>
  </r>
  <r>
    <x v="1"/>
    <x v="2"/>
    <x v="1"/>
    <n v="124.3"/>
    <n v="126.5"/>
    <n v="119.5"/>
    <n v="125.6"/>
    <n v="104.9"/>
    <n v="121.6"/>
    <n v="131.80000000000001"/>
    <n v="125.1"/>
    <n v="95"/>
    <n v="127.7"/>
    <n v="116.8"/>
    <n v="128.6"/>
    <n v="120.61666666666667"/>
    <n v="123.7"/>
    <n v="128.1"/>
    <n v="121.3"/>
    <n v="116.5"/>
    <n v="118.9"/>
    <n v="120.6"/>
    <n v="118.1"/>
    <n v="114"/>
    <n v="117.7"/>
    <n v="114.1"/>
    <n v="106.8"/>
    <n v="114.9"/>
    <n v="120.4"/>
    <n v="111.7"/>
    <n v="113.2"/>
    <n v="118.7"/>
  </r>
  <r>
    <x v="2"/>
    <x v="2"/>
    <x v="1"/>
    <n v="123.7"/>
    <n v="125.1"/>
    <n v="121.1"/>
    <n v="125.7"/>
    <n v="109.1"/>
    <n v="125.8"/>
    <n v="129.4"/>
    <n v="120.9"/>
    <n v="98.3"/>
    <n v="121.6"/>
    <n v="118"/>
    <n v="127.6"/>
    <n v="120.52499999999998"/>
    <n v="123.1"/>
    <n v="125.2"/>
    <n v="123.8"/>
    <n v="120.1"/>
    <n v="121.94999999999999"/>
    <n v="123.3"/>
    <n v="118.1"/>
    <n v="117.7"/>
    <n v="118.7"/>
    <n v="116.3"/>
    <n v="108.7"/>
    <n v="114.9"/>
    <n v="119.7"/>
    <n v="111.2"/>
    <n v="114.1"/>
    <n v="119.7"/>
  </r>
  <r>
    <x v="0"/>
    <x v="2"/>
    <x v="2"/>
    <n v="123.3"/>
    <n v="124.7"/>
    <n v="118.9"/>
    <n v="126"/>
    <n v="111.8"/>
    <n v="130.9"/>
    <n v="128"/>
    <n v="119.9"/>
    <n v="98.9"/>
    <n v="119.4"/>
    <n v="118.9"/>
    <n v="127.7"/>
    <n v="120.7"/>
    <n v="123.1"/>
    <n v="124.7"/>
    <n v="126"/>
    <n v="122.9"/>
    <n v="124.45"/>
    <n v="125.5"/>
    <s v="NA"/>
    <n v="120.6"/>
    <n v="120.2"/>
    <n v="118.2"/>
    <n v="111.6"/>
    <n v="115.5"/>
    <n v="119.4"/>
    <n v="110.8"/>
    <n v="115.5"/>
    <n v="121.1"/>
  </r>
  <r>
    <x v="1"/>
    <x v="2"/>
    <x v="2"/>
    <n v="124"/>
    <n v="126.7"/>
    <n v="113.5"/>
    <n v="125.9"/>
    <n v="104.8"/>
    <n v="123.8"/>
    <n v="131.4"/>
    <n v="127.2"/>
    <n v="93.2"/>
    <n v="127.4"/>
    <n v="117"/>
    <n v="129.19999999999999"/>
    <n v="120.34166666666668"/>
    <n v="123.9"/>
    <n v="128.80000000000001"/>
    <n v="121.7"/>
    <n v="116.9"/>
    <n v="119.30000000000001"/>
    <n v="120.9"/>
    <n v="118.6"/>
    <n v="114.4"/>
    <n v="118"/>
    <n v="114.3"/>
    <n v="108.4"/>
    <n v="115.4"/>
    <n v="120.6"/>
    <n v="111.3"/>
    <n v="113.8"/>
    <n v="119.1"/>
  </r>
  <r>
    <x v="2"/>
    <x v="2"/>
    <x v="2"/>
    <n v="123.5"/>
    <n v="125.4"/>
    <n v="116.8"/>
    <n v="126"/>
    <n v="109.2"/>
    <n v="127.6"/>
    <n v="129.19999999999999"/>
    <n v="122.4"/>
    <n v="97"/>
    <n v="122.1"/>
    <n v="118.1"/>
    <n v="128.4"/>
    <n v="120.47499999999998"/>
    <n v="123.4"/>
    <n v="125.8"/>
    <n v="124.3"/>
    <n v="120.4"/>
    <n v="122.35"/>
    <n v="123.7"/>
    <n v="118.6"/>
    <n v="118.3"/>
    <n v="119.2"/>
    <n v="116.7"/>
    <n v="109.9"/>
    <n v="115.4"/>
    <n v="120.1"/>
    <n v="111"/>
    <n v="114.7"/>
    <n v="120.2"/>
  </r>
  <r>
    <x v="0"/>
    <x v="2"/>
    <x v="3"/>
    <n v="123.3"/>
    <n v="125.5"/>
    <n v="117.2"/>
    <n v="126.8"/>
    <n v="111.9"/>
    <n v="134.19999999999999"/>
    <n v="127.5"/>
    <n v="121.5"/>
    <n v="97.8"/>
    <n v="119.8"/>
    <n v="119.4"/>
    <n v="128.69999999999999"/>
    <n v="121.13333333333334"/>
    <n v="123.6"/>
    <n v="125.7"/>
    <n v="126.4"/>
    <n v="123.3"/>
    <n v="124.85"/>
    <n v="126"/>
    <s v="NA"/>
    <n v="121.2"/>
    <n v="120.9"/>
    <n v="118.6"/>
    <n v="111.9"/>
    <n v="116.2"/>
    <n v="119.9"/>
    <n v="111.6"/>
    <n v="116"/>
    <n v="121.5"/>
  </r>
  <r>
    <x v="1"/>
    <x v="2"/>
    <x v="3"/>
    <n v="123.8"/>
    <n v="128.19999999999999"/>
    <n v="110"/>
    <n v="126.3"/>
    <n v="104.5"/>
    <n v="130.6"/>
    <n v="130.80000000000001"/>
    <n v="131.30000000000001"/>
    <n v="91.6"/>
    <n v="127.7"/>
    <n v="117.2"/>
    <n v="129.5"/>
    <n v="120.95833333333333"/>
    <n v="124.6"/>
    <n v="130.1"/>
    <n v="122.1"/>
    <n v="117.2"/>
    <n v="119.65"/>
    <n v="121.3"/>
    <n v="119.2"/>
    <n v="114.7"/>
    <n v="118.4"/>
    <n v="114.6"/>
    <n v="108.4"/>
    <n v="115.6"/>
    <n v="121.7"/>
    <n v="111.8"/>
    <n v="114.2"/>
    <n v="119.7"/>
  </r>
  <r>
    <x v="2"/>
    <x v="2"/>
    <x v="3"/>
    <n v="123.5"/>
    <n v="126.4"/>
    <n v="114.4"/>
    <n v="126.6"/>
    <n v="109.2"/>
    <n v="132.5"/>
    <n v="128.6"/>
    <n v="124.8"/>
    <n v="95.7"/>
    <n v="122.4"/>
    <n v="118.5"/>
    <n v="129.1"/>
    <n v="120.97500000000001"/>
    <n v="124"/>
    <n v="126.9"/>
    <n v="124.7"/>
    <n v="120.8"/>
    <n v="122.75"/>
    <n v="124.1"/>
    <n v="119.2"/>
    <n v="118.7"/>
    <n v="119.7"/>
    <n v="117.1"/>
    <n v="110.1"/>
    <n v="115.9"/>
    <n v="121"/>
    <n v="111.7"/>
    <n v="115.1"/>
    <n v="120.7"/>
  </r>
  <r>
    <x v="0"/>
    <x v="2"/>
    <x v="4"/>
    <n v="123.5"/>
    <n v="127.1"/>
    <n v="117.3"/>
    <n v="127.7"/>
    <n v="112.5"/>
    <n v="134.1"/>
    <n v="128.5"/>
    <n v="124.3"/>
    <n v="97.6"/>
    <n v="120.7"/>
    <n v="120.2"/>
    <n v="129.80000000000001"/>
    <n v="121.94166666666666"/>
    <n v="124.4"/>
    <n v="126.7"/>
    <n v="127.3"/>
    <n v="124.1"/>
    <n v="125.69999999999999"/>
    <n v="126.8"/>
    <s v="NA"/>
    <n v="121.9"/>
    <n v="121.5"/>
    <n v="119.4"/>
    <n v="113.3"/>
    <n v="116.7"/>
    <n v="120.5"/>
    <n v="112.3"/>
    <n v="116.9"/>
    <n v="122.4"/>
  </r>
  <r>
    <x v="1"/>
    <x v="2"/>
    <x v="4"/>
    <n v="123.8"/>
    <n v="129.69999999999999"/>
    <n v="111.3"/>
    <n v="126.6"/>
    <n v="105.2"/>
    <n v="130.80000000000001"/>
    <n v="135.6"/>
    <n v="142.6"/>
    <n v="90.8"/>
    <n v="128.80000000000001"/>
    <n v="117.7"/>
    <n v="129.9"/>
    <n v="122.73333333333335"/>
    <n v="126.1"/>
    <n v="131.30000000000001"/>
    <n v="122.4"/>
    <n v="117.4"/>
    <n v="119.9"/>
    <n v="121.6"/>
    <n v="119.6"/>
    <n v="114.9"/>
    <n v="118.7"/>
    <n v="114.9"/>
    <n v="110.8"/>
    <n v="116"/>
    <n v="122"/>
    <n v="112.4"/>
    <n v="115.2"/>
    <n v="120.7"/>
  </r>
  <r>
    <x v="2"/>
    <x v="2"/>
    <x v="4"/>
    <n v="123.6"/>
    <n v="128"/>
    <n v="115"/>
    <n v="127.3"/>
    <n v="109.8"/>
    <n v="132.6"/>
    <n v="130.9"/>
    <n v="130.5"/>
    <n v="95.3"/>
    <n v="123.4"/>
    <n v="119.2"/>
    <n v="129.80000000000001"/>
    <n v="122.11666666666667"/>
    <n v="125"/>
    <n v="127.9"/>
    <n v="125.4"/>
    <n v="121.3"/>
    <n v="123.35"/>
    <n v="124.7"/>
    <n v="119.6"/>
    <n v="119.2"/>
    <n v="120.2"/>
    <n v="117.7"/>
    <n v="112"/>
    <n v="116.3"/>
    <n v="121.4"/>
    <n v="112.3"/>
    <n v="116.1"/>
    <n v="121.6"/>
  </r>
  <r>
    <x v="0"/>
    <x v="2"/>
    <x v="5"/>
    <n v="124.1"/>
    <n v="130.4"/>
    <n v="122.1"/>
    <n v="128.69999999999999"/>
    <n v="114.1"/>
    <n v="133.19999999999999"/>
    <n v="135.19999999999999"/>
    <n v="131.9"/>
    <n v="96.3"/>
    <n v="123"/>
    <n v="121.1"/>
    <n v="131.19999999999999"/>
    <n v="124.27499999999999"/>
    <n v="126.6"/>
    <n v="128.19999999999999"/>
    <n v="128.4"/>
    <n v="125.1"/>
    <n v="126.75"/>
    <n v="128"/>
    <s v="NA"/>
    <n v="122.6"/>
    <n v="122.8"/>
    <n v="120.4"/>
    <n v="114.2"/>
    <n v="117.9"/>
    <n v="122"/>
    <n v="113"/>
    <n v="117.9"/>
    <n v="124.1"/>
  </r>
  <r>
    <x v="1"/>
    <x v="2"/>
    <x v="5"/>
    <n v="123.6"/>
    <n v="134.4"/>
    <n v="120.9"/>
    <n v="127.3"/>
    <n v="106"/>
    <n v="132.30000000000001"/>
    <n v="146.69999999999999"/>
    <n v="148.1"/>
    <n v="89.8"/>
    <n v="130.5"/>
    <n v="118"/>
    <n v="130.5"/>
    <n v="125.675"/>
    <n v="128.5"/>
    <n v="132.1"/>
    <n v="123.2"/>
    <n v="117.6"/>
    <n v="120.4"/>
    <n v="122.3"/>
    <n v="119"/>
    <n v="115.1"/>
    <n v="119.2"/>
    <n v="115.4"/>
    <n v="111.7"/>
    <n v="116.2"/>
    <n v="123.8"/>
    <n v="112.5"/>
    <n v="116"/>
    <n v="121.7"/>
  </r>
  <r>
    <x v="2"/>
    <x v="2"/>
    <x v="5"/>
    <n v="123.9"/>
    <n v="131.80000000000001"/>
    <n v="121.6"/>
    <n v="128.19999999999999"/>
    <n v="111.1"/>
    <n v="132.80000000000001"/>
    <n v="139.1"/>
    <n v="137.4"/>
    <n v="94.1"/>
    <n v="125.5"/>
    <n v="119.8"/>
    <n v="130.9"/>
    <n v="124.68333333333334"/>
    <n v="127.3"/>
    <n v="129.19999999999999"/>
    <n v="126.4"/>
    <n v="122"/>
    <n v="124.2"/>
    <n v="125.7"/>
    <n v="119"/>
    <n v="119.8"/>
    <n v="121.1"/>
    <n v="118.5"/>
    <n v="112.9"/>
    <n v="116.9"/>
    <n v="123.1"/>
    <n v="112.8"/>
    <n v="117"/>
    <n v="123"/>
  </r>
  <r>
    <x v="0"/>
    <x v="2"/>
    <x v="6"/>
    <n v="124"/>
    <n v="131.5"/>
    <n v="122"/>
    <n v="128.69999999999999"/>
    <n v="113.5"/>
    <n v="133.30000000000001"/>
    <n v="140.80000000000001"/>
    <n v="133.80000000000001"/>
    <n v="94.1"/>
    <n v="123.4"/>
    <n v="121"/>
    <n v="131.69999999999999"/>
    <n v="124.81666666666666"/>
    <n v="127.5"/>
    <n v="129.4"/>
    <n v="128.80000000000001"/>
    <n v="125.5"/>
    <n v="127.15"/>
    <n v="128.30000000000001"/>
    <s v="NA"/>
    <n v="123"/>
    <n v="123"/>
    <n v="120.8"/>
    <n v="114.1"/>
    <n v="118"/>
    <n v="122.9"/>
    <n v="112.7"/>
    <n v="118.1"/>
    <n v="124.7"/>
  </r>
  <r>
    <x v="1"/>
    <x v="2"/>
    <x v="6"/>
    <n v="123.2"/>
    <n v="134.30000000000001"/>
    <n v="119.5"/>
    <n v="127.7"/>
    <n v="106.3"/>
    <n v="132.80000000000001"/>
    <n v="153.5"/>
    <n v="149.5"/>
    <n v="85.7"/>
    <n v="131.5"/>
    <n v="118.3"/>
    <n v="131.1"/>
    <n v="126.11666666666666"/>
    <n v="129.5"/>
    <n v="133.1"/>
    <n v="123.5"/>
    <n v="117.9"/>
    <n v="120.7"/>
    <n v="122.7"/>
    <n v="119.9"/>
    <n v="115.3"/>
    <n v="119.5"/>
    <n v="116"/>
    <n v="111.5"/>
    <n v="116.6"/>
    <n v="125.4"/>
    <n v="111.7"/>
    <n v="116.3"/>
    <n v="122.4"/>
  </r>
  <r>
    <x v="2"/>
    <x v="2"/>
    <x v="6"/>
    <n v="123.7"/>
    <n v="132.5"/>
    <n v="121"/>
    <n v="128.30000000000001"/>
    <n v="110.9"/>
    <n v="133.1"/>
    <n v="145.1"/>
    <n v="139.1"/>
    <n v="91.3"/>
    <n v="126.1"/>
    <n v="119.9"/>
    <n v="131.4"/>
    <n v="125.2"/>
    <n v="128.19999999999999"/>
    <n v="130.4"/>
    <n v="126.7"/>
    <n v="122.3"/>
    <n v="124.5"/>
    <n v="126.1"/>
    <n v="119.9"/>
    <n v="120.1"/>
    <n v="121.3"/>
    <n v="119"/>
    <n v="112.7"/>
    <n v="117.2"/>
    <n v="124.4"/>
    <n v="112.3"/>
    <n v="117.2"/>
    <n v="123.6"/>
  </r>
  <r>
    <x v="0"/>
    <x v="2"/>
    <x v="7"/>
    <n v="124.7"/>
    <n v="131.30000000000001"/>
    <n v="121.3"/>
    <n v="128.80000000000001"/>
    <n v="114"/>
    <n v="134.19999999999999"/>
    <n v="153.6"/>
    <n v="137.9"/>
    <n v="93.1"/>
    <n v="123.9"/>
    <n v="121.5"/>
    <n v="132.5"/>
    <n v="126.39999999999999"/>
    <n v="129.80000000000001"/>
    <n v="130.1"/>
    <n v="129.5"/>
    <n v="126.3"/>
    <n v="127.9"/>
    <n v="129"/>
    <s v="NA"/>
    <n v="123.8"/>
    <n v="123.7"/>
    <n v="121.1"/>
    <n v="113.6"/>
    <n v="118.5"/>
    <n v="123.6"/>
    <n v="112.5"/>
    <n v="118.2"/>
    <n v="126.1"/>
  </r>
  <r>
    <x v="1"/>
    <x v="2"/>
    <x v="7"/>
    <n v="123.1"/>
    <n v="131.69999999999999"/>
    <n v="118.1"/>
    <n v="128"/>
    <n v="106.8"/>
    <n v="130.1"/>
    <n v="165.5"/>
    <n v="156"/>
    <n v="85.3"/>
    <n v="132.69999999999999"/>
    <n v="118.8"/>
    <n v="131.69999999999999"/>
    <n v="127.31666666666666"/>
    <n v="131.1"/>
    <n v="134.19999999999999"/>
    <n v="123.7"/>
    <n v="118.2"/>
    <n v="120.95"/>
    <n v="122.9"/>
    <n v="120.9"/>
    <n v="115.3"/>
    <n v="120"/>
    <n v="116.6"/>
    <n v="109.9"/>
    <n v="117.2"/>
    <n v="126.2"/>
    <n v="112"/>
    <n v="116.2"/>
    <n v="123.2"/>
  </r>
  <r>
    <x v="2"/>
    <x v="2"/>
    <x v="7"/>
    <n v="124.2"/>
    <n v="131.4"/>
    <n v="120.1"/>
    <n v="128.5"/>
    <n v="111.4"/>
    <n v="132.30000000000001"/>
    <n v="157.6"/>
    <n v="144"/>
    <n v="90.5"/>
    <n v="126.8"/>
    <n v="120.4"/>
    <n v="132.1"/>
    <n v="126.60833333333333"/>
    <n v="130.30000000000001"/>
    <n v="131.19999999999999"/>
    <n v="127.2"/>
    <n v="122.9"/>
    <n v="125.05000000000001"/>
    <n v="126.6"/>
    <n v="120.9"/>
    <n v="120.6"/>
    <n v="122"/>
    <n v="119.4"/>
    <n v="111.7"/>
    <n v="117.8"/>
    <n v="125.1"/>
    <n v="112.3"/>
    <n v="117.2"/>
    <n v="124.8"/>
  </r>
  <r>
    <x v="0"/>
    <x v="2"/>
    <x v="8"/>
    <n v="125.1"/>
    <n v="131.1"/>
    <n v="120.7"/>
    <n v="129.19999999999999"/>
    <n v="114.7"/>
    <n v="132.30000000000001"/>
    <n v="158.9"/>
    <n v="142.1"/>
    <n v="92.5"/>
    <n v="125.4"/>
    <n v="121.9"/>
    <n v="132.69999999999999"/>
    <n v="127.21666666666668"/>
    <n v="131"/>
    <n v="131"/>
    <n v="130.4"/>
    <n v="126.8"/>
    <n v="128.6"/>
    <n v="129.9"/>
    <s v="NA"/>
    <n v="123.7"/>
    <n v="124.5"/>
    <n v="121.4"/>
    <n v="113.8"/>
    <n v="119.6"/>
    <n v="124.5"/>
    <n v="113.7"/>
    <n v="118.8"/>
    <n v="127"/>
  </r>
  <r>
    <x v="1"/>
    <x v="2"/>
    <x v="8"/>
    <n v="123.4"/>
    <n v="129"/>
    <n v="115.6"/>
    <n v="128.30000000000001"/>
    <n v="107"/>
    <n v="124"/>
    <n v="168.5"/>
    <n v="165.4"/>
    <n v="86.3"/>
    <n v="134.4"/>
    <n v="119.1"/>
    <n v="132.30000000000001"/>
    <n v="127.77499999999999"/>
    <n v="131.5"/>
    <n v="134.69999999999999"/>
    <n v="124"/>
    <n v="118.6"/>
    <n v="121.3"/>
    <n v="123.2"/>
    <n v="121.6"/>
    <n v="115.1"/>
    <n v="120.4"/>
    <n v="117.1"/>
    <n v="109.1"/>
    <n v="117.3"/>
    <n v="126.5"/>
    <n v="112.9"/>
    <n v="116.2"/>
    <n v="123.5"/>
  </r>
  <r>
    <x v="2"/>
    <x v="2"/>
    <x v="8"/>
    <n v="124.6"/>
    <n v="130.4"/>
    <n v="118.7"/>
    <n v="128.9"/>
    <n v="111.9"/>
    <n v="128.4"/>
    <n v="162.19999999999999"/>
    <n v="150"/>
    <n v="90.4"/>
    <n v="128.4"/>
    <n v="120.7"/>
    <n v="132.5"/>
    <n v="127.25833333333334"/>
    <n v="131.19999999999999"/>
    <n v="132"/>
    <n v="127.9"/>
    <n v="123.4"/>
    <n v="125.65"/>
    <n v="127.2"/>
    <n v="121.6"/>
    <n v="120.4"/>
    <n v="122.6"/>
    <n v="119.8"/>
    <n v="111.3"/>
    <n v="118.3"/>
    <n v="125.7"/>
    <n v="113.4"/>
    <n v="117.5"/>
    <n v="125.4"/>
  </r>
  <r>
    <x v="0"/>
    <x v="2"/>
    <x v="9"/>
    <n v="125.6"/>
    <n v="130.4"/>
    <n v="120.8"/>
    <n v="129.4"/>
    <n v="115.8"/>
    <n v="133.19999999999999"/>
    <n v="157.69999999999999"/>
    <n v="154.19999999999999"/>
    <n v="93.7"/>
    <n v="126.6"/>
    <n v="122.3"/>
    <n v="133.1"/>
    <n v="128.56666666666666"/>
    <n v="131.80000000000001"/>
    <n v="131.5"/>
    <n v="131.1"/>
    <n v="127.3"/>
    <n v="129.19999999999999"/>
    <n v="130.6"/>
    <s v="NA"/>
    <n v="124.4"/>
    <n v="125.1"/>
    <n v="122"/>
    <n v="113.8"/>
    <n v="120.1"/>
    <n v="125.1"/>
    <n v="114.2"/>
    <n v="119.2"/>
    <n v="127.7"/>
  </r>
  <r>
    <x v="1"/>
    <x v="2"/>
    <x v="9"/>
    <n v="123.6"/>
    <n v="128.6"/>
    <n v="115.9"/>
    <n v="128.5"/>
    <n v="109"/>
    <n v="124.1"/>
    <n v="165.8"/>
    <n v="187.2"/>
    <n v="89.4"/>
    <n v="135.80000000000001"/>
    <n v="119.4"/>
    <n v="132.9"/>
    <n v="130.01666666666668"/>
    <n v="132.6"/>
    <n v="135.30000000000001"/>
    <n v="124.4"/>
    <n v="118.8"/>
    <n v="121.6"/>
    <n v="123.6"/>
    <n v="122.4"/>
    <n v="114.9"/>
    <n v="120.7"/>
    <n v="117.7"/>
    <n v="109.3"/>
    <n v="117.7"/>
    <n v="126.5"/>
    <n v="113.5"/>
    <n v="116.5"/>
    <n v="124.2"/>
  </r>
  <r>
    <x v="2"/>
    <x v="2"/>
    <x v="9"/>
    <n v="125"/>
    <n v="129.80000000000001"/>
    <n v="118.9"/>
    <n v="129.1"/>
    <n v="113.3"/>
    <n v="129"/>
    <n v="160.4"/>
    <n v="165.3"/>
    <n v="92.3"/>
    <n v="129.69999999999999"/>
    <n v="121.1"/>
    <n v="133"/>
    <n v="128.90833333333333"/>
    <n v="132.1"/>
    <n v="132.5"/>
    <n v="128.5"/>
    <n v="123.8"/>
    <n v="126.15"/>
    <n v="127.8"/>
    <n v="122.4"/>
    <n v="120.8"/>
    <n v="123"/>
    <n v="120.4"/>
    <n v="111.4"/>
    <n v="118.7"/>
    <n v="125.9"/>
    <n v="113.9"/>
    <n v="117.9"/>
    <n v="126.1"/>
  </r>
  <r>
    <x v="0"/>
    <x v="2"/>
    <x v="11"/>
    <n v="126.1"/>
    <n v="130.6"/>
    <n v="121.7"/>
    <n v="129.5"/>
    <n v="117.8"/>
    <n v="132.1"/>
    <n v="155.19999999999999"/>
    <n v="160.80000000000001"/>
    <n v="94.5"/>
    <n v="128.30000000000001"/>
    <n v="123.1"/>
    <n v="134.19999999999999"/>
    <n v="129.49166666666665"/>
    <n v="132.4"/>
    <n v="132.19999999999999"/>
    <n v="132.1"/>
    <n v="128.19999999999999"/>
    <n v="130.14999999999998"/>
    <n v="131.5"/>
    <s v="NA"/>
    <n v="125.6"/>
    <n v="125.6"/>
    <n v="122.6"/>
    <n v="114"/>
    <n v="120.9"/>
    <n v="125.8"/>
    <n v="114.2"/>
    <n v="119.6"/>
    <n v="128.30000000000001"/>
  </r>
  <r>
    <x v="1"/>
    <x v="2"/>
    <x v="11"/>
    <n v="124"/>
    <n v="129.80000000000001"/>
    <n v="121.5"/>
    <n v="128.6"/>
    <n v="110"/>
    <n v="123.7"/>
    <n v="164.6"/>
    <n v="191.6"/>
    <n v="90.8"/>
    <n v="137.1"/>
    <n v="119.8"/>
    <n v="133.69999999999999"/>
    <n v="131.26666666666665"/>
    <n v="133.30000000000001"/>
    <n v="137.6"/>
    <n v="125"/>
    <n v="119.3"/>
    <n v="122.15"/>
    <n v="124.2"/>
    <n v="122.9"/>
    <n v="115.1"/>
    <n v="121"/>
    <n v="118.1"/>
    <n v="109.3"/>
    <n v="117.9"/>
    <n v="126.6"/>
    <n v="113.3"/>
    <n v="116.6"/>
    <n v="124.6"/>
  </r>
  <r>
    <x v="2"/>
    <x v="2"/>
    <x v="11"/>
    <n v="125.4"/>
    <n v="130.30000000000001"/>
    <n v="121.6"/>
    <n v="129.19999999999999"/>
    <n v="114.9"/>
    <n v="128.19999999999999"/>
    <n v="158.4"/>
    <n v="171.2"/>
    <n v="93.3"/>
    <n v="131.19999999999999"/>
    <n v="121.7"/>
    <n v="134"/>
    <n v="129.94999999999999"/>
    <n v="132.69999999999999"/>
    <n v="133.6"/>
    <n v="129.30000000000001"/>
    <n v="124.5"/>
    <n v="126.9"/>
    <n v="128.6"/>
    <n v="122.9"/>
    <n v="121.6"/>
    <n v="123.4"/>
    <n v="120.9"/>
    <n v="111.5"/>
    <n v="119.2"/>
    <n v="126.3"/>
    <n v="113.8"/>
    <n v="118.1"/>
    <n v="126.6"/>
  </r>
  <r>
    <x v="0"/>
    <x v="2"/>
    <x v="12"/>
    <n v="126.3"/>
    <n v="131.30000000000001"/>
    <n v="123.3"/>
    <n v="129.80000000000001"/>
    <n v="118.3"/>
    <n v="131.6"/>
    <n v="145.5"/>
    <n v="162.1"/>
    <n v="95.4"/>
    <n v="128.9"/>
    <n v="123.3"/>
    <n v="135.1"/>
    <n v="129.24166666666667"/>
    <n v="131.4"/>
    <n v="133.1"/>
    <n v="132.5"/>
    <n v="128.5"/>
    <n v="130.5"/>
    <n v="131.9"/>
    <s v="NA"/>
    <n v="125.7"/>
    <n v="126"/>
    <n v="123.1"/>
    <n v="114"/>
    <n v="121.6"/>
    <n v="125.6"/>
    <n v="114.1"/>
    <n v="119.8"/>
    <n v="127.9"/>
  </r>
  <r>
    <x v="1"/>
    <x v="2"/>
    <x v="12"/>
    <n v="124.3"/>
    <n v="131.69999999999999"/>
    <n v="127.1"/>
    <n v="128.6"/>
    <n v="110"/>
    <n v="120.8"/>
    <n v="149"/>
    <n v="190.1"/>
    <n v="92.7"/>
    <n v="138.6"/>
    <n v="120.2"/>
    <n v="134.19999999999999"/>
    <n v="130.60833333333332"/>
    <n v="131.5"/>
    <n v="138.19999999999999"/>
    <n v="125.4"/>
    <n v="119.5"/>
    <n v="122.45"/>
    <n v="124.5"/>
    <n v="122.4"/>
    <n v="116"/>
    <n v="121"/>
    <n v="118.6"/>
    <n v="109.3"/>
    <n v="118.1"/>
    <n v="126.6"/>
    <n v="113.2"/>
    <n v="116.7"/>
    <n v="124"/>
  </r>
  <r>
    <x v="2"/>
    <x v="2"/>
    <x v="12"/>
    <n v="125.7"/>
    <n v="131.4"/>
    <n v="124.8"/>
    <n v="129.4"/>
    <n v="115.3"/>
    <n v="126.6"/>
    <n v="146.69999999999999"/>
    <n v="171.5"/>
    <n v="94.5"/>
    <n v="132.1"/>
    <n v="122"/>
    <n v="134.69999999999999"/>
    <n v="129.55833333333334"/>
    <n v="131.4"/>
    <n v="134.5"/>
    <n v="129.69999999999999"/>
    <n v="124.8"/>
    <n v="127.25"/>
    <n v="129"/>
    <n v="122.4"/>
    <n v="122"/>
    <n v="123.6"/>
    <n v="121.4"/>
    <n v="111.5"/>
    <n v="119.6"/>
    <n v="126.2"/>
    <n v="113.7"/>
    <n v="118.3"/>
    <n v="126.1"/>
  </r>
  <r>
    <x v="0"/>
    <x v="3"/>
    <x v="0"/>
    <n v="126.8"/>
    <n v="133.19999999999999"/>
    <n v="126.5"/>
    <n v="130.30000000000001"/>
    <n v="118.9"/>
    <n v="131.6"/>
    <n v="140.1"/>
    <n v="163.80000000000001"/>
    <n v="97.7"/>
    <n v="129.6"/>
    <n v="124.3"/>
    <n v="135.9"/>
    <n v="129.89166666666668"/>
    <n v="131.4"/>
    <n v="133.6"/>
    <n v="133.19999999999999"/>
    <n v="128.9"/>
    <n v="131.05000000000001"/>
    <n v="132.6"/>
    <s v="NA"/>
    <n v="126.2"/>
    <n v="126.6"/>
    <n v="123.7"/>
    <n v="113.6"/>
    <n v="121.4"/>
    <n v="126.2"/>
    <n v="114.9"/>
    <n v="120.1"/>
    <n v="128.1"/>
  </r>
  <r>
    <x v="1"/>
    <x v="3"/>
    <x v="0"/>
    <n v="124.7"/>
    <n v="135.9"/>
    <n v="132"/>
    <n v="129.19999999999999"/>
    <n v="109.7"/>
    <n v="119"/>
    <n v="144.1"/>
    <n v="184.2"/>
    <n v="96.7"/>
    <n v="139.5"/>
    <n v="120.5"/>
    <n v="134.69999999999999"/>
    <n v="130.85"/>
    <n v="131.19999999999999"/>
    <n v="139.5"/>
    <n v="125.8"/>
    <n v="119.8"/>
    <n v="122.8"/>
    <n v="124.9"/>
    <n v="123.4"/>
    <n v="116.9"/>
    <n v="121.6"/>
    <n v="119.1"/>
    <n v="108.9"/>
    <n v="118.5"/>
    <n v="126.4"/>
    <n v="114"/>
    <n v="116.8"/>
    <n v="124.2"/>
  </r>
  <r>
    <x v="2"/>
    <x v="3"/>
    <x v="0"/>
    <n v="126.1"/>
    <n v="134.1"/>
    <n v="128.6"/>
    <n v="129.9"/>
    <n v="115.5"/>
    <n v="125.7"/>
    <n v="141.5"/>
    <n v="170.7"/>
    <n v="97.4"/>
    <n v="132.9"/>
    <n v="122.7"/>
    <n v="135.30000000000001"/>
    <n v="130.03333333333333"/>
    <n v="131.30000000000001"/>
    <n v="135.19999999999999"/>
    <n v="130.30000000000001"/>
    <n v="125.1"/>
    <n v="127.7"/>
    <n v="129.5"/>
    <n v="123.4"/>
    <n v="122.7"/>
    <n v="124.2"/>
    <n v="122"/>
    <n v="111.1"/>
    <n v="119.8"/>
    <n v="126.3"/>
    <n v="114.5"/>
    <n v="118.5"/>
    <n v="126.3"/>
  </r>
  <r>
    <x v="0"/>
    <x v="3"/>
    <x v="1"/>
    <n v="127.1"/>
    <n v="133.69999999999999"/>
    <n v="127.7"/>
    <n v="130.69999999999999"/>
    <n v="118.5"/>
    <n v="130.4"/>
    <n v="130.9"/>
    <n v="162.80000000000001"/>
    <n v="98.7"/>
    <n v="130.6"/>
    <n v="124.8"/>
    <n v="136.4"/>
    <n v="129.35833333333332"/>
    <n v="130.30000000000001"/>
    <n v="134.4"/>
    <n v="133.9"/>
    <n v="129.80000000000001"/>
    <n v="131.85000000000002"/>
    <n v="133.4"/>
    <s v="NA"/>
    <n v="127.5"/>
    <n v="127.1"/>
    <n v="124.3"/>
    <n v="113.9"/>
    <n v="122.3"/>
    <n v="127.1"/>
    <n v="116.8"/>
    <n v="120.9"/>
    <n v="127.9"/>
  </r>
  <r>
    <x v="1"/>
    <x v="3"/>
    <x v="1"/>
    <n v="124.8"/>
    <n v="135.1"/>
    <n v="130.30000000000001"/>
    <n v="129.6"/>
    <n v="108.4"/>
    <n v="118.6"/>
    <n v="129.19999999999999"/>
    <n v="176.4"/>
    <n v="99.1"/>
    <n v="139.69999999999999"/>
    <n v="120.6"/>
    <n v="135.19999999999999"/>
    <n v="128.91666666666666"/>
    <n v="129.1"/>
    <n v="140"/>
    <n v="126.2"/>
    <n v="120.1"/>
    <n v="123.15"/>
    <n v="125.3"/>
    <n v="124.4"/>
    <n v="116"/>
    <n v="121.8"/>
    <n v="119.5"/>
    <n v="109.1"/>
    <n v="118.8"/>
    <n v="126.3"/>
    <n v="116.2"/>
    <n v="117.2"/>
    <n v="123.8"/>
  </r>
  <r>
    <x v="2"/>
    <x v="3"/>
    <x v="1"/>
    <n v="126.4"/>
    <n v="134.19999999999999"/>
    <n v="128.69999999999999"/>
    <n v="130.30000000000001"/>
    <n v="114.8"/>
    <n v="124.9"/>
    <n v="130.30000000000001"/>
    <n v="167.4"/>
    <n v="98.8"/>
    <n v="133.6"/>
    <n v="123"/>
    <n v="135.80000000000001"/>
    <n v="129.01666666666665"/>
    <n v="129.9"/>
    <n v="135.9"/>
    <n v="130.9"/>
    <n v="125.8"/>
    <n v="128.35"/>
    <n v="130.19999999999999"/>
    <n v="124.4"/>
    <n v="123.1"/>
    <n v="124.6"/>
    <n v="122.5"/>
    <n v="111.4"/>
    <n v="120.3"/>
    <n v="126.6"/>
    <n v="116.6"/>
    <n v="119.1"/>
    <n v="126"/>
  </r>
  <r>
    <x v="0"/>
    <x v="3"/>
    <x v="2"/>
    <n v="127.3"/>
    <n v="134.4"/>
    <n v="125.1"/>
    <n v="130.5"/>
    <n v="118.3"/>
    <n v="131.69999999999999"/>
    <n v="130.69999999999999"/>
    <n v="161.19999999999999"/>
    <n v="100.4"/>
    <n v="130.80000000000001"/>
    <n v="124.9"/>
    <n v="137"/>
    <n v="129.35833333333335"/>
    <n v="130.4"/>
    <n v="135"/>
    <n v="134.4"/>
    <n v="130.19999999999999"/>
    <n v="132.30000000000001"/>
    <n v="133.80000000000001"/>
    <s v="NA"/>
    <n v="127"/>
    <n v="127.7"/>
    <n v="124.8"/>
    <n v="113.6"/>
    <n v="122.5"/>
    <n v="127.5"/>
    <n v="117.4"/>
    <n v="121.1"/>
    <n v="128"/>
  </r>
  <r>
    <x v="1"/>
    <x v="3"/>
    <x v="2"/>
    <n v="124.8"/>
    <n v="136.30000000000001"/>
    <n v="123.7"/>
    <n v="129.69999999999999"/>
    <n v="107.9"/>
    <n v="119.9"/>
    <n v="128.1"/>
    <n v="170.3"/>
    <n v="101.8"/>
    <n v="140.1"/>
    <n v="120.7"/>
    <n v="135.4"/>
    <n v="128.22499999999999"/>
    <n v="128.9"/>
    <n v="140.6"/>
    <n v="126.4"/>
    <n v="120.3"/>
    <n v="123.35"/>
    <n v="125.5"/>
    <n v="124.9"/>
    <n v="114.8"/>
    <n v="122.3"/>
    <n v="119.7"/>
    <n v="108.5"/>
    <n v="119.1"/>
    <n v="126.4"/>
    <n v="117.1"/>
    <n v="117.3"/>
    <n v="123.8"/>
  </r>
  <r>
    <x v="2"/>
    <x v="3"/>
    <x v="2"/>
    <n v="126.5"/>
    <n v="135.1"/>
    <n v="124.6"/>
    <n v="130.19999999999999"/>
    <n v="114.5"/>
    <n v="126.2"/>
    <n v="129.80000000000001"/>
    <n v="164.3"/>
    <n v="100.9"/>
    <n v="133.9"/>
    <n v="123.1"/>
    <n v="136.30000000000001"/>
    <n v="128.78333333333333"/>
    <n v="129.80000000000001"/>
    <n v="136.5"/>
    <n v="131.30000000000001"/>
    <n v="126.1"/>
    <n v="128.69999999999999"/>
    <n v="130.5"/>
    <n v="124.9"/>
    <n v="122.4"/>
    <n v="125.1"/>
    <n v="122.9"/>
    <n v="110.9"/>
    <n v="120.6"/>
    <n v="126.9"/>
    <n v="117.3"/>
    <n v="119.3"/>
    <n v="126"/>
  </r>
  <r>
    <x v="0"/>
    <x v="3"/>
    <x v="3"/>
    <n v="127.4"/>
    <n v="135.4"/>
    <n v="123.4"/>
    <n v="131.30000000000001"/>
    <n v="118.2"/>
    <n v="138.1"/>
    <n v="134.1"/>
    <n v="162.69999999999999"/>
    <n v="105"/>
    <n v="131.4"/>
    <n v="125.4"/>
    <n v="137.4"/>
    <n v="130.81666666666669"/>
    <n v="131.80000000000001"/>
    <n v="135.5"/>
    <n v="135"/>
    <n v="130.6"/>
    <n v="132.80000000000001"/>
    <n v="134.4"/>
    <s v="NA"/>
    <n v="127"/>
    <n v="128"/>
    <n v="125.2"/>
    <n v="114.4"/>
    <n v="123.2"/>
    <n v="127.9"/>
    <n v="118.4"/>
    <n v="121.7"/>
    <n v="129"/>
  </r>
  <r>
    <x v="1"/>
    <x v="3"/>
    <x v="3"/>
    <n v="124.9"/>
    <n v="139.30000000000001"/>
    <n v="119.9"/>
    <n v="130.19999999999999"/>
    <n v="108.9"/>
    <n v="131.1"/>
    <n v="136.80000000000001"/>
    <n v="176.9"/>
    <n v="109.1"/>
    <n v="140.4"/>
    <n v="121.1"/>
    <n v="135.9"/>
    <n v="131.20833333333334"/>
    <n v="131.80000000000001"/>
    <n v="141.5"/>
    <n v="126.8"/>
    <n v="120.5"/>
    <n v="123.65"/>
    <n v="125.8"/>
    <n v="125.6"/>
    <n v="114.6"/>
    <n v="122.8"/>
    <n v="120"/>
    <n v="110"/>
    <n v="119.5"/>
    <n v="127.6"/>
    <n v="117.6"/>
    <n v="118.2"/>
    <n v="125.3"/>
  </r>
  <r>
    <x v="2"/>
    <x v="3"/>
    <x v="3"/>
    <n v="126.6"/>
    <n v="136.80000000000001"/>
    <n v="122"/>
    <n v="130.9"/>
    <n v="114.8"/>
    <n v="134.80000000000001"/>
    <n v="135"/>
    <n v="167.5"/>
    <n v="106.4"/>
    <n v="134.4"/>
    <n v="123.6"/>
    <n v="136.69999999999999"/>
    <n v="130.79166666666666"/>
    <n v="131.80000000000001"/>
    <n v="137.1"/>
    <n v="131.80000000000001"/>
    <n v="126.4"/>
    <n v="129.10000000000002"/>
    <n v="131"/>
    <n v="125.6"/>
    <n v="122.3"/>
    <n v="125.5"/>
    <n v="123.2"/>
    <n v="112.1"/>
    <n v="121.1"/>
    <n v="127.7"/>
    <n v="118.1"/>
    <n v="120"/>
    <n v="127.3"/>
  </r>
  <r>
    <x v="0"/>
    <x v="3"/>
    <x v="4"/>
    <n v="127.6"/>
    <n v="137.5"/>
    <n v="124.4"/>
    <n v="132.4"/>
    <n v="118.2"/>
    <n v="138.1"/>
    <n v="141.80000000000001"/>
    <n v="166"/>
    <n v="107.5"/>
    <n v="132.19999999999999"/>
    <n v="126.1"/>
    <n v="138.30000000000001"/>
    <n v="132.50833333333333"/>
    <n v="133.6"/>
    <n v="136"/>
    <n v="135.4"/>
    <n v="131.1"/>
    <n v="133.25"/>
    <n v="134.80000000000001"/>
    <s v="NA"/>
    <n v="127.4"/>
    <n v="128.5"/>
    <n v="125.8"/>
    <n v="115.1"/>
    <n v="123.6"/>
    <n v="129.1"/>
    <n v="119.7"/>
    <n v="122.5"/>
    <n v="130.30000000000001"/>
  </r>
  <r>
    <x v="1"/>
    <x v="3"/>
    <x v="4"/>
    <n v="125"/>
    <n v="142.1"/>
    <n v="127"/>
    <n v="130.4"/>
    <n v="109.6"/>
    <n v="133.5"/>
    <n v="151.4"/>
    <n v="182.8"/>
    <n v="111.1"/>
    <n v="141.5"/>
    <n v="121.5"/>
    <n v="136.30000000000001"/>
    <n v="134.35"/>
    <n v="134.6"/>
    <n v="142.19999999999999"/>
    <n v="127.2"/>
    <n v="120.7"/>
    <n v="123.95"/>
    <n v="126.2"/>
    <n v="126"/>
    <n v="115"/>
    <n v="123.2"/>
    <n v="120.3"/>
    <n v="110.7"/>
    <n v="119.8"/>
    <n v="128"/>
    <n v="118.5"/>
    <n v="118.7"/>
    <n v="126.6"/>
  </r>
  <r>
    <x v="2"/>
    <x v="3"/>
    <x v="4"/>
    <n v="126.8"/>
    <n v="139.1"/>
    <n v="125.4"/>
    <n v="131.69999999999999"/>
    <n v="115"/>
    <n v="136"/>
    <n v="145.1"/>
    <n v="171.7"/>
    <n v="108.7"/>
    <n v="135.30000000000001"/>
    <n v="124.2"/>
    <n v="137.4"/>
    <n v="133.03333333333333"/>
    <n v="134"/>
    <n v="137.69999999999999"/>
    <n v="132.19999999999999"/>
    <n v="126.8"/>
    <n v="129.5"/>
    <n v="131.4"/>
    <n v="126"/>
    <n v="122.7"/>
    <n v="126"/>
    <n v="123.7"/>
    <n v="112.8"/>
    <n v="121.5"/>
    <n v="128.5"/>
    <n v="119.2"/>
    <n v="120.7"/>
    <n v="128.6"/>
  </r>
  <r>
    <x v="0"/>
    <x v="3"/>
    <x v="5"/>
    <n v="128.6"/>
    <n v="138.6"/>
    <n v="126.6"/>
    <n v="133.6"/>
    <n v="118.6"/>
    <n v="137.4"/>
    <n v="152.5"/>
    <n v="169.2"/>
    <n v="108.8"/>
    <n v="133.1"/>
    <n v="126.4"/>
    <n v="139.19999999999999"/>
    <n v="134.38333333333333"/>
    <n v="136"/>
    <n v="137.19999999999999"/>
    <n v="136.30000000000001"/>
    <n v="131.6"/>
    <n v="133.94999999999999"/>
    <n v="135.6"/>
    <s v="NA"/>
    <n v="128"/>
    <n v="129.30000000000001"/>
    <n v="126.2"/>
    <n v="116.3"/>
    <n v="124.1"/>
    <n v="130.19999999999999"/>
    <n v="119.9"/>
    <n v="123.3"/>
    <n v="131.9"/>
  </r>
  <r>
    <x v="1"/>
    <x v="3"/>
    <x v="5"/>
    <n v="125.9"/>
    <n v="143.9"/>
    <n v="130.9"/>
    <n v="131"/>
    <n v="110.2"/>
    <n v="135.5"/>
    <n v="173.7"/>
    <n v="184.4"/>
    <n v="112"/>
    <n v="142.80000000000001"/>
    <n v="121.6"/>
    <n v="136.9"/>
    <n v="137.4"/>
    <n v="138.19999999999999"/>
    <n v="142.69999999999999"/>
    <n v="127.6"/>
    <n v="121.1"/>
    <n v="124.35"/>
    <n v="126.6"/>
    <n v="125.5"/>
    <n v="115.5"/>
    <n v="123.2"/>
    <n v="120.6"/>
    <n v="112.3"/>
    <n v="119.9"/>
    <n v="129.30000000000001"/>
    <n v="118.8"/>
    <n v="119.6"/>
    <n v="128.1"/>
  </r>
  <r>
    <x v="2"/>
    <x v="3"/>
    <x v="5"/>
    <n v="127.7"/>
    <n v="140.5"/>
    <n v="128.30000000000001"/>
    <n v="132.6"/>
    <n v="115.5"/>
    <n v="136.5"/>
    <n v="159.69999999999999"/>
    <n v="174.3"/>
    <n v="109.9"/>
    <n v="136.30000000000001"/>
    <n v="124.4"/>
    <n v="138.1"/>
    <n v="135.31666666666666"/>
    <n v="136.80000000000001"/>
    <n v="138.69999999999999"/>
    <n v="132.9"/>
    <n v="127.2"/>
    <n v="130.05000000000001"/>
    <n v="132"/>
    <n v="125.5"/>
    <n v="123.3"/>
    <n v="126.4"/>
    <n v="124.1"/>
    <n v="114.2"/>
    <n v="121.7"/>
    <n v="129.69999999999999"/>
    <n v="119.4"/>
    <n v="121.5"/>
    <n v="130.1"/>
  </r>
  <r>
    <x v="0"/>
    <x v="3"/>
    <x v="6"/>
    <n v="129.30000000000001"/>
    <n v="139.5"/>
    <n v="129.6"/>
    <n v="134.5"/>
    <n v="119.5"/>
    <n v="138.5"/>
    <n v="158.19999999999999"/>
    <n v="171.8"/>
    <n v="110.3"/>
    <n v="134.30000000000001"/>
    <n v="127.3"/>
    <n v="139.9"/>
    <n v="136.05833333333331"/>
    <n v="137.6"/>
    <n v="138"/>
    <n v="137.19999999999999"/>
    <n v="132.19999999999999"/>
    <n v="134.69999999999999"/>
    <n v="136.5"/>
    <s v="NA"/>
    <n v="128.19999999999999"/>
    <n v="130"/>
    <n v="126.7"/>
    <n v="116.4"/>
    <n v="125.2"/>
    <n v="130.80000000000001"/>
    <n v="120.9"/>
    <n v="123.8"/>
    <n v="133"/>
  </r>
  <r>
    <x v="1"/>
    <x v="3"/>
    <x v="6"/>
    <n v="126.8"/>
    <n v="144.19999999999999"/>
    <n v="136.6"/>
    <n v="131.80000000000001"/>
    <n v="111"/>
    <n v="137"/>
    <n v="179.5"/>
    <n v="188.4"/>
    <n v="113.3"/>
    <n v="143.9"/>
    <n v="121.7"/>
    <n v="137.5"/>
    <n v="139.30833333333337"/>
    <n v="139.80000000000001"/>
    <n v="142.9"/>
    <n v="127.9"/>
    <n v="121.1"/>
    <n v="124.5"/>
    <n v="126.9"/>
    <n v="126.4"/>
    <n v="115.5"/>
    <n v="123.5"/>
    <n v="120.9"/>
    <n v="111.7"/>
    <n v="120.3"/>
    <n v="130.80000000000001"/>
    <n v="120"/>
    <n v="119.9"/>
    <n v="129"/>
  </r>
  <r>
    <x v="2"/>
    <x v="3"/>
    <x v="6"/>
    <n v="128.5"/>
    <n v="141.19999999999999"/>
    <n v="132.30000000000001"/>
    <n v="133.5"/>
    <n v="116.4"/>
    <n v="137.80000000000001"/>
    <n v="165.4"/>
    <n v="177.4"/>
    <n v="111.3"/>
    <n v="137.5"/>
    <n v="125"/>
    <n v="138.80000000000001"/>
    <n v="137.09166666666667"/>
    <n v="138.4"/>
    <n v="139.30000000000001"/>
    <n v="133.5"/>
    <n v="127.6"/>
    <n v="130.55000000000001"/>
    <n v="132.69999999999999"/>
    <n v="126.4"/>
    <n v="123.4"/>
    <n v="126.9"/>
    <n v="124.5"/>
    <n v="113.9"/>
    <n v="122.4"/>
    <n v="130.80000000000001"/>
    <n v="120.5"/>
    <n v="121.9"/>
    <n v="131.1"/>
  </r>
  <r>
    <x v="0"/>
    <x v="3"/>
    <x v="7"/>
    <n v="130.1"/>
    <n v="138.80000000000001"/>
    <n v="130.30000000000001"/>
    <n v="135.30000000000001"/>
    <n v="119.9"/>
    <n v="140.19999999999999"/>
    <n v="156.9"/>
    <n v="172.2"/>
    <n v="112.1"/>
    <n v="134.9"/>
    <n v="128.1"/>
    <n v="140.69999999999999"/>
    <n v="136.62499999999997"/>
    <n v="138"/>
    <n v="138.9"/>
    <n v="137.80000000000001"/>
    <n v="133"/>
    <n v="135.4"/>
    <n v="137.1"/>
    <s v="NA"/>
    <n v="129.1"/>
    <n v="130.6"/>
    <n v="127"/>
    <n v="116"/>
    <n v="125.5"/>
    <n v="131.9"/>
    <n v="122"/>
    <n v="124.2"/>
    <n v="133.5"/>
  </r>
  <r>
    <x v="1"/>
    <x v="3"/>
    <x v="7"/>
    <n v="127.6"/>
    <n v="140.30000000000001"/>
    <n v="133.69999999999999"/>
    <n v="132.19999999999999"/>
    <n v="111.8"/>
    <n v="135.80000000000001"/>
    <n v="163.5"/>
    <n v="182.3"/>
    <n v="114.6"/>
    <n v="144.6"/>
    <n v="121.9"/>
    <n v="138.1"/>
    <n v="137.19999999999996"/>
    <n v="137.6"/>
    <n v="143.6"/>
    <n v="128.30000000000001"/>
    <n v="121.4"/>
    <n v="124.85000000000001"/>
    <n v="127.3"/>
    <n v="127.3"/>
    <n v="114.7"/>
    <n v="123.9"/>
    <n v="121.2"/>
    <n v="110.4"/>
    <n v="120.6"/>
    <n v="131.5"/>
    <n v="120.9"/>
    <n v="119.9"/>
    <n v="128.4"/>
  </r>
  <r>
    <x v="2"/>
    <x v="3"/>
    <x v="7"/>
    <n v="129.30000000000001"/>
    <n v="139.30000000000001"/>
    <n v="131.6"/>
    <n v="134.1"/>
    <n v="116.9"/>
    <n v="138.1"/>
    <n v="159.1"/>
    <n v="175.6"/>
    <n v="112.9"/>
    <n v="138.1"/>
    <n v="125.5"/>
    <n v="139.5"/>
    <n v="136.66666666666666"/>
    <n v="137.9"/>
    <n v="140.19999999999999"/>
    <n v="134.1"/>
    <n v="128.19999999999999"/>
    <n v="131.14999999999998"/>
    <n v="133.19999999999999"/>
    <n v="127.3"/>
    <n v="123.6"/>
    <n v="127.4"/>
    <n v="124.8"/>
    <n v="113.1"/>
    <n v="122.7"/>
    <n v="131.69999999999999"/>
    <n v="121.5"/>
    <n v="122.1"/>
    <n v="131.1"/>
  </r>
  <r>
    <x v="0"/>
    <x v="3"/>
    <x v="8"/>
    <n v="130.80000000000001"/>
    <n v="138.19999999999999"/>
    <n v="130.5"/>
    <n v="135.5"/>
    <n v="120.2"/>
    <n v="139.19999999999999"/>
    <n v="149.5"/>
    <n v="170.4"/>
    <n v="113.1"/>
    <n v="135.80000000000001"/>
    <n v="128.80000000000001"/>
    <n v="141.5"/>
    <n v="136.125"/>
    <n v="137.19999999999999"/>
    <n v="139.9"/>
    <n v="138.5"/>
    <n v="133.5"/>
    <n v="136"/>
    <n v="137.80000000000001"/>
    <s v="NA"/>
    <n v="129.69999999999999"/>
    <n v="131.1"/>
    <n v="127.8"/>
    <n v="117"/>
    <n v="125.7"/>
    <n v="132.19999999999999"/>
    <n v="122.8"/>
    <n v="124.9"/>
    <n v="133.4"/>
  </r>
  <r>
    <x v="1"/>
    <x v="3"/>
    <x v="8"/>
    <n v="128.1"/>
    <n v="137.69999999999999"/>
    <n v="130.6"/>
    <n v="132.6"/>
    <n v="111.9"/>
    <n v="132.5"/>
    <n v="152.9"/>
    <n v="173.6"/>
    <n v="115.1"/>
    <n v="144.80000000000001"/>
    <n v="122.1"/>
    <n v="138.80000000000001"/>
    <n v="135.05833333333331"/>
    <n v="135.69999999999999"/>
    <n v="143.9"/>
    <n v="128.69999999999999"/>
    <n v="121.6"/>
    <n v="125.14999999999999"/>
    <n v="127.7"/>
    <n v="127.9"/>
    <n v="114.8"/>
    <n v="124.3"/>
    <n v="121.4"/>
    <n v="111.8"/>
    <n v="120.8"/>
    <n v="131.6"/>
    <n v="121.2"/>
    <n v="120.5"/>
    <n v="128"/>
  </r>
  <r>
    <x v="2"/>
    <x v="3"/>
    <x v="8"/>
    <n v="129.9"/>
    <n v="138"/>
    <n v="130.5"/>
    <n v="134.4"/>
    <n v="117.2"/>
    <n v="136.1"/>
    <n v="150.69999999999999"/>
    <n v="171.5"/>
    <n v="113.8"/>
    <n v="138.80000000000001"/>
    <n v="126"/>
    <n v="140.19999999999999"/>
    <n v="135.59166666666667"/>
    <n v="136.6"/>
    <n v="141"/>
    <n v="134.6"/>
    <n v="128.6"/>
    <n v="131.6"/>
    <n v="133.80000000000001"/>
    <n v="127.9"/>
    <n v="124.1"/>
    <n v="127.9"/>
    <n v="125.4"/>
    <n v="114.3"/>
    <n v="122.9"/>
    <n v="131.80000000000001"/>
    <n v="122.1"/>
    <n v="122.8"/>
    <n v="130.9"/>
  </r>
  <r>
    <x v="0"/>
    <x v="3"/>
    <x v="9"/>
    <n v="131.30000000000001"/>
    <n v="137.6"/>
    <n v="130.1"/>
    <n v="136"/>
    <n v="120.8"/>
    <n v="138.4"/>
    <n v="149.19999999999999"/>
    <n v="170.2"/>
    <n v="113.4"/>
    <n v="136.30000000000001"/>
    <n v="128.69999999999999"/>
    <n v="142.4"/>
    <n v="136.20000000000002"/>
    <n v="137.4"/>
    <n v="140.9"/>
    <n v="139.6"/>
    <n v="134.30000000000001"/>
    <n v="136.94999999999999"/>
    <n v="138.80000000000001"/>
    <s v="NA"/>
    <n v="129.80000000000001"/>
    <n v="131.80000000000001"/>
    <n v="128.69999999999999"/>
    <n v="117.8"/>
    <n v="126.5"/>
    <n v="133"/>
    <n v="123"/>
    <n v="125.7"/>
    <n v="133.80000000000001"/>
  </r>
  <r>
    <x v="1"/>
    <x v="3"/>
    <x v="9"/>
    <n v="128.69999999999999"/>
    <n v="138.4"/>
    <n v="130.30000000000001"/>
    <n v="132.69999999999999"/>
    <n v="112.5"/>
    <n v="130.4"/>
    <n v="155.1"/>
    <n v="175.7"/>
    <n v="115.4"/>
    <n v="145.30000000000001"/>
    <n v="122.5"/>
    <n v="139.6"/>
    <n v="135.54999999999998"/>
    <n v="136.30000000000001"/>
    <n v="144.30000000000001"/>
    <n v="129.1"/>
    <n v="121.9"/>
    <n v="125.5"/>
    <n v="128"/>
    <n v="128.69999999999999"/>
    <n v="115.2"/>
    <n v="124.5"/>
    <n v="121.8"/>
    <n v="112.8"/>
    <n v="121.2"/>
    <n v="131.9"/>
    <n v="120.8"/>
    <n v="120.9"/>
    <n v="128.6"/>
  </r>
  <r>
    <x v="2"/>
    <x v="3"/>
    <x v="9"/>
    <n v="130.5"/>
    <n v="137.9"/>
    <n v="130.19999999999999"/>
    <n v="134.80000000000001"/>
    <n v="117.8"/>
    <n v="134.69999999999999"/>
    <n v="151.19999999999999"/>
    <n v="172.1"/>
    <n v="114.1"/>
    <n v="139.30000000000001"/>
    <n v="126.1"/>
    <n v="141.1"/>
    <n v="135.81666666666663"/>
    <n v="137"/>
    <n v="141.80000000000001"/>
    <n v="135.5"/>
    <n v="129.1"/>
    <n v="132.30000000000001"/>
    <n v="134.5"/>
    <n v="128.69999999999999"/>
    <n v="124.3"/>
    <n v="128.4"/>
    <n v="126.1"/>
    <n v="115.2"/>
    <n v="123.5"/>
    <n v="132.4"/>
    <n v="122.1"/>
    <n v="123.4"/>
    <n v="131.4"/>
  </r>
  <r>
    <x v="0"/>
    <x v="3"/>
    <x v="11"/>
    <n v="132"/>
    <n v="137.4"/>
    <n v="130.6"/>
    <n v="136.19999999999999"/>
    <n v="121.1"/>
    <n v="136.9"/>
    <n v="141.80000000000001"/>
    <n v="170"/>
    <n v="113.4"/>
    <n v="136.80000000000001"/>
    <n v="128.69999999999999"/>
    <n v="143.1"/>
    <n v="135.66666666666666"/>
    <n v="136.6"/>
    <n v="141.19999999999999"/>
    <n v="139.9"/>
    <n v="134.5"/>
    <n v="137.19999999999999"/>
    <n v="139.19999999999999"/>
    <s v="NA"/>
    <n v="130.30000000000001"/>
    <n v="132.1"/>
    <n v="129.1"/>
    <n v="118.2"/>
    <n v="126.9"/>
    <n v="133.69999999999999"/>
    <n v="123.5"/>
    <n v="126.1"/>
    <n v="133.6"/>
  </r>
  <r>
    <x v="1"/>
    <x v="3"/>
    <x v="11"/>
    <n v="130.19999999999999"/>
    <n v="138.5"/>
    <n v="134.1"/>
    <n v="132.9"/>
    <n v="112.6"/>
    <n v="130.80000000000001"/>
    <n v="142"/>
    <n v="174.9"/>
    <n v="115.6"/>
    <n v="145.4"/>
    <n v="122.7"/>
    <n v="140.30000000000001"/>
    <n v="135"/>
    <n v="135.19999999999999"/>
    <n v="144.30000000000001"/>
    <n v="129.6"/>
    <n v="122.1"/>
    <n v="125.85"/>
    <n v="128.5"/>
    <n v="129.1"/>
    <n v="116.2"/>
    <n v="124.7"/>
    <n v="122.1"/>
    <n v="113.4"/>
    <n v="121.7"/>
    <n v="132.1"/>
    <n v="121.3"/>
    <n v="121.3"/>
    <n v="128.5"/>
  </r>
  <r>
    <x v="2"/>
    <x v="3"/>
    <x v="11"/>
    <n v="131.4"/>
    <n v="137.80000000000001"/>
    <n v="132"/>
    <n v="135"/>
    <n v="118"/>
    <n v="134.1"/>
    <n v="141.9"/>
    <n v="171.7"/>
    <n v="114.1"/>
    <n v="139.69999999999999"/>
    <n v="126.2"/>
    <n v="141.80000000000001"/>
    <n v="135.30833333333334"/>
    <n v="136.1"/>
    <n v="142"/>
    <n v="135.80000000000001"/>
    <n v="129.30000000000001"/>
    <n v="132.55000000000001"/>
    <n v="135"/>
    <n v="129.1"/>
    <n v="125"/>
    <n v="128.6"/>
    <n v="126.4"/>
    <n v="115.7"/>
    <n v="124"/>
    <n v="132.80000000000001"/>
    <n v="122.6"/>
    <n v="123.8"/>
    <n v="131.19999999999999"/>
  </r>
  <r>
    <x v="0"/>
    <x v="3"/>
    <x v="12"/>
    <n v="132.6"/>
    <n v="137.30000000000001"/>
    <n v="131.6"/>
    <n v="136.30000000000001"/>
    <n v="121.6"/>
    <n v="135.6"/>
    <n v="127.5"/>
    <n v="167.9"/>
    <n v="113.8"/>
    <n v="137.5"/>
    <n v="129.1"/>
    <n v="143.6"/>
    <n v="134.53333333333333"/>
    <n v="134.69999999999999"/>
    <n v="142.4"/>
    <n v="140.4"/>
    <n v="135.19999999999999"/>
    <n v="137.80000000000001"/>
    <n v="139.69999999999999"/>
    <s v="NA"/>
    <n v="132"/>
    <n v="132.9"/>
    <n v="129.69999999999999"/>
    <n v="118.6"/>
    <n v="127.3"/>
    <n v="134.19999999999999"/>
    <n v="121.9"/>
    <n v="126.3"/>
    <n v="132.80000000000001"/>
  </r>
  <r>
    <x v="1"/>
    <x v="3"/>
    <x v="12"/>
    <n v="131.6"/>
    <n v="138.19999999999999"/>
    <n v="134.9"/>
    <n v="133.1"/>
    <n v="113.5"/>
    <n v="129.30000000000001"/>
    <n v="121.1"/>
    <n v="170.3"/>
    <n v="115.5"/>
    <n v="145.5"/>
    <n v="123.1"/>
    <n v="140.9"/>
    <n v="133.08333333333334"/>
    <n v="132.80000000000001"/>
    <n v="145"/>
    <n v="130"/>
    <n v="122.2"/>
    <n v="126.1"/>
    <n v="128.80000000000001"/>
    <n v="128.5"/>
    <n v="117.8"/>
    <n v="125"/>
    <n v="122.3"/>
    <n v="113.7"/>
    <n v="121.8"/>
    <n v="132.30000000000001"/>
    <n v="119.9"/>
    <n v="121.4"/>
    <n v="127.6"/>
  </r>
  <r>
    <x v="2"/>
    <x v="3"/>
    <x v="12"/>
    <n v="132.30000000000001"/>
    <n v="137.6"/>
    <n v="132.9"/>
    <n v="135.1"/>
    <n v="118.6"/>
    <n v="132.69999999999999"/>
    <n v="125.3"/>
    <n v="168.7"/>
    <n v="114.4"/>
    <n v="140.19999999999999"/>
    <n v="126.6"/>
    <n v="142.30000000000001"/>
    <n v="133.89166666666668"/>
    <n v="134"/>
    <n v="143.1"/>
    <n v="136.30000000000001"/>
    <n v="129.80000000000001"/>
    <n v="133.05000000000001"/>
    <n v="135.4"/>
    <n v="128.5"/>
    <n v="126.6"/>
    <n v="129.19999999999999"/>
    <n v="126.9"/>
    <n v="116"/>
    <n v="124.2"/>
    <n v="133.1"/>
    <n v="121.1"/>
    <n v="123.9"/>
    <n v="130.4"/>
  </r>
  <r>
    <x v="0"/>
    <x v="4"/>
    <x v="0"/>
    <n v="133.1"/>
    <n v="137.80000000000001"/>
    <n v="131.9"/>
    <n v="136.69999999999999"/>
    <n v="122"/>
    <n v="136"/>
    <n v="119.8"/>
    <n v="161.69999999999999"/>
    <n v="114.8"/>
    <n v="136.9"/>
    <n v="129"/>
    <n v="143.9"/>
    <n v="133.63333333333335"/>
    <n v="133.69999999999999"/>
    <n v="143.1"/>
    <n v="140.69999999999999"/>
    <n v="135.80000000000001"/>
    <n v="138.25"/>
    <n v="140"/>
    <s v="NA"/>
    <n v="132.1"/>
    <n v="133.19999999999999"/>
    <n v="129.9"/>
    <n v="119.1"/>
    <n v="127"/>
    <n v="134.6"/>
    <n v="122.3"/>
    <n v="126.6"/>
    <n v="132.4"/>
  </r>
  <r>
    <x v="1"/>
    <x v="4"/>
    <x v="0"/>
    <n v="132.19999999999999"/>
    <n v="138.9"/>
    <n v="132.6"/>
    <n v="133.1"/>
    <n v="114"/>
    <n v="129.6"/>
    <n v="118.7"/>
    <n v="155.1"/>
    <n v="117.3"/>
    <n v="144.9"/>
    <n v="123.2"/>
    <n v="141.6"/>
    <n v="131.76666666666668"/>
    <n v="132"/>
    <n v="145.6"/>
    <n v="130.19999999999999"/>
    <n v="122.3"/>
    <n v="126.25"/>
    <n v="129"/>
    <n v="129.6"/>
    <n v="118"/>
    <n v="125.1"/>
    <n v="122.6"/>
    <n v="115.2"/>
    <n v="122"/>
    <n v="132.4"/>
    <n v="120.9"/>
    <n v="122.1"/>
    <n v="127.8"/>
  </r>
  <r>
    <x v="2"/>
    <x v="4"/>
    <x v="0"/>
    <n v="132.80000000000001"/>
    <n v="138.19999999999999"/>
    <n v="132.19999999999999"/>
    <n v="135.4"/>
    <n v="119.1"/>
    <n v="133"/>
    <n v="119.4"/>
    <n v="159.5"/>
    <n v="115.6"/>
    <n v="139.6"/>
    <n v="126.6"/>
    <n v="142.80000000000001"/>
    <n v="132.84999999999997"/>
    <n v="133.1"/>
    <n v="143.80000000000001"/>
    <n v="136.6"/>
    <n v="130.19999999999999"/>
    <n v="133.39999999999998"/>
    <n v="135.6"/>
    <n v="129.6"/>
    <n v="126.8"/>
    <n v="129.4"/>
    <n v="127.1"/>
    <n v="117"/>
    <n v="124.2"/>
    <n v="133.30000000000001"/>
    <n v="121.7"/>
    <n v="124.4"/>
    <n v="130.30000000000001"/>
  </r>
  <r>
    <x v="0"/>
    <x v="4"/>
    <x v="1"/>
    <n v="133.30000000000001"/>
    <n v="138.30000000000001"/>
    <n v="129.30000000000001"/>
    <n v="137.19999999999999"/>
    <n v="122.1"/>
    <n v="138.69999999999999"/>
    <n v="119.1"/>
    <n v="156.9"/>
    <n v="116.2"/>
    <n v="136"/>
    <n v="129.4"/>
    <n v="144.4"/>
    <n v="133.40833333333336"/>
    <n v="133.6"/>
    <n v="143.69999999999999"/>
    <n v="140.9"/>
    <n v="135.80000000000001"/>
    <n v="138.35000000000002"/>
    <n v="140.19999999999999"/>
    <s v="NA"/>
    <n v="133.19999999999999"/>
    <n v="133.6"/>
    <n v="130.1"/>
    <n v="119.5"/>
    <n v="127.7"/>
    <n v="134.9"/>
    <n v="123.2"/>
    <n v="127"/>
    <n v="132.6"/>
  </r>
  <r>
    <x v="1"/>
    <x v="4"/>
    <x v="1"/>
    <n v="132.80000000000001"/>
    <n v="139.80000000000001"/>
    <n v="129.30000000000001"/>
    <n v="133.5"/>
    <n v="114.3"/>
    <n v="131.4"/>
    <n v="120.2"/>
    <n v="143.1"/>
    <n v="119.5"/>
    <n v="144"/>
    <n v="123.4"/>
    <n v="141.9"/>
    <n v="131.10000000000002"/>
    <n v="132.1"/>
    <n v="146.30000000000001"/>
    <n v="130.5"/>
    <n v="122.5"/>
    <n v="126.5"/>
    <n v="129.30000000000001"/>
    <n v="130.5"/>
    <n v="119.2"/>
    <n v="125.3"/>
    <n v="122.9"/>
    <n v="115.5"/>
    <n v="122.2"/>
    <n v="132.4"/>
    <n v="121.7"/>
    <n v="122.4"/>
    <n v="128.19999999999999"/>
  </r>
  <r>
    <x v="2"/>
    <x v="4"/>
    <x v="1"/>
    <n v="133.1"/>
    <n v="138.80000000000001"/>
    <n v="129.30000000000001"/>
    <n v="135.80000000000001"/>
    <n v="119.2"/>
    <n v="135.30000000000001"/>
    <n v="119.5"/>
    <n v="152.19999999999999"/>
    <n v="117.3"/>
    <n v="138.69999999999999"/>
    <n v="126.9"/>
    <n v="143.19999999999999"/>
    <n v="132.44166666666669"/>
    <n v="133"/>
    <n v="144.4"/>
    <n v="136.80000000000001"/>
    <n v="130.30000000000001"/>
    <n v="133.55000000000001"/>
    <n v="135.9"/>
    <n v="130.5"/>
    <n v="127.9"/>
    <n v="129.69999999999999"/>
    <n v="127.4"/>
    <n v="117.4"/>
    <n v="124.6"/>
    <n v="133.4"/>
    <n v="122.6"/>
    <n v="124.8"/>
    <n v="130.6"/>
  </r>
  <r>
    <x v="0"/>
    <x v="4"/>
    <x v="2"/>
    <n v="133.6"/>
    <n v="138.80000000000001"/>
    <n v="128.80000000000001"/>
    <n v="137.19999999999999"/>
    <n v="121.6"/>
    <n v="139.69999999999999"/>
    <n v="119.7"/>
    <n v="148"/>
    <n v="116.9"/>
    <n v="135.6"/>
    <n v="129.80000000000001"/>
    <n v="145.4"/>
    <n v="132.92500000000001"/>
    <n v="133.4"/>
    <n v="144.19999999999999"/>
    <n v="141.6"/>
    <n v="136.19999999999999"/>
    <n v="138.89999999999998"/>
    <n v="140.80000000000001"/>
    <s v="NA"/>
    <n v="134.19999999999999"/>
    <n v="134.1"/>
    <n v="130.6"/>
    <n v="119.8"/>
    <n v="128.30000000000001"/>
    <n v="135.19999999999999"/>
    <n v="123.3"/>
    <n v="127.4"/>
    <n v="132.80000000000001"/>
  </r>
  <r>
    <x v="1"/>
    <x v="4"/>
    <x v="2"/>
    <n v="132.69999999999999"/>
    <n v="139.4"/>
    <n v="128.4"/>
    <n v="134.9"/>
    <n v="114"/>
    <n v="136.80000000000001"/>
    <n v="122.2"/>
    <n v="135.80000000000001"/>
    <n v="120.3"/>
    <n v="142.6"/>
    <n v="123.6"/>
    <n v="142.4"/>
    <n v="131.09166666666667"/>
    <n v="132.6"/>
    <n v="147.5"/>
    <n v="130.80000000000001"/>
    <n v="122.8"/>
    <n v="126.80000000000001"/>
    <n v="129.6"/>
    <n v="131.1"/>
    <n v="120.8"/>
    <n v="125.6"/>
    <n v="123.1"/>
    <n v="115.6"/>
    <n v="122.4"/>
    <n v="132.80000000000001"/>
    <n v="121.7"/>
    <n v="122.6"/>
    <n v="128.69999999999999"/>
  </r>
  <r>
    <x v="2"/>
    <x v="4"/>
    <x v="2"/>
    <n v="133.30000000000001"/>
    <n v="139"/>
    <n v="128.6"/>
    <n v="136.30000000000001"/>
    <n v="118.8"/>
    <n v="138.30000000000001"/>
    <n v="120.5"/>
    <n v="143.9"/>
    <n v="118"/>
    <n v="137.9"/>
    <n v="127.2"/>
    <n v="144"/>
    <n v="132.15"/>
    <n v="133.1"/>
    <n v="145.1"/>
    <n v="137.30000000000001"/>
    <n v="130.6"/>
    <n v="133.94999999999999"/>
    <n v="136.4"/>
    <n v="131.1"/>
    <n v="129.1"/>
    <n v="130.1"/>
    <n v="127.8"/>
    <n v="117.6"/>
    <n v="125"/>
    <n v="133.80000000000001"/>
    <n v="122.6"/>
    <n v="125.1"/>
    <n v="130.9"/>
  </r>
  <r>
    <x v="0"/>
    <x v="4"/>
    <x v="3"/>
    <n v="133.19999999999999"/>
    <n v="138.69999999999999"/>
    <n v="127.1"/>
    <n v="137.69999999999999"/>
    <n v="121.3"/>
    <n v="141.80000000000001"/>
    <n v="121.5"/>
    <n v="144.5"/>
    <n v="117.4"/>
    <n v="134.1"/>
    <n v="130"/>
    <n v="145.5"/>
    <n v="132.73333333333332"/>
    <n v="133.5"/>
    <n v="144.4"/>
    <n v="142.4"/>
    <n v="136.80000000000001"/>
    <n v="139.60000000000002"/>
    <n v="141.6"/>
    <s v="NA"/>
    <n v="135"/>
    <n v="134.30000000000001"/>
    <n v="131"/>
    <n v="119.2"/>
    <n v="128.30000000000001"/>
    <n v="135.69999999999999"/>
    <n v="123.7"/>
    <n v="127.5"/>
    <n v="132.9"/>
  </r>
  <r>
    <x v="1"/>
    <x v="4"/>
    <x v="3"/>
    <n v="132.69999999999999"/>
    <n v="140.6"/>
    <n v="124.5"/>
    <n v="136.30000000000001"/>
    <n v="113.5"/>
    <n v="137.69999999999999"/>
    <n v="127.1"/>
    <n v="133.80000000000001"/>
    <n v="120.8"/>
    <n v="141.30000000000001"/>
    <n v="123.8"/>
    <n v="142.6"/>
    <n v="131.22499999999999"/>
    <n v="133.4"/>
    <n v="148"/>
    <n v="131.19999999999999"/>
    <n v="123"/>
    <n v="127.1"/>
    <n v="130"/>
    <n v="131.69999999999999"/>
    <n v="121.4"/>
    <n v="126"/>
    <n v="123.4"/>
    <n v="114.3"/>
    <n v="122.6"/>
    <n v="133.6"/>
    <n v="122.2"/>
    <n v="122.5"/>
    <n v="129.1"/>
  </r>
  <r>
    <x v="2"/>
    <x v="4"/>
    <x v="3"/>
    <n v="133"/>
    <n v="139.4"/>
    <n v="126.1"/>
    <n v="137.19999999999999"/>
    <n v="118.4"/>
    <n v="139.9"/>
    <n v="123.4"/>
    <n v="140.9"/>
    <n v="118.5"/>
    <n v="136.5"/>
    <n v="127.4"/>
    <n v="144.19999999999999"/>
    <n v="132.07500000000002"/>
    <n v="133.5"/>
    <n v="145.4"/>
    <n v="138"/>
    <n v="131.1"/>
    <n v="134.55000000000001"/>
    <n v="137"/>
    <n v="131.69999999999999"/>
    <n v="129.80000000000001"/>
    <n v="130.4"/>
    <n v="128.1"/>
    <n v="116.6"/>
    <n v="125.1"/>
    <n v="134.5"/>
    <n v="123.1"/>
    <n v="125.1"/>
    <n v="131.1"/>
  </r>
  <r>
    <x v="0"/>
    <x v="4"/>
    <x v="4"/>
    <n v="133.1"/>
    <n v="140.30000000000001"/>
    <n v="126.8"/>
    <n v="138.19999999999999"/>
    <n v="120.8"/>
    <n v="140.19999999999999"/>
    <n v="123.8"/>
    <n v="141.80000000000001"/>
    <n v="118.6"/>
    <n v="134"/>
    <n v="130.30000000000001"/>
    <n v="145.80000000000001"/>
    <n v="132.80833333333331"/>
    <n v="133.80000000000001"/>
    <n v="145.5"/>
    <n v="142.5"/>
    <n v="137.30000000000001"/>
    <n v="139.9"/>
    <n v="141.80000000000001"/>
    <s v="NA"/>
    <n v="135"/>
    <n v="134.9"/>
    <n v="131.4"/>
    <n v="119.4"/>
    <n v="129.4"/>
    <n v="136.30000000000001"/>
    <n v="123.7"/>
    <n v="127.9"/>
    <n v="133.30000000000001"/>
  </r>
  <r>
    <x v="1"/>
    <x v="4"/>
    <x v="4"/>
    <n v="132.6"/>
    <n v="144.1"/>
    <n v="125.6"/>
    <n v="136.80000000000001"/>
    <n v="113.4"/>
    <n v="135.19999999999999"/>
    <n v="129.19999999999999"/>
    <n v="131.5"/>
    <n v="121"/>
    <n v="139.9"/>
    <n v="123.8"/>
    <n v="142.9"/>
    <n v="131.33333333333334"/>
    <n v="133.6"/>
    <n v="148.30000000000001"/>
    <n v="131.5"/>
    <n v="123.2"/>
    <n v="127.35"/>
    <n v="130.19999999999999"/>
    <n v="132.1"/>
    <n v="120.1"/>
    <n v="126.5"/>
    <n v="123.6"/>
    <n v="114.3"/>
    <n v="122.8"/>
    <n v="133.80000000000001"/>
    <n v="122"/>
    <n v="122.6"/>
    <n v="129.30000000000001"/>
  </r>
  <r>
    <x v="2"/>
    <x v="4"/>
    <x v="4"/>
    <n v="132.9"/>
    <n v="141.6"/>
    <n v="126.3"/>
    <n v="137.69999999999999"/>
    <n v="118.1"/>
    <n v="137.9"/>
    <n v="125.6"/>
    <n v="138.30000000000001"/>
    <n v="119.4"/>
    <n v="136"/>
    <n v="127.6"/>
    <n v="144.5"/>
    <n v="132.15833333333333"/>
    <n v="133.69999999999999"/>
    <n v="146.19999999999999"/>
    <n v="138.19999999999999"/>
    <n v="131.4"/>
    <n v="134.80000000000001"/>
    <n v="137.19999999999999"/>
    <n v="132.1"/>
    <n v="129.4"/>
    <n v="130.9"/>
    <n v="128.4"/>
    <n v="116.7"/>
    <n v="125.7"/>
    <n v="134.80000000000001"/>
    <n v="123"/>
    <n v="125.3"/>
    <n v="131.4"/>
  </r>
  <r>
    <x v="0"/>
    <x v="4"/>
    <x v="5"/>
    <n v="133.5"/>
    <n v="143.69999999999999"/>
    <n v="128"/>
    <n v="138.6"/>
    <n v="120.9"/>
    <n v="140.9"/>
    <n v="128.80000000000001"/>
    <n v="140.19999999999999"/>
    <n v="118.9"/>
    <n v="133.5"/>
    <n v="130.4"/>
    <n v="146.5"/>
    <n v="133.65833333333333"/>
    <n v="134.9"/>
    <n v="145.80000000000001"/>
    <n v="143.1"/>
    <n v="137.69999999999999"/>
    <n v="140.39999999999998"/>
    <n v="142.30000000000001"/>
    <s v="NA"/>
    <n v="134.80000000000001"/>
    <n v="135.19999999999999"/>
    <n v="131.30000000000001"/>
    <n v="119.4"/>
    <n v="129.80000000000001"/>
    <n v="136.9"/>
    <n v="124.1"/>
    <n v="128.1"/>
    <n v="133.9"/>
  </r>
  <r>
    <x v="1"/>
    <x v="4"/>
    <x v="5"/>
    <n v="132.9"/>
    <n v="148.69999999999999"/>
    <n v="128.30000000000001"/>
    <n v="137.30000000000001"/>
    <n v="113.5"/>
    <n v="137.19999999999999"/>
    <n v="142.19999999999999"/>
    <n v="128.19999999999999"/>
    <n v="120.9"/>
    <n v="138.80000000000001"/>
    <n v="124.2"/>
    <n v="143.1"/>
    <n v="132.94166666666669"/>
    <n v="135.69999999999999"/>
    <n v="148.6"/>
    <n v="131.5"/>
    <n v="123.2"/>
    <n v="127.35"/>
    <n v="130.19999999999999"/>
    <n v="131.4"/>
    <n v="119"/>
    <n v="126.8"/>
    <n v="123.8"/>
    <n v="113.9"/>
    <n v="122.9"/>
    <n v="134.30000000000001"/>
    <n v="122.5"/>
    <n v="122.7"/>
    <n v="129.9"/>
  </r>
  <r>
    <x v="2"/>
    <x v="4"/>
    <x v="5"/>
    <n v="133.30000000000001"/>
    <n v="145.5"/>
    <n v="128.1"/>
    <n v="138.1"/>
    <n v="118.2"/>
    <n v="139.19999999999999"/>
    <n v="133.30000000000001"/>
    <n v="136.19999999999999"/>
    <n v="119.6"/>
    <n v="135.30000000000001"/>
    <n v="127.8"/>
    <n v="144.9"/>
    <n v="133.29166666666666"/>
    <n v="135.19999999999999"/>
    <n v="146.5"/>
    <n v="138.5"/>
    <n v="131.69999999999999"/>
    <n v="135.1"/>
    <n v="137.5"/>
    <n v="131.4"/>
    <n v="128.80000000000001"/>
    <n v="131.19999999999999"/>
    <n v="128.5"/>
    <n v="116.5"/>
    <n v="125.9"/>
    <n v="135.4"/>
    <n v="123.4"/>
    <n v="125.5"/>
    <n v="132"/>
  </r>
  <r>
    <x v="0"/>
    <x v="4"/>
    <x v="6"/>
    <n v="134"/>
    <n v="144.19999999999999"/>
    <n v="129.80000000000001"/>
    <n v="139"/>
    <n v="120.9"/>
    <n v="143.9"/>
    <n v="151.5"/>
    <n v="138.1"/>
    <n v="120"/>
    <n v="133.9"/>
    <n v="131.4"/>
    <n v="147.69999999999999"/>
    <n v="136.20000000000002"/>
    <n v="138.5"/>
    <n v="147.4"/>
    <n v="144.30000000000001"/>
    <n v="138.1"/>
    <n v="141.19999999999999"/>
    <n v="143.5"/>
    <s v="NA"/>
    <n v="135.30000000000001"/>
    <n v="136.1"/>
    <n v="132.1"/>
    <n v="119.1"/>
    <n v="130.6"/>
    <n v="138.6"/>
    <n v="124.4"/>
    <n v="128.6"/>
    <n v="136.19999999999999"/>
  </r>
  <r>
    <x v="1"/>
    <x v="4"/>
    <x v="6"/>
    <n v="132.80000000000001"/>
    <n v="148.4"/>
    <n v="129.4"/>
    <n v="137.69999999999999"/>
    <n v="113.4"/>
    <n v="139.4"/>
    <n v="175.1"/>
    <n v="124.7"/>
    <n v="121.5"/>
    <n v="137.80000000000001"/>
    <n v="124.4"/>
    <n v="143.69999999999999"/>
    <n v="135.69166666666666"/>
    <n v="139.80000000000001"/>
    <n v="150.5"/>
    <n v="131.6"/>
    <n v="123.7"/>
    <n v="127.65"/>
    <n v="130.4"/>
    <n v="132.6"/>
    <n v="119.7"/>
    <n v="127.2"/>
    <n v="125"/>
    <n v="113.2"/>
    <n v="123.5"/>
    <n v="135.5"/>
    <n v="122.4"/>
    <n v="123"/>
    <n v="131.80000000000001"/>
  </r>
  <r>
    <x v="2"/>
    <x v="4"/>
    <x v="6"/>
    <n v="133.6"/>
    <n v="145.69999999999999"/>
    <n v="129.6"/>
    <n v="138.5"/>
    <n v="118.1"/>
    <n v="141.80000000000001"/>
    <n v="159.5"/>
    <n v="133.6"/>
    <n v="120.5"/>
    <n v="135.19999999999999"/>
    <n v="128.5"/>
    <n v="145.80000000000001"/>
    <n v="135.86666666666665"/>
    <n v="139"/>
    <n v="148.19999999999999"/>
    <n v="139.30000000000001"/>
    <n v="132.1"/>
    <n v="135.69999999999999"/>
    <n v="138.30000000000001"/>
    <n v="132.6"/>
    <n v="129.4"/>
    <n v="131.9"/>
    <n v="129.4"/>
    <n v="116"/>
    <n v="126.6"/>
    <n v="136.80000000000001"/>
    <n v="123.6"/>
    <n v="125.9"/>
    <n v="134.19999999999999"/>
  </r>
  <r>
    <x v="0"/>
    <x v="4"/>
    <x v="7"/>
    <n v="134.80000000000001"/>
    <n v="143.1"/>
    <n v="130"/>
    <n v="139.4"/>
    <n v="120.5"/>
    <n v="148"/>
    <n v="162.9"/>
    <n v="137.4"/>
    <n v="120.8"/>
    <n v="134.69999999999999"/>
    <n v="131.6"/>
    <n v="148.69999999999999"/>
    <n v="137.65833333333333"/>
    <n v="140.6"/>
    <n v="149"/>
    <n v="145.30000000000001"/>
    <n v="139.19999999999999"/>
    <n v="142.25"/>
    <n v="144.5"/>
    <s v="NA"/>
    <n v="136.4"/>
    <n v="137.30000000000001"/>
    <n v="133"/>
    <n v="120.3"/>
    <n v="131.5"/>
    <n v="140.19999999999999"/>
    <n v="125.4"/>
    <n v="129.69999999999999"/>
    <n v="137.80000000000001"/>
  </r>
  <r>
    <x v="1"/>
    <x v="4"/>
    <x v="7"/>
    <n v="133.19999999999999"/>
    <n v="143.9"/>
    <n v="128.30000000000001"/>
    <n v="138.30000000000001"/>
    <n v="114.1"/>
    <n v="142.69999999999999"/>
    <n v="179.8"/>
    <n v="123.5"/>
    <n v="122.1"/>
    <n v="137.5"/>
    <n v="124.6"/>
    <n v="144.5"/>
    <n v="136.04166666666666"/>
    <n v="140.5"/>
    <n v="152.1"/>
    <n v="132.69999999999999"/>
    <n v="124.3"/>
    <n v="128.5"/>
    <n v="131.4"/>
    <n v="134.4"/>
    <n v="118.9"/>
    <n v="127.7"/>
    <n v="125.7"/>
    <n v="114.6"/>
    <n v="124.1"/>
    <n v="135.69999999999999"/>
    <n v="123.3"/>
    <n v="123.8"/>
    <n v="132.69999999999999"/>
  </r>
  <r>
    <x v="2"/>
    <x v="4"/>
    <x v="7"/>
    <n v="134.30000000000001"/>
    <n v="143.4"/>
    <n v="129.30000000000001"/>
    <n v="139"/>
    <n v="118.1"/>
    <n v="145.5"/>
    <n v="168.6"/>
    <n v="132.69999999999999"/>
    <n v="121.2"/>
    <n v="135.6"/>
    <n v="128.69999999999999"/>
    <n v="146.80000000000001"/>
    <n v="136.93333333333334"/>
    <n v="140.6"/>
    <n v="149.80000000000001"/>
    <n v="140.30000000000001"/>
    <n v="133"/>
    <n v="136.65"/>
    <n v="139.30000000000001"/>
    <n v="134.4"/>
    <n v="129.80000000000001"/>
    <n v="132.80000000000001"/>
    <n v="130.19999999999999"/>
    <n v="117.3"/>
    <n v="127.3"/>
    <n v="137.6"/>
    <n v="124.5"/>
    <n v="126.8"/>
    <n v="135.4"/>
  </r>
  <r>
    <x v="0"/>
    <x v="4"/>
    <x v="8"/>
    <n v="135.19999999999999"/>
    <n v="142"/>
    <n v="130.5"/>
    <n v="140.19999999999999"/>
    <n v="120.7"/>
    <n v="147.80000000000001"/>
    <n v="154.5"/>
    <n v="137.1"/>
    <n v="121"/>
    <n v="134.69999999999999"/>
    <n v="131.69999999999999"/>
    <n v="149.30000000000001"/>
    <n v="137.05833333333334"/>
    <n v="139.6"/>
    <n v="149.80000000000001"/>
    <n v="146.1"/>
    <n v="139.69999999999999"/>
    <n v="142.89999999999998"/>
    <n v="145.19999999999999"/>
    <s v="NA"/>
    <n v="137.4"/>
    <n v="137.9"/>
    <n v="133.4"/>
    <n v="121.2"/>
    <n v="132.30000000000001"/>
    <n v="139.6"/>
    <n v="126.7"/>
    <n v="130.30000000000001"/>
    <n v="137.6"/>
  </r>
  <r>
    <x v="1"/>
    <x v="4"/>
    <x v="8"/>
    <n v="133.6"/>
    <n v="143"/>
    <n v="129.69999999999999"/>
    <n v="138.69999999999999"/>
    <n v="114.5"/>
    <n v="137.5"/>
    <n v="160.69999999999999"/>
    <n v="124.5"/>
    <n v="122.4"/>
    <n v="137.30000000000001"/>
    <n v="124.8"/>
    <n v="145"/>
    <n v="134.30833333333334"/>
    <n v="138"/>
    <n v="153.6"/>
    <n v="133.30000000000001"/>
    <n v="124.6"/>
    <n v="128.94999999999999"/>
    <n v="132"/>
    <n v="135.69999999999999"/>
    <n v="120.6"/>
    <n v="128.1"/>
    <n v="126.1"/>
    <n v="115.7"/>
    <n v="124.5"/>
    <n v="135.9"/>
    <n v="124.4"/>
    <n v="124.5"/>
    <n v="132.4"/>
  </r>
  <r>
    <x v="2"/>
    <x v="4"/>
    <x v="8"/>
    <n v="134.69999999999999"/>
    <n v="142.4"/>
    <n v="130.19999999999999"/>
    <n v="139.6"/>
    <n v="118.4"/>
    <n v="143"/>
    <n v="156.6"/>
    <n v="132.9"/>
    <n v="121.5"/>
    <n v="135.6"/>
    <n v="128.80000000000001"/>
    <n v="147.30000000000001"/>
    <n v="135.91666666666666"/>
    <n v="139"/>
    <n v="150.80000000000001"/>
    <n v="141.1"/>
    <n v="133.4"/>
    <n v="137.25"/>
    <n v="140"/>
    <n v="135.69999999999999"/>
    <n v="131"/>
    <n v="133.30000000000001"/>
    <n v="130.6"/>
    <n v="118.3"/>
    <n v="127.9"/>
    <n v="137.4"/>
    <n v="125.7"/>
    <n v="127.5"/>
    <n v="135.19999999999999"/>
  </r>
  <r>
    <x v="0"/>
    <x v="4"/>
    <x v="9"/>
    <n v="135.9"/>
    <n v="141.9"/>
    <n v="131"/>
    <n v="141.5"/>
    <n v="121.4"/>
    <n v="146.69999999999999"/>
    <n v="157.1"/>
    <n v="136.4"/>
    <n v="121.4"/>
    <n v="135.6"/>
    <n v="131.30000000000001"/>
    <n v="150.30000000000001"/>
    <n v="137.54166666666666"/>
    <n v="140.4"/>
    <n v="150.5"/>
    <n v="147.19999999999999"/>
    <n v="140.6"/>
    <n v="143.89999999999998"/>
    <n v="146.19999999999999"/>
    <s v="NA"/>
    <n v="138.1"/>
    <n v="138.4"/>
    <n v="134.19999999999999"/>
    <n v="121"/>
    <n v="133"/>
    <n v="140.1"/>
    <n v="127.4"/>
    <n v="130.69999999999999"/>
    <n v="138.30000000000001"/>
  </r>
  <r>
    <x v="1"/>
    <x v="4"/>
    <x v="9"/>
    <n v="133.9"/>
    <n v="142.80000000000001"/>
    <n v="131.4"/>
    <n v="139.1"/>
    <n v="114.9"/>
    <n v="135.6"/>
    <n v="173.2"/>
    <n v="124.1"/>
    <n v="122.6"/>
    <n v="137.80000000000001"/>
    <n v="125.1"/>
    <n v="145.5"/>
    <n v="135.49999999999997"/>
    <n v="139.69999999999999"/>
    <n v="154.6"/>
    <n v="134"/>
    <n v="124.9"/>
    <n v="129.44999999999999"/>
    <n v="132.6"/>
    <n v="137.30000000000001"/>
    <n v="122.6"/>
    <n v="128.30000000000001"/>
    <n v="126.6"/>
    <n v="115"/>
    <n v="124.8"/>
    <n v="136.30000000000001"/>
    <n v="124.6"/>
    <n v="124.5"/>
    <n v="133.5"/>
  </r>
  <r>
    <x v="2"/>
    <x v="4"/>
    <x v="9"/>
    <n v="135.30000000000001"/>
    <n v="142.19999999999999"/>
    <n v="131.19999999999999"/>
    <n v="140.6"/>
    <n v="119"/>
    <n v="141.5"/>
    <n v="162.6"/>
    <n v="132.30000000000001"/>
    <n v="121.8"/>
    <n v="136.30000000000001"/>
    <n v="128.69999999999999"/>
    <n v="148.1"/>
    <n v="136.63333333333333"/>
    <n v="140.1"/>
    <n v="151.6"/>
    <n v="142"/>
    <n v="134.1"/>
    <n v="138.05000000000001"/>
    <n v="140.80000000000001"/>
    <n v="137.30000000000001"/>
    <n v="132.19999999999999"/>
    <n v="133.6"/>
    <n v="131.30000000000001"/>
    <n v="117.8"/>
    <n v="128.4"/>
    <n v="137.9"/>
    <n v="126.2"/>
    <n v="127.7"/>
    <n v="136.1"/>
  </r>
  <r>
    <x v="0"/>
    <x v="4"/>
    <x v="11"/>
    <n v="136.30000000000001"/>
    <n v="142.5"/>
    <n v="140.5"/>
    <n v="141.5"/>
    <n v="121.6"/>
    <n v="147.30000000000001"/>
    <n v="168"/>
    <n v="135.80000000000001"/>
    <n v="122.5"/>
    <n v="136"/>
    <n v="131.9"/>
    <n v="151.4"/>
    <n v="139.60833333333335"/>
    <n v="142.4"/>
    <n v="152.1"/>
    <n v="148.19999999999999"/>
    <n v="141.5"/>
    <n v="144.85"/>
    <n v="147.30000000000001"/>
    <s v="NA"/>
    <n v="141.1"/>
    <n v="139.4"/>
    <n v="135.80000000000001"/>
    <n v="121.6"/>
    <n v="133.69999999999999"/>
    <n v="141.5"/>
    <n v="128.1"/>
    <n v="131.69999999999999"/>
    <n v="140"/>
  </r>
  <r>
    <x v="1"/>
    <x v="4"/>
    <x v="11"/>
    <n v="134.30000000000001"/>
    <n v="142.1"/>
    <n v="146.69999999999999"/>
    <n v="139.5"/>
    <n v="115.2"/>
    <n v="136.4"/>
    <n v="185.2"/>
    <n v="122.2"/>
    <n v="123.9"/>
    <n v="138.30000000000001"/>
    <n v="125.4"/>
    <n v="146"/>
    <n v="137.93333333333334"/>
    <n v="141.5"/>
    <n v="156.19999999999999"/>
    <n v="135"/>
    <n v="125.4"/>
    <n v="130.19999999999999"/>
    <n v="133.5"/>
    <n v="138.6"/>
    <n v="125.7"/>
    <n v="128.80000000000001"/>
    <n v="127.4"/>
    <n v="115.3"/>
    <n v="125.1"/>
    <n v="136.6"/>
    <n v="124.9"/>
    <n v="124.9"/>
    <n v="134.80000000000001"/>
  </r>
  <r>
    <x v="2"/>
    <x v="4"/>
    <x v="11"/>
    <n v="135.69999999999999"/>
    <n v="142.4"/>
    <n v="142.9"/>
    <n v="140.80000000000001"/>
    <n v="119.2"/>
    <n v="142.19999999999999"/>
    <n v="173.8"/>
    <n v="131.19999999999999"/>
    <n v="123"/>
    <n v="136.80000000000001"/>
    <n v="129.19999999999999"/>
    <n v="148.9"/>
    <n v="138.84166666666667"/>
    <n v="142.1"/>
    <n v="153.19999999999999"/>
    <n v="143"/>
    <n v="134.80000000000001"/>
    <n v="138.9"/>
    <n v="141.80000000000001"/>
    <n v="138.6"/>
    <n v="135.30000000000001"/>
    <n v="134.4"/>
    <n v="132.6"/>
    <n v="118.3"/>
    <n v="128.9"/>
    <n v="138.6"/>
    <n v="126.8"/>
    <n v="128.4"/>
    <n v="137.6"/>
  </r>
  <r>
    <x v="0"/>
    <x v="4"/>
    <x v="12"/>
    <n v="136.4"/>
    <n v="143.69999999999999"/>
    <n v="144.80000000000001"/>
    <n v="141.9"/>
    <n v="123.1"/>
    <n v="147.19999999999999"/>
    <n v="161"/>
    <n v="133.80000000000001"/>
    <n v="121.9"/>
    <n v="135.80000000000001"/>
    <n v="131.1"/>
    <n v="151.4"/>
    <n v="139.34166666666667"/>
    <n v="141.5"/>
    <n v="153.19999999999999"/>
    <n v="148"/>
    <n v="141.9"/>
    <n v="144.94999999999999"/>
    <n v="147.19999999999999"/>
    <s v="NA"/>
    <n v="142.6"/>
    <n v="139.5"/>
    <n v="136.1"/>
    <n v="122"/>
    <n v="133.4"/>
    <n v="141.1"/>
    <n v="127.8"/>
    <n v="131.9"/>
    <n v="139.80000000000001"/>
  </r>
  <r>
    <x v="1"/>
    <x v="4"/>
    <x v="12"/>
    <n v="134.4"/>
    <n v="142.6"/>
    <n v="145.9"/>
    <n v="139.5"/>
    <n v="115.9"/>
    <n v="135"/>
    <n v="163.19999999999999"/>
    <n v="119.8"/>
    <n v="120.7"/>
    <n v="139.69999999999999"/>
    <n v="125.7"/>
    <n v="146.30000000000001"/>
    <n v="135.72499999999999"/>
    <n v="138.80000000000001"/>
    <n v="157"/>
    <n v="135.6"/>
    <n v="125.6"/>
    <n v="130.6"/>
    <n v="134"/>
    <n v="139.1"/>
    <n v="126.8"/>
    <n v="129.30000000000001"/>
    <n v="128.19999999999999"/>
    <n v="115.3"/>
    <n v="125.6"/>
    <n v="136.69999999999999"/>
    <n v="124.6"/>
    <n v="125.1"/>
    <n v="134.1"/>
  </r>
  <r>
    <x v="2"/>
    <x v="4"/>
    <x v="12"/>
    <n v="135.80000000000001"/>
    <n v="143.30000000000001"/>
    <n v="145.19999999999999"/>
    <n v="141"/>
    <n v="120.5"/>
    <n v="141.5"/>
    <n v="161.69999999999999"/>
    <n v="129.1"/>
    <n v="121.5"/>
    <n v="137.1"/>
    <n v="128.80000000000001"/>
    <n v="149"/>
    <n v="137.87499999999997"/>
    <n v="140.5"/>
    <n v="154.19999999999999"/>
    <n v="143.1"/>
    <n v="135.1"/>
    <n v="139.1"/>
    <n v="142"/>
    <n v="139.1"/>
    <n v="136.6"/>
    <n v="134.69999999999999"/>
    <n v="133.1"/>
    <n v="118.5"/>
    <n v="129"/>
    <n v="138.5"/>
    <n v="126.5"/>
    <n v="128.6"/>
    <n v="137.19999999999999"/>
  </r>
  <r>
    <x v="0"/>
    <x v="5"/>
    <x v="0"/>
    <n v="136.6"/>
    <n v="144.4"/>
    <n v="143.80000000000001"/>
    <n v="142"/>
    <n v="123.2"/>
    <n v="147.9"/>
    <n v="152.1"/>
    <n v="131.80000000000001"/>
    <n v="119.5"/>
    <n v="136"/>
    <n v="131.19999999999999"/>
    <n v="151.80000000000001"/>
    <n v="138.35833333333332"/>
    <n v="140.4"/>
    <n v="153.6"/>
    <n v="148.30000000000001"/>
    <n v="142.30000000000001"/>
    <n v="145.30000000000001"/>
    <n v="147.5"/>
    <s v="NA"/>
    <n v="142.30000000000001"/>
    <n v="139.80000000000001"/>
    <n v="136"/>
    <n v="122.7"/>
    <n v="134.30000000000001"/>
    <n v="141.6"/>
    <n v="128.6"/>
    <n v="132.30000000000001"/>
    <n v="139.30000000000001"/>
  </r>
  <r>
    <x v="1"/>
    <x v="5"/>
    <x v="0"/>
    <n v="134.6"/>
    <n v="143.69999999999999"/>
    <n v="143.6"/>
    <n v="139.6"/>
    <n v="116.4"/>
    <n v="133.80000000000001"/>
    <n v="150.5"/>
    <n v="118.4"/>
    <n v="117.3"/>
    <n v="140.5"/>
    <n v="125.9"/>
    <n v="146.80000000000001"/>
    <n v="134.25833333333335"/>
    <n v="137.19999999999999"/>
    <n v="157.69999999999999"/>
    <n v="136"/>
    <n v="125.9"/>
    <n v="130.94999999999999"/>
    <n v="134.4"/>
    <n v="140.4"/>
    <n v="127.3"/>
    <n v="129.5"/>
    <n v="129"/>
    <n v="116.3"/>
    <n v="126.2"/>
    <n v="137.1"/>
    <n v="125.5"/>
    <n v="125.8"/>
    <n v="134.1"/>
  </r>
  <r>
    <x v="2"/>
    <x v="5"/>
    <x v="0"/>
    <n v="136"/>
    <n v="144.19999999999999"/>
    <n v="143.69999999999999"/>
    <n v="141.1"/>
    <n v="120.7"/>
    <n v="141.30000000000001"/>
    <n v="151.6"/>
    <n v="127.3"/>
    <n v="118.8"/>
    <n v="137.5"/>
    <n v="129"/>
    <n v="149.5"/>
    <n v="136.72499999999999"/>
    <n v="139.19999999999999"/>
    <n v="154.69999999999999"/>
    <n v="143.5"/>
    <n v="135.5"/>
    <n v="139.5"/>
    <n v="142.30000000000001"/>
    <n v="140.4"/>
    <n v="136.6"/>
    <n v="134.9"/>
    <n v="133.30000000000001"/>
    <n v="119.3"/>
    <n v="129.69999999999999"/>
    <n v="139"/>
    <n v="127.3"/>
    <n v="129.1"/>
    <n v="136.9"/>
  </r>
  <r>
    <x v="0"/>
    <x v="5"/>
    <x v="1"/>
    <n v="136.4"/>
    <n v="143.69999999999999"/>
    <n v="140.6"/>
    <n v="141.5"/>
    <n v="122.9"/>
    <n v="149.4"/>
    <n v="142.4"/>
    <n v="130.19999999999999"/>
    <n v="117.9"/>
    <n v="135.6"/>
    <n v="130.5"/>
    <n v="151.69999999999999"/>
    <n v="136.9"/>
    <n v="138.69999999999999"/>
    <n v="153.30000000000001"/>
    <n v="148.69999999999999"/>
    <n v="142.4"/>
    <n v="145.55000000000001"/>
    <n v="147.80000000000001"/>
    <s v="NA"/>
    <n v="142.4"/>
    <n v="139.9"/>
    <n v="136.19999999999999"/>
    <n v="123.3"/>
    <n v="134.30000000000001"/>
    <n v="141.5"/>
    <n v="128.80000000000001"/>
    <n v="132.5"/>
    <n v="138.5"/>
  </r>
  <r>
    <x v="1"/>
    <x v="5"/>
    <x v="1"/>
    <n v="134.80000000000001"/>
    <n v="143"/>
    <n v="139.9"/>
    <n v="139.9"/>
    <n v="116.2"/>
    <n v="135.5"/>
    <n v="136.9"/>
    <n v="117"/>
    <n v="115.4"/>
    <n v="140.69999999999999"/>
    <n v="125.9"/>
    <n v="147.1"/>
    <n v="132.69166666666669"/>
    <n v="135.6"/>
    <n v="159.30000000000001"/>
    <n v="136.30000000000001"/>
    <n v="126.1"/>
    <n v="131.19999999999999"/>
    <n v="134.69999999999999"/>
    <n v="141.30000000000001"/>
    <n v="127.3"/>
    <n v="129.9"/>
    <n v="129.80000000000001"/>
    <n v="117.4"/>
    <n v="126.5"/>
    <n v="137.19999999999999"/>
    <n v="126.2"/>
    <n v="126.5"/>
    <n v="134"/>
  </r>
  <r>
    <x v="2"/>
    <x v="5"/>
    <x v="1"/>
    <n v="135.9"/>
    <n v="143.5"/>
    <n v="140.30000000000001"/>
    <n v="140.9"/>
    <n v="120.4"/>
    <n v="142.9"/>
    <n v="140.5"/>
    <n v="125.8"/>
    <n v="117.1"/>
    <n v="137.30000000000001"/>
    <n v="128.6"/>
    <n v="149.6"/>
    <n v="135.23333333333332"/>
    <n v="137.6"/>
    <n v="154.9"/>
    <n v="143.80000000000001"/>
    <n v="135.6"/>
    <n v="139.69999999999999"/>
    <n v="142.6"/>
    <n v="141.30000000000001"/>
    <n v="136.69999999999999"/>
    <n v="135.19999999999999"/>
    <n v="133.80000000000001"/>
    <n v="120.2"/>
    <n v="129.9"/>
    <n v="139"/>
    <n v="127.7"/>
    <n v="129.6"/>
    <n v="136.4"/>
  </r>
  <r>
    <x v="0"/>
    <x v="5"/>
    <x v="2"/>
    <n v="136.80000000000001"/>
    <n v="143.80000000000001"/>
    <n v="140"/>
    <n v="142"/>
    <n v="123.2"/>
    <n v="152.9"/>
    <n v="138"/>
    <n v="129.30000000000001"/>
    <n v="117.1"/>
    <n v="136.30000000000001"/>
    <n v="131.19999999999999"/>
    <n v="152.80000000000001"/>
    <n v="136.94999999999999"/>
    <n v="138.6"/>
    <n v="155.1"/>
    <n v="149.19999999999999"/>
    <n v="143"/>
    <n v="146.1"/>
    <n v="148.30000000000001"/>
    <s v="NA"/>
    <n v="142.6"/>
    <n v="139.9"/>
    <n v="136.69999999999999"/>
    <n v="124.6"/>
    <n v="135.1"/>
    <n v="142.69999999999999"/>
    <n v="129.30000000000001"/>
    <n v="133.30000000000001"/>
    <n v="138.69999999999999"/>
  </r>
  <r>
    <x v="1"/>
    <x v="5"/>
    <x v="2"/>
    <n v="135"/>
    <n v="143.1"/>
    <n v="135.5"/>
    <n v="139.9"/>
    <n v="116.5"/>
    <n v="138.5"/>
    <n v="128"/>
    <n v="115.5"/>
    <n v="114.2"/>
    <n v="140.69999999999999"/>
    <n v="126.2"/>
    <n v="147.6"/>
    <n v="131.72499999999999"/>
    <n v="134.80000000000001"/>
    <n v="159.69999999999999"/>
    <n v="136.69999999999999"/>
    <n v="126.7"/>
    <n v="131.69999999999999"/>
    <n v="135.19999999999999"/>
    <n v="142"/>
    <n v="126.4"/>
    <n v="130.80000000000001"/>
    <n v="130.5"/>
    <n v="117.8"/>
    <n v="126.8"/>
    <n v="137.80000000000001"/>
    <n v="126.7"/>
    <n v="127.1"/>
    <n v="134"/>
  </r>
  <r>
    <x v="2"/>
    <x v="5"/>
    <x v="2"/>
    <n v="136.19999999999999"/>
    <n v="143.6"/>
    <n v="138.30000000000001"/>
    <n v="141.19999999999999"/>
    <n v="120.7"/>
    <n v="146.19999999999999"/>
    <n v="134.6"/>
    <n v="124.6"/>
    <n v="116.1"/>
    <n v="137.80000000000001"/>
    <n v="129.1"/>
    <n v="150.4"/>
    <n v="134.9"/>
    <n v="137.19999999999999"/>
    <n v="156.30000000000001"/>
    <n v="144.30000000000001"/>
    <n v="136.19999999999999"/>
    <n v="140.25"/>
    <n v="143.1"/>
    <n v="142"/>
    <n v="136.5"/>
    <n v="135.6"/>
    <n v="134.30000000000001"/>
    <n v="121"/>
    <n v="130.4"/>
    <n v="139.80000000000001"/>
    <n v="128.19999999999999"/>
    <n v="130.30000000000001"/>
    <n v="136.5"/>
  </r>
  <r>
    <x v="0"/>
    <x v="5"/>
    <x v="3"/>
    <n v="137.1"/>
    <n v="144.5"/>
    <n v="135.9"/>
    <n v="142.4"/>
    <n v="123.5"/>
    <n v="156.4"/>
    <n v="135.1"/>
    <n v="128.4"/>
    <n v="115.2"/>
    <n v="137.19999999999999"/>
    <n v="131.9"/>
    <n v="153.80000000000001"/>
    <n v="136.78333333333333"/>
    <n v="138.6"/>
    <n v="156.1"/>
    <n v="150.1"/>
    <n v="143.30000000000001"/>
    <n v="146.69999999999999"/>
    <n v="149.1"/>
    <s v="NA"/>
    <n v="143.80000000000001"/>
    <n v="140.9"/>
    <n v="137.6"/>
    <n v="125.3"/>
    <n v="136"/>
    <n v="143.69999999999999"/>
    <n v="130.4"/>
    <n v="134.19999999999999"/>
    <n v="139.1"/>
  </r>
  <r>
    <x v="1"/>
    <x v="5"/>
    <x v="3"/>
    <n v="135"/>
    <n v="144.30000000000001"/>
    <n v="130.80000000000001"/>
    <n v="140.30000000000001"/>
    <n v="116.6"/>
    <n v="150.1"/>
    <n v="127.6"/>
    <n v="114"/>
    <n v="110.6"/>
    <n v="140.19999999999999"/>
    <n v="126.5"/>
    <n v="148.30000000000001"/>
    <n v="132.02500000000001"/>
    <n v="135.69999999999999"/>
    <n v="159.19999999999999"/>
    <n v="137.80000000000001"/>
    <n v="127.4"/>
    <n v="132.60000000000002"/>
    <n v="136.19999999999999"/>
    <n v="142.9"/>
    <n v="124.6"/>
    <n v="131.80000000000001"/>
    <n v="131.30000000000001"/>
    <n v="118.9"/>
    <n v="127.6"/>
    <n v="139.69999999999999"/>
    <n v="127.6"/>
    <n v="128.19999999999999"/>
    <n v="134.80000000000001"/>
  </r>
  <r>
    <x v="2"/>
    <x v="5"/>
    <x v="3"/>
    <n v="136.4"/>
    <n v="144.4"/>
    <n v="133.9"/>
    <n v="141.6"/>
    <n v="121"/>
    <n v="153.5"/>
    <n v="132.6"/>
    <n v="123.5"/>
    <n v="113.7"/>
    <n v="138.19999999999999"/>
    <n v="129.6"/>
    <n v="151.19999999999999"/>
    <n v="134.96666666666667"/>
    <n v="137.5"/>
    <n v="156.9"/>
    <n v="145.30000000000001"/>
    <n v="136.69999999999999"/>
    <n v="141"/>
    <n v="144"/>
    <n v="142.9"/>
    <n v="136.5"/>
    <n v="136.6"/>
    <n v="135.19999999999999"/>
    <n v="121.9"/>
    <n v="131.30000000000001"/>
    <n v="141.4"/>
    <n v="129.19999999999999"/>
    <n v="131.30000000000001"/>
    <n v="137.1"/>
  </r>
  <r>
    <x v="0"/>
    <x v="5"/>
    <x v="4"/>
    <n v="137.4"/>
    <n v="145.69999999999999"/>
    <n v="135.5"/>
    <n v="142.9"/>
    <n v="123.6"/>
    <n v="157.5"/>
    <n v="137.80000000000001"/>
    <n v="127.2"/>
    <n v="111.8"/>
    <n v="137.4"/>
    <n v="132.19999999999999"/>
    <n v="154.30000000000001"/>
    <n v="136.94166666666669"/>
    <n v="139.1"/>
    <n v="157"/>
    <n v="150.80000000000001"/>
    <n v="144.1"/>
    <n v="147.44999999999999"/>
    <n v="149.80000000000001"/>
    <s v="NA"/>
    <n v="144.30000000000001"/>
    <n v="141.80000000000001"/>
    <n v="138.4"/>
    <n v="126.4"/>
    <n v="136.80000000000001"/>
    <n v="144.4"/>
    <n v="131.19999999999999"/>
    <n v="135.1"/>
    <n v="139.80000000000001"/>
  </r>
  <r>
    <x v="1"/>
    <x v="5"/>
    <x v="4"/>
    <n v="135"/>
    <n v="148.19999999999999"/>
    <n v="130.5"/>
    <n v="140.69999999999999"/>
    <n v="116.4"/>
    <n v="151.30000000000001"/>
    <n v="131.4"/>
    <n v="112.8"/>
    <n v="105.3"/>
    <n v="139.6"/>
    <n v="126.6"/>
    <n v="148.69999999999999"/>
    <n v="132.20833333333331"/>
    <n v="136.4"/>
    <n v="160.30000000000001"/>
    <n v="138.6"/>
    <n v="127.9"/>
    <n v="133.25"/>
    <n v="137"/>
    <n v="143.19999999999999"/>
    <n v="124.7"/>
    <n v="132.5"/>
    <n v="132"/>
    <n v="119.8"/>
    <n v="128"/>
    <n v="140.4"/>
    <n v="128.1"/>
    <n v="128.9"/>
    <n v="135.4"/>
  </r>
  <r>
    <x v="2"/>
    <x v="5"/>
    <x v="4"/>
    <n v="136.6"/>
    <n v="146.6"/>
    <n v="133.6"/>
    <n v="142.1"/>
    <n v="121"/>
    <n v="154.6"/>
    <n v="135.6"/>
    <n v="122.3"/>
    <n v="109.6"/>
    <n v="138.1"/>
    <n v="129.9"/>
    <n v="151.69999999999999"/>
    <n v="135.14166666666668"/>
    <n v="138.1"/>
    <n v="157.9"/>
    <n v="146"/>
    <n v="137.4"/>
    <n v="141.69999999999999"/>
    <n v="144.69999999999999"/>
    <n v="143.19999999999999"/>
    <n v="136.9"/>
    <n v="137.4"/>
    <n v="136"/>
    <n v="122.9"/>
    <n v="131.80000000000001"/>
    <n v="142.1"/>
    <n v="129.9"/>
    <n v="132.1"/>
    <n v="137.80000000000001"/>
  </r>
  <r>
    <x v="0"/>
    <x v="5"/>
    <x v="5"/>
    <n v="137.6"/>
    <n v="148.1"/>
    <n v="136.69999999999999"/>
    <n v="143.19999999999999"/>
    <n v="124"/>
    <n v="154.1"/>
    <n v="143.5"/>
    <n v="126"/>
    <n v="112.4"/>
    <n v="137.6"/>
    <n v="132.80000000000001"/>
    <n v="154.30000000000001"/>
    <n v="137.52499999999998"/>
    <n v="140"/>
    <n v="157.30000000000001"/>
    <n v="151.30000000000001"/>
    <n v="144.69999999999999"/>
    <n v="148"/>
    <n v="150.30000000000001"/>
    <s v="NA"/>
    <n v="145.1"/>
    <n v="142.19999999999999"/>
    <n v="138.4"/>
    <n v="127.4"/>
    <n v="137.80000000000001"/>
    <n v="145.1"/>
    <n v="131.4"/>
    <n v="135.6"/>
    <n v="140.5"/>
  </r>
  <r>
    <x v="1"/>
    <x v="5"/>
    <x v="5"/>
    <n v="135.30000000000001"/>
    <n v="149.69999999999999"/>
    <n v="133.9"/>
    <n v="140.80000000000001"/>
    <n v="116.6"/>
    <n v="152.19999999999999"/>
    <n v="144"/>
    <n v="112.3"/>
    <n v="108.4"/>
    <n v="140"/>
    <n v="126.7"/>
    <n v="149"/>
    <n v="134.07500000000002"/>
    <n v="138.4"/>
    <n v="161"/>
    <n v="138.9"/>
    <n v="128.69999999999999"/>
    <n v="133.80000000000001"/>
    <n v="137.4"/>
    <n v="142.5"/>
    <n v="126.5"/>
    <n v="133.1"/>
    <n v="132.6"/>
    <n v="120.4"/>
    <n v="128.5"/>
    <n v="141.19999999999999"/>
    <n v="128.19999999999999"/>
    <n v="129.5"/>
    <n v="136.19999999999999"/>
  </r>
  <r>
    <x v="2"/>
    <x v="5"/>
    <x v="5"/>
    <n v="136.9"/>
    <n v="148.69999999999999"/>
    <n v="135.6"/>
    <n v="142.30000000000001"/>
    <n v="121.3"/>
    <n v="153.19999999999999"/>
    <n v="143.69999999999999"/>
    <n v="121.4"/>
    <n v="111.1"/>
    <n v="138.4"/>
    <n v="130.30000000000001"/>
    <n v="151.80000000000001"/>
    <n v="136.22499999999999"/>
    <n v="139.4"/>
    <n v="158.30000000000001"/>
    <n v="146.4"/>
    <n v="138.1"/>
    <n v="142.25"/>
    <n v="145.19999999999999"/>
    <n v="142.5"/>
    <n v="138.1"/>
    <n v="137.9"/>
    <n v="136.19999999999999"/>
    <n v="123.7"/>
    <n v="132.6"/>
    <n v="142.80000000000001"/>
    <n v="130.1"/>
    <n v="132.6"/>
    <n v="138.5"/>
  </r>
  <r>
    <x v="0"/>
    <x v="5"/>
    <x v="6"/>
    <n v="138.4"/>
    <n v="149.30000000000001"/>
    <n v="139.30000000000001"/>
    <n v="143.4"/>
    <n v="124.1"/>
    <n v="153.30000000000001"/>
    <n v="154.19999999999999"/>
    <n v="126.4"/>
    <n v="114.3"/>
    <n v="138.19999999999999"/>
    <n v="132.80000000000001"/>
    <n v="154.80000000000001"/>
    <n v="139.04166666666669"/>
    <n v="142"/>
    <n v="156.1"/>
    <n v="151.5"/>
    <n v="145.1"/>
    <n v="148.30000000000001"/>
    <n v="150.6"/>
    <s v="NA"/>
    <n v="146.80000000000001"/>
    <n v="143.1"/>
    <n v="139"/>
    <n v="127.5"/>
    <n v="138.4"/>
    <n v="145.80000000000001"/>
    <n v="131.4"/>
    <n v="136"/>
    <n v="141.80000000000001"/>
  </r>
  <r>
    <x v="1"/>
    <x v="5"/>
    <x v="6"/>
    <n v="135.6"/>
    <n v="148.6"/>
    <n v="139.1"/>
    <n v="141"/>
    <n v="116.7"/>
    <n v="149.69999999999999"/>
    <n v="159.19999999999999"/>
    <n v="112.6"/>
    <n v="111.8"/>
    <n v="140.30000000000001"/>
    <n v="126.8"/>
    <n v="149.4"/>
    <n v="135.9"/>
    <n v="140.30000000000001"/>
    <n v="161.4"/>
    <n v="139.6"/>
    <n v="128.9"/>
    <n v="134.25"/>
    <n v="137.9"/>
    <n v="143.6"/>
    <n v="128.1"/>
    <n v="133.6"/>
    <n v="133.6"/>
    <n v="120.1"/>
    <n v="129"/>
    <n v="144"/>
    <n v="128.19999999999999"/>
    <n v="130.19999999999999"/>
    <n v="137.5"/>
  </r>
  <r>
    <x v="2"/>
    <x v="5"/>
    <x v="6"/>
    <n v="137.5"/>
    <n v="149.1"/>
    <n v="139.19999999999999"/>
    <n v="142.5"/>
    <n v="121.4"/>
    <n v="151.6"/>
    <n v="155.9"/>
    <n v="121.7"/>
    <n v="113.5"/>
    <n v="138.9"/>
    <n v="130.30000000000001"/>
    <n v="152.30000000000001"/>
    <n v="137.82499999999999"/>
    <n v="141.4"/>
    <n v="157.5"/>
    <n v="146.80000000000001"/>
    <n v="138.4"/>
    <n v="142.60000000000002"/>
    <n v="145.6"/>
    <n v="143.6"/>
    <n v="139.69999999999999"/>
    <n v="138.6"/>
    <n v="137"/>
    <n v="123.6"/>
    <n v="133.1"/>
    <n v="144.69999999999999"/>
    <n v="130.1"/>
    <n v="133.19999999999999"/>
    <n v="139.80000000000001"/>
  </r>
  <r>
    <x v="0"/>
    <x v="5"/>
    <x v="7"/>
    <n v="139.19999999999999"/>
    <n v="148.80000000000001"/>
    <n v="139.1"/>
    <n v="143.5"/>
    <n v="125"/>
    <n v="154.4"/>
    <n v="156.30000000000001"/>
    <n v="126.8"/>
    <n v="115.4"/>
    <n v="138.6"/>
    <n v="133.80000000000001"/>
    <n v="155.19999999999999"/>
    <n v="139.67499999999998"/>
    <n v="142.69999999999999"/>
    <n v="156.4"/>
    <n v="152.1"/>
    <n v="145.80000000000001"/>
    <n v="148.94999999999999"/>
    <n v="151.30000000000001"/>
    <s v="NA"/>
    <n v="147.69999999999999"/>
    <n v="143.80000000000001"/>
    <n v="139.4"/>
    <n v="128.30000000000001"/>
    <n v="138.6"/>
    <n v="146.9"/>
    <n v="131.30000000000001"/>
    <n v="136.6"/>
    <n v="142.5"/>
  </r>
  <r>
    <x v="1"/>
    <x v="5"/>
    <x v="7"/>
    <n v="136.5"/>
    <n v="146.4"/>
    <n v="136.6"/>
    <n v="141.19999999999999"/>
    <n v="117.4"/>
    <n v="146.30000000000001"/>
    <n v="157.30000000000001"/>
    <n v="113.6"/>
    <n v="113.3"/>
    <n v="141.1"/>
    <n v="127.4"/>
    <n v="150.4"/>
    <n v="135.625"/>
    <n v="140.1"/>
    <n v="162.1"/>
    <n v="140"/>
    <n v="129"/>
    <n v="134.5"/>
    <n v="138.30000000000001"/>
    <n v="144.6"/>
    <n v="129.80000000000001"/>
    <n v="134.4"/>
    <n v="134.9"/>
    <n v="120.7"/>
    <n v="129.80000000000001"/>
    <n v="145.30000000000001"/>
    <n v="128.30000000000001"/>
    <n v="131"/>
    <n v="138"/>
  </r>
  <r>
    <x v="2"/>
    <x v="5"/>
    <x v="7"/>
    <n v="138.30000000000001"/>
    <n v="148"/>
    <n v="138.1"/>
    <n v="142.6"/>
    <n v="122.2"/>
    <n v="150.6"/>
    <n v="156.6"/>
    <n v="122.4"/>
    <n v="114.7"/>
    <n v="139.4"/>
    <n v="131.1"/>
    <n v="153"/>
    <n v="138.08333333333334"/>
    <n v="141.69999999999999"/>
    <n v="157.9"/>
    <n v="147.30000000000001"/>
    <n v="138.80000000000001"/>
    <n v="143.05000000000001"/>
    <n v="146.1"/>
    <n v="144.6"/>
    <n v="140.9"/>
    <n v="139.4"/>
    <n v="137.69999999999999"/>
    <n v="124.3"/>
    <n v="133.6"/>
    <n v="146"/>
    <n v="130.1"/>
    <n v="133.9"/>
    <n v="140.4"/>
  </r>
  <r>
    <x v="0"/>
    <x v="5"/>
    <x v="8"/>
    <n v="139.4"/>
    <n v="147.19999999999999"/>
    <n v="136.6"/>
    <n v="143.69999999999999"/>
    <n v="124.6"/>
    <n v="150.1"/>
    <n v="149.4"/>
    <n v="125.4"/>
    <n v="114.4"/>
    <n v="138.69999999999999"/>
    <n v="133.1"/>
    <n v="155.9"/>
    <n v="138.20833333333334"/>
    <n v="141.30000000000001"/>
    <n v="157.69999999999999"/>
    <n v="152.1"/>
    <n v="146.1"/>
    <n v="149.1"/>
    <n v="151.30000000000001"/>
    <s v="NA"/>
    <n v="149"/>
    <n v="144"/>
    <n v="140"/>
    <n v="129.9"/>
    <n v="140"/>
    <n v="147.6"/>
    <n v="132"/>
    <n v="137.4"/>
    <n v="142.1"/>
  </r>
  <r>
    <x v="1"/>
    <x v="5"/>
    <x v="8"/>
    <n v="137"/>
    <n v="143.1"/>
    <n v="132.80000000000001"/>
    <n v="141.5"/>
    <n v="117.8"/>
    <n v="140"/>
    <n v="151.30000000000001"/>
    <n v="113.5"/>
    <n v="112.3"/>
    <n v="141.19999999999999"/>
    <n v="127.7"/>
    <n v="151.30000000000001"/>
    <n v="134.125"/>
    <n v="138.9"/>
    <n v="163.30000000000001"/>
    <n v="140.80000000000001"/>
    <n v="129.30000000000001"/>
    <n v="135.05000000000001"/>
    <n v="139.1"/>
    <n v="145.30000000000001"/>
    <n v="131.19999999999999"/>
    <n v="134.9"/>
    <n v="135.69999999999999"/>
    <n v="122.5"/>
    <n v="130.19999999999999"/>
    <n v="145.19999999999999"/>
    <n v="129.30000000000001"/>
    <n v="131.9"/>
    <n v="138.1"/>
  </r>
  <r>
    <x v="2"/>
    <x v="5"/>
    <x v="8"/>
    <n v="138.6"/>
    <n v="145.80000000000001"/>
    <n v="135.1"/>
    <n v="142.9"/>
    <n v="122.1"/>
    <n v="145.4"/>
    <n v="150"/>
    <n v="121.4"/>
    <n v="113.7"/>
    <n v="139.5"/>
    <n v="130.80000000000001"/>
    <n v="153.80000000000001"/>
    <n v="136.59166666666667"/>
    <n v="140.4"/>
    <n v="159.19999999999999"/>
    <n v="147.69999999999999"/>
    <n v="139.1"/>
    <n v="143.39999999999998"/>
    <n v="146.5"/>
    <n v="145.30000000000001"/>
    <n v="142.30000000000001"/>
    <n v="139.69999999999999"/>
    <n v="138.4"/>
    <n v="126"/>
    <n v="134.5"/>
    <n v="146.19999999999999"/>
    <n v="130.9"/>
    <n v="134.69999999999999"/>
    <n v="140.19999999999999"/>
  </r>
  <r>
    <x v="0"/>
    <x v="5"/>
    <x v="9"/>
    <n v="139.30000000000001"/>
    <n v="147.6"/>
    <n v="134.6"/>
    <n v="141.9"/>
    <n v="123.5"/>
    <n v="144.5"/>
    <n v="147.6"/>
    <n v="121.4"/>
    <n v="112.3"/>
    <n v="139.5"/>
    <n v="134.6"/>
    <n v="155.19999999999999"/>
    <n v="136.83333333333334"/>
    <n v="140.19999999999999"/>
    <n v="159.6"/>
    <n v="150.69999999999999"/>
    <n v="144.5"/>
    <n v="147.6"/>
    <n v="149.80000000000001"/>
    <s v="NA"/>
    <n v="149.69999999999999"/>
    <n v="147.5"/>
    <n v="144.80000000000001"/>
    <n v="130.80000000000001"/>
    <n v="140.1"/>
    <n v="148"/>
    <n v="134.4"/>
    <n v="139.80000000000001"/>
    <n v="142.19999999999999"/>
  </r>
  <r>
    <x v="1"/>
    <x v="5"/>
    <x v="9"/>
    <n v="137.6"/>
    <n v="144.9"/>
    <n v="133.5"/>
    <n v="141.5"/>
    <n v="118"/>
    <n v="139.5"/>
    <n v="153"/>
    <n v="113.2"/>
    <n v="112.8"/>
    <n v="141.1"/>
    <n v="127.6"/>
    <n v="152"/>
    <n v="134.55833333333331"/>
    <n v="139.4"/>
    <n v="164"/>
    <n v="141.5"/>
    <n v="129.80000000000001"/>
    <n v="135.65"/>
    <n v="139.69999999999999"/>
    <n v="146.30000000000001"/>
    <n v="133.4"/>
    <n v="135.1"/>
    <n v="136.19999999999999"/>
    <n v="123.3"/>
    <n v="130.69999999999999"/>
    <n v="145.5"/>
    <n v="130.4"/>
    <n v="132.5"/>
    <n v="138.9"/>
  </r>
  <r>
    <x v="2"/>
    <x v="5"/>
    <x v="9"/>
    <n v="137.4"/>
    <n v="149.5"/>
    <n v="137.30000000000001"/>
    <n v="141.9"/>
    <n v="121.1"/>
    <n v="142.5"/>
    <n v="146.69999999999999"/>
    <n v="119.1"/>
    <n v="111.9"/>
    <n v="141"/>
    <n v="133.6"/>
    <n v="154.5"/>
    <n v="136.375"/>
    <n v="139.69999999999999"/>
    <n v="162.6"/>
    <n v="148"/>
    <n v="139.19999999999999"/>
    <n v="143.6"/>
    <n v="146.80000000000001"/>
    <n v="146.9"/>
    <n v="145.30000000000001"/>
    <n v="142.19999999999999"/>
    <n v="142.1"/>
    <n v="125.5"/>
    <n v="136.5"/>
    <n v="147.80000000000001"/>
    <n v="132"/>
    <n v="136.30000000000001"/>
    <n v="140.80000000000001"/>
  </r>
  <r>
    <x v="0"/>
    <x v="5"/>
    <x v="11"/>
    <n v="137.1"/>
    <n v="150.80000000000001"/>
    <n v="136.69999999999999"/>
    <n v="141.9"/>
    <n v="122.8"/>
    <n v="143.9"/>
    <n v="147.5"/>
    <n v="121"/>
    <n v="111.6"/>
    <n v="140.6"/>
    <n v="137.5"/>
    <n v="156.1"/>
    <n v="137.29166666666663"/>
    <n v="140"/>
    <n v="161.9"/>
    <n v="151.69999999999999"/>
    <n v="145.5"/>
    <n v="148.6"/>
    <n v="150.80000000000001"/>
    <s v="NA"/>
    <n v="150.30000000000001"/>
    <n v="148"/>
    <n v="145.4"/>
    <n v="130.30000000000001"/>
    <n v="143.1"/>
    <n v="150.19999999999999"/>
    <n v="133.1"/>
    <n v="140.1"/>
    <n v="142.4"/>
  </r>
  <r>
    <x v="1"/>
    <x v="5"/>
    <x v="11"/>
    <n v="138.1"/>
    <n v="146.30000000000001"/>
    <n v="137.80000000000001"/>
    <n v="141.6"/>
    <n v="118.1"/>
    <n v="141.5"/>
    <n v="145.19999999999999"/>
    <n v="115.3"/>
    <n v="112.5"/>
    <n v="141.4"/>
    <n v="128"/>
    <n v="152.6"/>
    <n v="134.86666666666665"/>
    <n v="139.1"/>
    <n v="164.4"/>
    <n v="142.4"/>
    <n v="130.19999999999999"/>
    <n v="136.30000000000001"/>
    <n v="140.5"/>
    <n v="146.9"/>
    <n v="136.69999999999999"/>
    <n v="135.80000000000001"/>
    <n v="136.80000000000001"/>
    <n v="121.2"/>
    <n v="131.30000000000001"/>
    <n v="146.1"/>
    <n v="130.5"/>
    <n v="132.19999999999999"/>
    <n v="139"/>
  </r>
  <r>
    <x v="2"/>
    <x v="5"/>
    <x v="11"/>
    <n v="137.4"/>
    <n v="149.19999999999999"/>
    <n v="137.1"/>
    <n v="141.80000000000001"/>
    <n v="121.1"/>
    <n v="142.80000000000001"/>
    <n v="146.69999999999999"/>
    <n v="119.1"/>
    <n v="111.9"/>
    <n v="140.9"/>
    <n v="133.5"/>
    <n v="154.5"/>
    <n v="136.33333333333334"/>
    <n v="139.69999999999999"/>
    <n v="162.6"/>
    <n v="148"/>
    <n v="139.1"/>
    <n v="143.55000000000001"/>
    <n v="146.69999999999999"/>
    <n v="146.9"/>
    <n v="145.1"/>
    <n v="142.19999999999999"/>
    <n v="142.1"/>
    <n v="125.5"/>
    <n v="136.5"/>
    <n v="147.80000000000001"/>
    <n v="132"/>
    <n v="136.30000000000001"/>
    <n v="140.80000000000001"/>
  </r>
  <r>
    <x v="0"/>
    <x v="5"/>
    <x v="12"/>
    <n v="137.1"/>
    <n v="151.9"/>
    <n v="137.4"/>
    <n v="142.4"/>
    <n v="124.2"/>
    <n v="140.19999999999999"/>
    <n v="136.6"/>
    <n v="120.9"/>
    <n v="109.9"/>
    <n v="140.19999999999999"/>
    <n v="137.80000000000001"/>
    <n v="156"/>
    <n v="136.21666666666667"/>
    <n v="138.5"/>
    <n v="162.4"/>
    <n v="151.6"/>
    <n v="145.9"/>
    <n v="148.75"/>
    <n v="150.80000000000001"/>
    <s v="NA"/>
    <n v="149"/>
    <n v="149.5"/>
    <n v="149.6"/>
    <n v="128.9"/>
    <n v="143.30000000000001"/>
    <n v="155.1"/>
    <n v="133.19999999999999"/>
    <n v="141.6"/>
    <n v="141.9"/>
  </r>
  <r>
    <x v="1"/>
    <x v="5"/>
    <x v="12"/>
    <n v="138.5"/>
    <n v="147.80000000000001"/>
    <n v="141.1"/>
    <n v="141.6"/>
    <n v="118.1"/>
    <n v="138.5"/>
    <n v="132.4"/>
    <n v="117.5"/>
    <n v="111"/>
    <n v="141.5"/>
    <n v="128.1"/>
    <n v="152.9"/>
    <n v="134.08333333333334"/>
    <n v="137.6"/>
    <n v="164.6"/>
    <n v="142.69999999999999"/>
    <n v="130.30000000000001"/>
    <n v="136.5"/>
    <n v="140.80000000000001"/>
    <n v="146.5"/>
    <n v="132.4"/>
    <n v="136.19999999999999"/>
    <n v="137.30000000000001"/>
    <n v="118.8"/>
    <n v="131.69999999999999"/>
    <n v="146.5"/>
    <n v="130.80000000000001"/>
    <n v="131.69999999999999"/>
    <n v="138"/>
  </r>
  <r>
    <x v="2"/>
    <x v="5"/>
    <x v="12"/>
    <n v="137.5"/>
    <n v="150.5"/>
    <n v="138.80000000000001"/>
    <n v="142.1"/>
    <n v="122"/>
    <n v="139.4"/>
    <n v="135.19999999999999"/>
    <n v="119.8"/>
    <n v="110.3"/>
    <n v="140.6"/>
    <n v="133.80000000000001"/>
    <n v="154.6"/>
    <n v="135.3833333333333"/>
    <n v="138.19999999999999"/>
    <n v="163"/>
    <n v="148.1"/>
    <n v="139.4"/>
    <n v="143.75"/>
    <n v="146.80000000000001"/>
    <n v="146.5"/>
    <n v="142.69999999999999"/>
    <n v="143.19999999999999"/>
    <n v="144.9"/>
    <n v="123.6"/>
    <n v="136.80000000000001"/>
    <n v="150.1"/>
    <n v="132.19999999999999"/>
    <n v="136.80000000000001"/>
    <n v="140.1"/>
  </r>
  <r>
    <x v="0"/>
    <x v="6"/>
    <x v="0"/>
    <n v="136.6"/>
    <n v="152.5"/>
    <n v="138.19999999999999"/>
    <n v="142.4"/>
    <n v="123.9"/>
    <n v="135.5"/>
    <n v="131.69999999999999"/>
    <n v="121.3"/>
    <n v="108.4"/>
    <n v="138.9"/>
    <n v="137"/>
    <n v="155.80000000000001"/>
    <n v="135.18333333333334"/>
    <n v="137.4"/>
    <n v="162.69999999999999"/>
    <n v="150.6"/>
    <n v="145.1"/>
    <n v="147.85"/>
    <n v="149.9"/>
    <s v="NA"/>
    <n v="146.19999999999999"/>
    <n v="150.1"/>
    <n v="149.6"/>
    <n v="128.6"/>
    <n v="142.9"/>
    <n v="155.19999999999999"/>
    <n v="133.5"/>
    <n v="141.69999999999999"/>
    <n v="141"/>
  </r>
  <r>
    <x v="1"/>
    <x v="6"/>
    <x v="0"/>
    <n v="138.30000000000001"/>
    <n v="149.4"/>
    <n v="143.5"/>
    <n v="141.69999999999999"/>
    <n v="118.1"/>
    <n v="135.19999999999999"/>
    <n v="130.5"/>
    <n v="118.2"/>
    <n v="110.4"/>
    <n v="140.4"/>
    <n v="128.1"/>
    <n v="153.19999999999999"/>
    <n v="133.91666666666669"/>
    <n v="137.30000000000001"/>
    <n v="164.7"/>
    <n v="143"/>
    <n v="130.4"/>
    <n v="136.69999999999999"/>
    <n v="141.1"/>
    <n v="147.69999999999999"/>
    <n v="128.6"/>
    <n v="136.30000000000001"/>
    <n v="137.80000000000001"/>
    <n v="118.6"/>
    <n v="131.9"/>
    <n v="146.6"/>
    <n v="131.69999999999999"/>
    <n v="131.80000000000001"/>
    <n v="138"/>
  </r>
  <r>
    <x v="2"/>
    <x v="6"/>
    <x v="0"/>
    <n v="137.1"/>
    <n v="151.4"/>
    <n v="140.19999999999999"/>
    <n v="142.1"/>
    <n v="121.8"/>
    <n v="135.4"/>
    <n v="131.30000000000001"/>
    <n v="120.3"/>
    <n v="109.1"/>
    <n v="139.4"/>
    <n v="133.30000000000001"/>
    <n v="154.6"/>
    <n v="134.66666666666666"/>
    <n v="137.4"/>
    <n v="163.19999999999999"/>
    <n v="147.6"/>
    <n v="139"/>
    <n v="143.30000000000001"/>
    <n v="146.4"/>
    <n v="147.69999999999999"/>
    <n v="139.5"/>
    <n v="143.6"/>
    <n v="145.1"/>
    <n v="123.3"/>
    <n v="136.69999999999999"/>
    <n v="150.19999999999999"/>
    <n v="132.80000000000001"/>
    <n v="136.9"/>
    <n v="139.6"/>
  </r>
  <r>
    <x v="0"/>
    <x v="6"/>
    <x v="1"/>
    <n v="136.80000000000001"/>
    <n v="153"/>
    <n v="139.1"/>
    <n v="142.5"/>
    <n v="124.1"/>
    <n v="135.80000000000001"/>
    <n v="128.69999999999999"/>
    <n v="121.5"/>
    <n v="108.3"/>
    <n v="139.19999999999999"/>
    <n v="137.4"/>
    <n v="156.19999999999999"/>
    <n v="135.21666666666667"/>
    <n v="137.19999999999999"/>
    <n v="162.80000000000001"/>
    <n v="150.5"/>
    <n v="146.1"/>
    <n v="148.30000000000001"/>
    <n v="149.9"/>
    <s v="NA"/>
    <n v="145.30000000000001"/>
    <n v="150.1"/>
    <n v="149.9"/>
    <n v="129.19999999999999"/>
    <n v="143.4"/>
    <n v="155.5"/>
    <n v="134.9"/>
    <n v="142.19999999999999"/>
    <n v="141"/>
  </r>
  <r>
    <x v="1"/>
    <x v="6"/>
    <x v="1"/>
    <n v="139.4"/>
    <n v="150.1"/>
    <n v="145.30000000000001"/>
    <n v="141.69999999999999"/>
    <n v="118.4"/>
    <n v="137"/>
    <n v="131.6"/>
    <n v="119.9"/>
    <n v="110.4"/>
    <n v="140.80000000000001"/>
    <n v="128.30000000000001"/>
    <n v="153.5"/>
    <n v="134.70000000000002"/>
    <n v="138"/>
    <n v="164.9"/>
    <n v="143.30000000000001"/>
    <n v="130.80000000000001"/>
    <n v="137.05000000000001"/>
    <n v="141.4"/>
    <n v="148.5"/>
    <n v="127.1"/>
    <n v="136.6"/>
    <n v="138.5"/>
    <n v="119.2"/>
    <n v="132.19999999999999"/>
    <n v="146.6"/>
    <n v="133"/>
    <n v="132.4"/>
    <n v="138.6"/>
  </r>
  <r>
    <x v="2"/>
    <x v="6"/>
    <x v="1"/>
    <n v="137.6"/>
    <n v="152"/>
    <n v="141.5"/>
    <n v="142.19999999999999"/>
    <n v="122"/>
    <n v="136.4"/>
    <n v="129.69999999999999"/>
    <n v="121"/>
    <n v="109"/>
    <n v="139.69999999999999"/>
    <n v="133.6"/>
    <n v="154.9"/>
    <n v="134.96666666666667"/>
    <n v="137.5"/>
    <n v="163.4"/>
    <n v="147.69999999999999"/>
    <n v="139.69999999999999"/>
    <n v="143.69999999999999"/>
    <n v="146.5"/>
    <n v="148.5"/>
    <n v="138.4"/>
    <n v="143.69999999999999"/>
    <n v="145.6"/>
    <n v="123.9"/>
    <n v="137.1"/>
    <n v="150.30000000000001"/>
    <n v="134.1"/>
    <n v="137.4"/>
    <n v="139.9"/>
  </r>
  <r>
    <x v="0"/>
    <x v="6"/>
    <x v="2"/>
    <n v="136.9"/>
    <n v="154.1"/>
    <n v="138.69999999999999"/>
    <n v="142.5"/>
    <n v="124.1"/>
    <n v="136.1"/>
    <n v="128.19999999999999"/>
    <n v="122.3"/>
    <n v="108.3"/>
    <n v="138.9"/>
    <n v="137.4"/>
    <n v="156.4"/>
    <n v="135.32500000000002"/>
    <n v="137.30000000000001"/>
    <n v="162.9"/>
    <n v="150.80000000000001"/>
    <n v="146.1"/>
    <n v="148.44999999999999"/>
    <n v="150.1"/>
    <s v="NA"/>
    <n v="146.4"/>
    <n v="150"/>
    <n v="150.4"/>
    <n v="129.9"/>
    <n v="143.80000000000001"/>
    <n v="155.5"/>
    <n v="134"/>
    <n v="142.4"/>
    <n v="141.19999999999999"/>
  </r>
  <r>
    <x v="1"/>
    <x v="6"/>
    <x v="2"/>
    <n v="139.69999999999999"/>
    <n v="151.1"/>
    <n v="142.9"/>
    <n v="141.9"/>
    <n v="118.4"/>
    <n v="139.4"/>
    <n v="141.19999999999999"/>
    <n v="120.7"/>
    <n v="110.4"/>
    <n v="140.69999999999999"/>
    <n v="128.5"/>
    <n v="153.9"/>
    <n v="135.73333333333335"/>
    <n v="139.6"/>
    <n v="165.3"/>
    <n v="143.5"/>
    <n v="131.19999999999999"/>
    <n v="137.35"/>
    <n v="141.6"/>
    <n v="149"/>
    <n v="128.80000000000001"/>
    <n v="136.80000000000001"/>
    <n v="139.19999999999999"/>
    <n v="119.9"/>
    <n v="133"/>
    <n v="146.69999999999999"/>
    <n v="132.5"/>
    <n v="132.80000000000001"/>
    <n v="139.5"/>
  </r>
  <r>
    <x v="2"/>
    <x v="6"/>
    <x v="2"/>
    <n v="137.80000000000001"/>
    <n v="153"/>
    <n v="140.30000000000001"/>
    <n v="142.30000000000001"/>
    <n v="122"/>
    <n v="137.6"/>
    <n v="132.6"/>
    <n v="121.8"/>
    <n v="109"/>
    <n v="139.5"/>
    <n v="133.69999999999999"/>
    <n v="155.19999999999999"/>
    <n v="135.4"/>
    <n v="138.1"/>
    <n v="163.5"/>
    <n v="147.9"/>
    <n v="139.9"/>
    <n v="143.9"/>
    <n v="146.69999999999999"/>
    <n v="149"/>
    <n v="139.69999999999999"/>
    <n v="143.80000000000001"/>
    <n v="146.19999999999999"/>
    <n v="124.6"/>
    <n v="137.69999999999999"/>
    <n v="150.30000000000001"/>
    <n v="133.4"/>
    <n v="137.69999999999999"/>
    <n v="140.4"/>
  </r>
  <r>
    <x v="0"/>
    <x v="6"/>
    <x v="4"/>
    <n v="137.4"/>
    <n v="159.5"/>
    <n v="134.5"/>
    <n v="142.6"/>
    <n v="124"/>
    <n v="143.69999999999999"/>
    <n v="133.4"/>
    <n v="125.1"/>
    <n v="109.3"/>
    <n v="139.30000000000001"/>
    <n v="137.69999999999999"/>
    <n v="156.4"/>
    <n v="136.90833333333333"/>
    <n v="139.19999999999999"/>
    <n v="163.30000000000001"/>
    <n v="151.30000000000001"/>
    <n v="146.6"/>
    <n v="148.94999999999999"/>
    <n v="150.69999999999999"/>
    <s v="NA"/>
    <n v="146.9"/>
    <n v="149.5"/>
    <n v="151.30000000000001"/>
    <n v="130.19999999999999"/>
    <n v="145.9"/>
    <n v="156.69999999999999"/>
    <n v="133.9"/>
    <n v="142.9"/>
    <n v="142.4"/>
  </r>
  <r>
    <x v="1"/>
    <x v="6"/>
    <x v="4"/>
    <n v="140.4"/>
    <n v="156.69999999999999"/>
    <n v="138.30000000000001"/>
    <n v="142.4"/>
    <n v="118.6"/>
    <n v="149.69999999999999"/>
    <n v="161.6"/>
    <n v="124.4"/>
    <n v="111.2"/>
    <n v="141"/>
    <n v="128.9"/>
    <n v="154.5"/>
    <n v="138.97500000000002"/>
    <n v="143.80000000000001"/>
    <n v="166.2"/>
    <n v="144"/>
    <n v="131.69999999999999"/>
    <n v="137.85"/>
    <n v="142.19999999999999"/>
    <n v="150.1"/>
    <n v="129.4"/>
    <n v="137.19999999999999"/>
    <n v="139.80000000000001"/>
    <n v="120.1"/>
    <n v="134"/>
    <n v="148"/>
    <n v="132.6"/>
    <n v="133.30000000000001"/>
    <n v="141.5"/>
  </r>
  <r>
    <x v="2"/>
    <x v="6"/>
    <x v="4"/>
    <n v="138.30000000000001"/>
    <n v="158.5"/>
    <n v="136"/>
    <n v="142.5"/>
    <n v="122"/>
    <n v="146.5"/>
    <n v="143"/>
    <n v="124.9"/>
    <n v="109.9"/>
    <n v="139.9"/>
    <n v="134"/>
    <n v="155.5"/>
    <n v="137.58333333333334"/>
    <n v="140.9"/>
    <n v="164.1"/>
    <n v="148.4"/>
    <n v="140.4"/>
    <n v="144.4"/>
    <n v="147.30000000000001"/>
    <n v="150.1"/>
    <n v="140.30000000000001"/>
    <n v="143.69999999999999"/>
    <n v="146.9"/>
    <n v="124.9"/>
    <n v="139.19999999999999"/>
    <n v="151.6"/>
    <n v="133.4"/>
    <n v="138.19999999999999"/>
    <n v="142"/>
  </r>
  <r>
    <x v="0"/>
    <x v="6"/>
    <x v="5"/>
    <n v="137.80000000000001"/>
    <n v="163.5"/>
    <n v="136.19999999999999"/>
    <n v="143.19999999999999"/>
    <n v="124.3"/>
    <n v="143.30000000000001"/>
    <n v="140.6"/>
    <n v="128.69999999999999"/>
    <n v="110.6"/>
    <n v="140.4"/>
    <n v="138"/>
    <n v="156.6"/>
    <n v="138.6"/>
    <n v="141"/>
    <n v="164.2"/>
    <n v="151.4"/>
    <n v="146.5"/>
    <n v="148.94999999999999"/>
    <n v="150.69999999999999"/>
    <s v="NA"/>
    <n v="147.80000000000001"/>
    <n v="149.6"/>
    <n v="151.69999999999999"/>
    <n v="130.19999999999999"/>
    <n v="146.4"/>
    <n v="157.69999999999999"/>
    <n v="134.80000000000001"/>
    <n v="143.30000000000001"/>
    <n v="143.6"/>
  </r>
  <r>
    <x v="1"/>
    <x v="6"/>
    <x v="5"/>
    <n v="140.69999999999999"/>
    <n v="159.6"/>
    <n v="140.4"/>
    <n v="143.4"/>
    <n v="118.6"/>
    <n v="150.9"/>
    <n v="169.8"/>
    <n v="127.4"/>
    <n v="111.8"/>
    <n v="141"/>
    <n v="129"/>
    <n v="155.1"/>
    <n v="140.64166666666665"/>
    <n v="145.6"/>
    <n v="166.7"/>
    <n v="144.30000000000001"/>
    <n v="131.69999999999999"/>
    <n v="138"/>
    <n v="142.4"/>
    <n v="149.4"/>
    <n v="130.5"/>
    <n v="137.4"/>
    <n v="140.30000000000001"/>
    <n v="119.6"/>
    <n v="134.30000000000001"/>
    <n v="148.9"/>
    <n v="133.69999999999999"/>
    <n v="133.6"/>
    <n v="142.1"/>
  </r>
  <r>
    <x v="2"/>
    <x v="6"/>
    <x v="5"/>
    <n v="138.69999999999999"/>
    <n v="162.1"/>
    <n v="137.80000000000001"/>
    <n v="143.30000000000001"/>
    <n v="122.2"/>
    <n v="146.80000000000001"/>
    <n v="150.5"/>
    <n v="128.30000000000001"/>
    <n v="111"/>
    <n v="140.6"/>
    <n v="134.19999999999999"/>
    <n v="155.9"/>
    <n v="139.28333333333333"/>
    <n v="142.69999999999999"/>
    <n v="164.9"/>
    <n v="148.6"/>
    <n v="140.4"/>
    <n v="144.5"/>
    <n v="147.4"/>
    <n v="149.4"/>
    <n v="141.19999999999999"/>
    <n v="143.80000000000001"/>
    <n v="147.4"/>
    <n v="124.6"/>
    <n v="139.6"/>
    <n v="152.5"/>
    <n v="134.30000000000001"/>
    <n v="138.6"/>
    <n v="142.9"/>
  </r>
  <r>
    <x v="0"/>
    <x v="6"/>
    <x v="6"/>
    <n v="138.4"/>
    <n v="164"/>
    <n v="138.4"/>
    <n v="143.9"/>
    <n v="124.4"/>
    <n v="146.4"/>
    <n v="150.1"/>
    <n v="130.6"/>
    <n v="110.8"/>
    <n v="141.69999999999999"/>
    <n v="138.5"/>
    <n v="156.69999999999999"/>
    <n v="140.32499999999999"/>
    <n v="143"/>
    <n v="164.5"/>
    <n v="151.6"/>
    <n v="146.6"/>
    <n v="149.1"/>
    <n v="150.9"/>
    <s v="NA"/>
    <n v="146.80000000000001"/>
    <n v="150"/>
    <n v="152.19999999999999"/>
    <n v="131.19999999999999"/>
    <n v="147.5"/>
    <n v="159.1"/>
    <n v="136.1"/>
    <n v="144.19999999999999"/>
    <n v="144.9"/>
  </r>
  <r>
    <x v="1"/>
    <x v="6"/>
    <x v="6"/>
    <n v="141.4"/>
    <n v="160.19999999999999"/>
    <n v="142.5"/>
    <n v="144.1"/>
    <n v="119.3"/>
    <n v="154.69999999999999"/>
    <n v="180.1"/>
    <n v="128.9"/>
    <n v="111.8"/>
    <n v="141.6"/>
    <n v="129.5"/>
    <n v="155.6"/>
    <n v="142.47499999999999"/>
    <n v="147.69999999999999"/>
    <n v="167.2"/>
    <n v="144.69999999999999"/>
    <n v="131.9"/>
    <n v="138.30000000000001"/>
    <n v="142.69999999999999"/>
    <n v="150.6"/>
    <n v="127"/>
    <n v="137.69999999999999"/>
    <n v="140.80000000000001"/>
    <n v="120.6"/>
    <n v="135"/>
    <n v="150.4"/>
    <n v="135.1"/>
    <n v="134.5"/>
    <n v="143.30000000000001"/>
  </r>
  <r>
    <x v="2"/>
    <x v="6"/>
    <x v="6"/>
    <n v="139.30000000000001"/>
    <n v="162.69999999999999"/>
    <n v="140"/>
    <n v="144"/>
    <n v="122.5"/>
    <n v="150.30000000000001"/>
    <n v="160.30000000000001"/>
    <n v="130"/>
    <n v="111.1"/>
    <n v="141.69999999999999"/>
    <n v="134.69999999999999"/>
    <n v="156.19999999999999"/>
    <n v="141.06666666666666"/>
    <n v="144.69999999999999"/>
    <n v="165.2"/>
    <n v="148.9"/>
    <n v="140.5"/>
    <n v="144.69999999999999"/>
    <n v="147.6"/>
    <n v="150.6"/>
    <n v="139.30000000000001"/>
    <n v="144.19999999999999"/>
    <n v="147.9"/>
    <n v="125.6"/>
    <n v="140.5"/>
    <n v="154"/>
    <n v="135.69999999999999"/>
    <n v="139.5"/>
    <n v="144.19999999999999"/>
  </r>
  <r>
    <x v="0"/>
    <x v="6"/>
    <x v="7"/>
    <n v="139.19999999999999"/>
    <n v="161.9"/>
    <n v="137.1"/>
    <n v="144.6"/>
    <n v="124.7"/>
    <n v="145.5"/>
    <n v="156.19999999999999"/>
    <n v="131.5"/>
    <n v="111.7"/>
    <n v="142.69999999999999"/>
    <n v="138.5"/>
    <n v="156.9"/>
    <n v="140.87500000000003"/>
    <n v="144"/>
    <n v="165.1"/>
    <n v="151.80000000000001"/>
    <n v="146.6"/>
    <n v="149.19999999999999"/>
    <n v="151.1"/>
    <s v="NA"/>
    <n v="146.4"/>
    <n v="150.19999999999999"/>
    <n v="152.69999999999999"/>
    <n v="131.4"/>
    <n v="148"/>
    <n v="159.69999999999999"/>
    <n v="138.80000000000001"/>
    <n v="144.9"/>
    <n v="145.69999999999999"/>
  </r>
  <r>
    <x v="1"/>
    <x v="6"/>
    <x v="7"/>
    <n v="142.1"/>
    <n v="158.30000000000001"/>
    <n v="140.80000000000001"/>
    <n v="144.9"/>
    <n v="119.9"/>
    <n v="153.9"/>
    <n v="189.1"/>
    <n v="129.80000000000001"/>
    <n v="112.7"/>
    <n v="142.5"/>
    <n v="129.80000000000001"/>
    <n v="156.19999999999999"/>
    <n v="143.33333333333334"/>
    <n v="149.1"/>
    <n v="167.9"/>
    <n v="145"/>
    <n v="132.19999999999999"/>
    <n v="138.6"/>
    <n v="143"/>
    <n v="151.6"/>
    <n v="125.5"/>
    <n v="138.1"/>
    <n v="141.5"/>
    <n v="120.8"/>
    <n v="135.4"/>
    <n v="151.5"/>
    <n v="137.80000000000001"/>
    <n v="135.30000000000001"/>
    <n v="144.19999999999999"/>
  </r>
  <r>
    <x v="2"/>
    <x v="6"/>
    <x v="7"/>
    <n v="140.1"/>
    <n v="160.6"/>
    <n v="138.5"/>
    <n v="144.69999999999999"/>
    <n v="122.9"/>
    <n v="149.4"/>
    <n v="167.4"/>
    <n v="130.9"/>
    <n v="112"/>
    <n v="142.6"/>
    <n v="134.9"/>
    <n v="156.6"/>
    <n v="141.71666666666667"/>
    <n v="145.9"/>
    <n v="165.8"/>
    <n v="149.1"/>
    <n v="140.6"/>
    <n v="144.85"/>
    <n v="147.9"/>
    <n v="151.6"/>
    <n v="138.5"/>
    <n v="144.5"/>
    <n v="148.5"/>
    <n v="125.8"/>
    <n v="140.9"/>
    <n v="154.9"/>
    <n v="138.4"/>
    <n v="140.19999999999999"/>
    <n v="145"/>
  </r>
  <r>
    <x v="0"/>
    <x v="6"/>
    <x v="8"/>
    <n v="140.1"/>
    <n v="161.9"/>
    <n v="138.30000000000001"/>
    <n v="145.69999999999999"/>
    <n v="125.1"/>
    <n v="143.80000000000001"/>
    <n v="163.4"/>
    <n v="132.19999999999999"/>
    <n v="112.8"/>
    <n v="144.19999999999999"/>
    <n v="138.5"/>
    <n v="157.19999999999999"/>
    <n v="141.93333333333334"/>
    <n v="145.5"/>
    <n v="165.7"/>
    <n v="151.69999999999999"/>
    <n v="146.6"/>
    <n v="149.14999999999998"/>
    <n v="151"/>
    <s v="NA"/>
    <n v="146.9"/>
    <n v="150.30000000000001"/>
    <n v="153.4"/>
    <n v="131.6"/>
    <n v="148.30000000000001"/>
    <n v="160.19999999999999"/>
    <n v="140.19999999999999"/>
    <n v="145.4"/>
    <n v="146.69999999999999"/>
  </r>
  <r>
    <x v="1"/>
    <x v="6"/>
    <x v="8"/>
    <n v="142.69999999999999"/>
    <n v="158.69999999999999"/>
    <n v="141.6"/>
    <n v="144.9"/>
    <n v="120.8"/>
    <n v="149.80000000000001"/>
    <n v="192.4"/>
    <n v="130.30000000000001"/>
    <n v="114"/>
    <n v="143.80000000000001"/>
    <n v="130"/>
    <n v="156.4"/>
    <n v="143.78333333333333"/>
    <n v="149.5"/>
    <n v="168.6"/>
    <n v="145.30000000000001"/>
    <n v="132.19999999999999"/>
    <n v="138.75"/>
    <n v="143.30000000000001"/>
    <n v="152.19999999999999"/>
    <n v="126.6"/>
    <n v="138.30000000000001"/>
    <n v="141.9"/>
    <n v="121.2"/>
    <n v="135.9"/>
    <n v="151.6"/>
    <n v="139"/>
    <n v="135.69999999999999"/>
    <n v="144.69999999999999"/>
  </r>
  <r>
    <x v="2"/>
    <x v="6"/>
    <x v="8"/>
    <n v="140.9"/>
    <n v="160.80000000000001"/>
    <n v="139.6"/>
    <n v="145.4"/>
    <n v="123.5"/>
    <n v="146.6"/>
    <n v="173.2"/>
    <n v="131.6"/>
    <n v="113.2"/>
    <n v="144.1"/>
    <n v="135"/>
    <n v="156.80000000000001"/>
    <n v="142.55833333333331"/>
    <n v="147"/>
    <n v="166.5"/>
    <n v="149.19999999999999"/>
    <n v="140.6"/>
    <n v="144.89999999999998"/>
    <n v="147.9"/>
    <n v="152.19999999999999"/>
    <n v="139.19999999999999"/>
    <n v="144.6"/>
    <n v="149"/>
    <n v="126.1"/>
    <n v="141.30000000000001"/>
    <n v="155.19999999999999"/>
    <n v="139.69999999999999"/>
    <n v="140.69999999999999"/>
    <n v="145.80000000000001"/>
  </r>
  <r>
    <x v="0"/>
    <x v="6"/>
    <x v="9"/>
    <n v="141"/>
    <n v="161.6"/>
    <n v="141.19999999999999"/>
    <n v="146.5"/>
    <n v="125.6"/>
    <n v="145.69999999999999"/>
    <n v="178.8"/>
    <n v="133.1"/>
    <n v="113.6"/>
    <n v="145.5"/>
    <n v="138.6"/>
    <n v="157.4"/>
    <n v="144.04999999999998"/>
    <n v="148.30000000000001"/>
    <n v="166.3"/>
    <n v="151.69999999999999"/>
    <n v="146.69999999999999"/>
    <n v="149.19999999999999"/>
    <n v="151"/>
    <s v="NA"/>
    <n v="147.69999999999999"/>
    <n v="150.6"/>
    <n v="153.69999999999999"/>
    <n v="131.69999999999999"/>
    <n v="148.69999999999999"/>
    <n v="160.69999999999999"/>
    <n v="140.30000000000001"/>
    <n v="145.69999999999999"/>
    <n v="148.30000000000001"/>
  </r>
  <r>
    <x v="1"/>
    <x v="6"/>
    <x v="9"/>
    <n v="143.5"/>
    <n v="159.80000000000001"/>
    <n v="144.69999999999999"/>
    <n v="145.6"/>
    <n v="121.1"/>
    <n v="150.6"/>
    <n v="207.2"/>
    <n v="131.19999999999999"/>
    <n v="114.8"/>
    <n v="145.19999999999999"/>
    <n v="130.19999999999999"/>
    <n v="156.80000000000001"/>
    <n v="145.89166666666668"/>
    <n v="151.9"/>
    <n v="169.3"/>
    <n v="145.9"/>
    <n v="132.4"/>
    <n v="139.15"/>
    <n v="143.9"/>
    <n v="153"/>
    <n v="128.9"/>
    <n v="138.69999999999999"/>
    <n v="142.4"/>
    <n v="121.5"/>
    <n v="136.19999999999999"/>
    <n v="151.69999999999999"/>
    <n v="139.5"/>
    <n v="136"/>
    <n v="146"/>
  </r>
  <r>
    <x v="2"/>
    <x v="6"/>
    <x v="9"/>
    <n v="141.80000000000001"/>
    <n v="161"/>
    <n v="142.6"/>
    <n v="146.19999999999999"/>
    <n v="123.9"/>
    <n v="148"/>
    <n v="188.4"/>
    <n v="132.5"/>
    <n v="114"/>
    <n v="145.4"/>
    <n v="135.1"/>
    <n v="157.1"/>
    <n v="144.66666666666666"/>
    <n v="149.6"/>
    <n v="167.1"/>
    <n v="149.4"/>
    <n v="140.80000000000001"/>
    <n v="145.10000000000002"/>
    <n v="148.19999999999999"/>
    <n v="153"/>
    <n v="140.6"/>
    <n v="145"/>
    <n v="149.4"/>
    <n v="126.3"/>
    <n v="141.69999999999999"/>
    <n v="155.4"/>
    <n v="140"/>
    <n v="141"/>
    <n v="147.19999999999999"/>
  </r>
  <r>
    <x v="0"/>
    <x v="6"/>
    <x v="11"/>
    <n v="141.80000000000001"/>
    <n v="163.69999999999999"/>
    <n v="143.80000000000001"/>
    <n v="147.1"/>
    <n v="126"/>
    <n v="146.19999999999999"/>
    <n v="191.4"/>
    <n v="136.19999999999999"/>
    <n v="113.8"/>
    <n v="147.30000000000001"/>
    <n v="138.69999999999999"/>
    <n v="157.69999999999999"/>
    <n v="146.14166666666668"/>
    <n v="150.9"/>
    <n v="167.2"/>
    <n v="152.30000000000001"/>
    <n v="147"/>
    <n v="149.65"/>
    <n v="151.5"/>
    <s v="NA"/>
    <n v="148.4"/>
    <n v="150.9"/>
    <n v="154.30000000000001"/>
    <n v="132.1"/>
    <n v="149.1"/>
    <n v="160.80000000000001"/>
    <n v="140.6"/>
    <n v="146.1"/>
    <n v="149.9"/>
  </r>
  <r>
    <x v="1"/>
    <x v="6"/>
    <x v="11"/>
    <n v="144.1"/>
    <n v="162.4"/>
    <n v="148.4"/>
    <n v="145.9"/>
    <n v="121.5"/>
    <n v="148.80000000000001"/>
    <n v="215.7"/>
    <n v="134.6"/>
    <n v="115"/>
    <n v="146.30000000000001"/>
    <n v="130.5"/>
    <n v="157.19999999999999"/>
    <n v="147.53333333333333"/>
    <n v="153.6"/>
    <n v="169.9"/>
    <n v="146.30000000000001"/>
    <n v="132.6"/>
    <n v="139.44999999999999"/>
    <n v="144.19999999999999"/>
    <n v="153.5"/>
    <n v="132.19999999999999"/>
    <n v="139.1"/>
    <n v="142.80000000000001"/>
    <n v="121.7"/>
    <n v="136.69999999999999"/>
    <n v="151.80000000000001"/>
    <n v="139.80000000000001"/>
    <n v="136.30000000000001"/>
    <n v="147"/>
  </r>
  <r>
    <x v="2"/>
    <x v="6"/>
    <x v="11"/>
    <n v="142.5"/>
    <n v="163.19999999999999"/>
    <n v="145.6"/>
    <n v="146.69999999999999"/>
    <n v="124.3"/>
    <n v="147.4"/>
    <n v="199.6"/>
    <n v="135.69999999999999"/>
    <n v="114.2"/>
    <n v="147"/>
    <n v="135.30000000000001"/>
    <n v="157.5"/>
    <n v="146.58333333333334"/>
    <n v="151.9"/>
    <n v="167.9"/>
    <n v="149.9"/>
    <n v="141"/>
    <n v="145.44999999999999"/>
    <n v="148.6"/>
    <n v="153.5"/>
    <n v="142.30000000000001"/>
    <n v="145.30000000000001"/>
    <n v="149.9"/>
    <n v="126.6"/>
    <n v="142.1"/>
    <n v="155.5"/>
    <n v="140.30000000000001"/>
    <n v="141.30000000000001"/>
    <n v="148.6"/>
  </r>
  <r>
    <x v="0"/>
    <x v="6"/>
    <x v="12"/>
    <n v="142.80000000000001"/>
    <n v="165.3"/>
    <n v="149.5"/>
    <n v="148.69999999999999"/>
    <n v="127.5"/>
    <n v="144.30000000000001"/>
    <n v="209.5"/>
    <n v="138.80000000000001"/>
    <n v="113.6"/>
    <n v="149.1"/>
    <n v="139.30000000000001"/>
    <n v="158.30000000000001"/>
    <n v="148.89166666666662"/>
    <n v="154.30000000000001"/>
    <n v="167.8"/>
    <n v="152.6"/>
    <n v="147.30000000000001"/>
    <n v="149.94999999999999"/>
    <n v="151.9"/>
    <s v="NA"/>
    <n v="149.9"/>
    <n v="151.19999999999999"/>
    <n v="154.80000000000001"/>
    <n v="135"/>
    <n v="149.5"/>
    <n v="161.1"/>
    <n v="140.6"/>
    <n v="147.1"/>
    <n v="152.30000000000001"/>
  </r>
  <r>
    <x v="1"/>
    <x v="6"/>
    <x v="12"/>
    <n v="144.9"/>
    <n v="164.5"/>
    <n v="153.69999999999999"/>
    <n v="147.5"/>
    <n v="122.7"/>
    <n v="147.19999999999999"/>
    <n v="231.5"/>
    <n v="137.19999999999999"/>
    <n v="114.7"/>
    <n v="148"/>
    <n v="130.80000000000001"/>
    <n v="157.69999999999999"/>
    <n v="150.03333333333333"/>
    <n v="156.30000000000001"/>
    <n v="170.4"/>
    <n v="146.80000000000001"/>
    <n v="132.80000000000001"/>
    <n v="139.80000000000001"/>
    <n v="144.6"/>
    <n v="152.80000000000001"/>
    <n v="133.6"/>
    <n v="139.80000000000001"/>
    <n v="143.19999999999999"/>
    <n v="125.2"/>
    <n v="136.80000000000001"/>
    <n v="151.9"/>
    <n v="140.19999999999999"/>
    <n v="137.69999999999999"/>
    <n v="148.30000000000001"/>
  </r>
  <r>
    <x v="2"/>
    <x v="6"/>
    <x v="12"/>
    <n v="143.5"/>
    <n v="165"/>
    <n v="151.1"/>
    <n v="148.30000000000001"/>
    <n v="125.7"/>
    <n v="145.69999999999999"/>
    <n v="217"/>
    <n v="138.30000000000001"/>
    <n v="114"/>
    <n v="148.69999999999999"/>
    <n v="135.80000000000001"/>
    <n v="158"/>
    <n v="149.25833333333335"/>
    <n v="155"/>
    <n v="168.5"/>
    <n v="150.30000000000001"/>
    <n v="141.30000000000001"/>
    <n v="145.80000000000001"/>
    <n v="149"/>
    <n v="152.80000000000001"/>
    <n v="143.69999999999999"/>
    <n v="145.80000000000001"/>
    <n v="150.4"/>
    <n v="129.80000000000001"/>
    <n v="142.30000000000001"/>
    <n v="155.69999999999999"/>
    <n v="140.4"/>
    <n v="142.5"/>
    <n v="150.4"/>
  </r>
  <r>
    <x v="0"/>
    <x v="7"/>
    <x v="0"/>
    <n v="143.69999999999999"/>
    <n v="167.3"/>
    <n v="153.5"/>
    <n v="150.5"/>
    <n v="132"/>
    <n v="142.19999999999999"/>
    <n v="191.5"/>
    <n v="141.1"/>
    <n v="113.8"/>
    <n v="151.6"/>
    <n v="139.69999999999999"/>
    <n v="158.69999999999999"/>
    <n v="148.79999999999998"/>
    <n v="153"/>
    <n v="168.6"/>
    <n v="152.80000000000001"/>
    <n v="147.4"/>
    <n v="150.10000000000002"/>
    <n v="152.1"/>
    <s v="NA"/>
    <n v="150.4"/>
    <n v="151.69999999999999"/>
    <n v="155.69999999999999"/>
    <n v="136.30000000000001"/>
    <n v="150.1"/>
    <n v="161.69999999999999"/>
    <n v="142.5"/>
    <n v="148.1"/>
    <n v="151.9"/>
  </r>
  <r>
    <x v="1"/>
    <x v="7"/>
    <x v="0"/>
    <n v="145.6"/>
    <n v="167.6"/>
    <n v="157"/>
    <n v="149.30000000000001"/>
    <n v="126.3"/>
    <n v="144.4"/>
    <n v="207.8"/>
    <n v="139.1"/>
    <n v="114.8"/>
    <n v="149.5"/>
    <n v="131.1"/>
    <n v="158.5"/>
    <n v="149.24999999999997"/>
    <n v="154.4"/>
    <n v="170.8"/>
    <n v="147"/>
    <n v="133.19999999999999"/>
    <n v="140.1"/>
    <n v="144.9"/>
    <n v="153.9"/>
    <n v="135.1"/>
    <n v="140.1"/>
    <n v="143.80000000000001"/>
    <n v="126.1"/>
    <n v="137.19999999999999"/>
    <n v="152.1"/>
    <n v="142.1"/>
    <n v="138.4"/>
    <n v="148.19999999999999"/>
  </r>
  <r>
    <x v="2"/>
    <x v="7"/>
    <x v="0"/>
    <n v="144.30000000000001"/>
    <n v="167.4"/>
    <n v="154.9"/>
    <n v="150.1"/>
    <n v="129.9"/>
    <n v="143.19999999999999"/>
    <n v="197"/>
    <n v="140.4"/>
    <n v="114.1"/>
    <n v="150.9"/>
    <n v="136.1"/>
    <n v="158.6"/>
    <n v="148.90833333333333"/>
    <n v="153.5"/>
    <n v="169.2"/>
    <n v="150.5"/>
    <n v="141.5"/>
    <n v="146"/>
    <n v="149.19999999999999"/>
    <n v="153.9"/>
    <n v="144.6"/>
    <n v="146.19999999999999"/>
    <n v="151.19999999999999"/>
    <n v="130.9"/>
    <n v="142.80000000000001"/>
    <n v="156.1"/>
    <n v="142.30000000000001"/>
    <n v="143.4"/>
    <n v="150.19999999999999"/>
  </r>
  <r>
    <x v="0"/>
    <x v="7"/>
    <x v="1"/>
    <n v="144.19999999999999"/>
    <n v="167.5"/>
    <n v="150.9"/>
    <n v="150.9"/>
    <n v="133.69999999999999"/>
    <n v="140.69999999999999"/>
    <n v="165.1"/>
    <n v="141.80000000000001"/>
    <n v="113.1"/>
    <n v="152.80000000000001"/>
    <n v="140.1"/>
    <n v="159.19999999999999"/>
    <n v="146.66666666666666"/>
    <n v="149.80000000000001"/>
    <n v="169.4"/>
    <n v="153"/>
    <n v="147.5"/>
    <n v="150.25"/>
    <n v="152.30000000000001"/>
    <s v="NA"/>
    <n v="152.30000000000001"/>
    <n v="151.80000000000001"/>
    <n v="156.19999999999999"/>
    <n v="136"/>
    <n v="150.4"/>
    <n v="161.9"/>
    <n v="143.4"/>
    <n v="148.4"/>
    <n v="150.4"/>
  </r>
  <r>
    <x v="1"/>
    <x v="7"/>
    <x v="1"/>
    <n v="146.19999999999999"/>
    <n v="167.6"/>
    <n v="153.1"/>
    <n v="150.69999999999999"/>
    <n v="127.4"/>
    <n v="143.1"/>
    <n v="181.7"/>
    <n v="139.6"/>
    <n v="114.6"/>
    <n v="150.4"/>
    <n v="131.5"/>
    <n v="159"/>
    <n v="147.07499999999999"/>
    <n v="151.69999999999999"/>
    <n v="172"/>
    <n v="147.30000000000001"/>
    <n v="133.5"/>
    <n v="140.4"/>
    <n v="145.19999999999999"/>
    <n v="154.80000000000001"/>
    <n v="138.9"/>
    <n v="140.4"/>
    <n v="144.4"/>
    <n v="125.2"/>
    <n v="137.69999999999999"/>
    <n v="152.19999999999999"/>
    <n v="143.5"/>
    <n v="138.4"/>
    <n v="147.69999999999999"/>
  </r>
  <r>
    <x v="2"/>
    <x v="7"/>
    <x v="1"/>
    <n v="144.80000000000001"/>
    <n v="167.5"/>
    <n v="151.80000000000001"/>
    <n v="150.80000000000001"/>
    <n v="131.4"/>
    <n v="141.80000000000001"/>
    <n v="170.7"/>
    <n v="141.1"/>
    <n v="113.6"/>
    <n v="152"/>
    <n v="136.5"/>
    <n v="159.1"/>
    <n v="146.75833333333333"/>
    <n v="150.5"/>
    <n v="170.1"/>
    <n v="150.80000000000001"/>
    <n v="141.69999999999999"/>
    <n v="146.25"/>
    <n v="149.5"/>
    <n v="154.80000000000001"/>
    <n v="147.19999999999999"/>
    <n v="146.4"/>
    <n v="151.69999999999999"/>
    <n v="130.30000000000001"/>
    <n v="143.19999999999999"/>
    <n v="156.19999999999999"/>
    <n v="143.4"/>
    <n v="143.6"/>
    <n v="149.1"/>
  </r>
  <r>
    <x v="0"/>
    <x v="7"/>
    <x v="2"/>
    <n v="144.4"/>
    <n v="166.8"/>
    <n v="147.6"/>
    <n v="151.69999999999999"/>
    <n v="133.30000000000001"/>
    <n v="141.80000000000001"/>
    <n v="152.30000000000001"/>
    <n v="141.80000000000001"/>
    <n v="112.6"/>
    <n v="154"/>
    <n v="140.1"/>
    <n v="160"/>
    <n v="145.5333333333333"/>
    <n v="148.19999999999999"/>
    <n v="170.5"/>
    <n v="153.4"/>
    <n v="147.6"/>
    <n v="150.5"/>
    <n v="152.5"/>
    <s v="NA"/>
    <n v="153.4"/>
    <n v="151.5"/>
    <n v="156.69999999999999"/>
    <n v="135.80000000000001"/>
    <n v="151.19999999999999"/>
    <n v="161.19999999999999"/>
    <n v="145.1"/>
    <n v="148.6"/>
    <n v="149.80000000000001"/>
  </r>
  <r>
    <x v="1"/>
    <x v="7"/>
    <x v="2"/>
    <n v="146.5"/>
    <n v="167.5"/>
    <n v="148.9"/>
    <n v="151.1"/>
    <n v="127.5"/>
    <n v="143.30000000000001"/>
    <n v="167"/>
    <n v="139.69999999999999"/>
    <n v="114.4"/>
    <n v="151.5"/>
    <n v="131.9"/>
    <n v="159.1"/>
    <n v="145.70000000000002"/>
    <n v="150.1"/>
    <n v="173.3"/>
    <n v="147.69999999999999"/>
    <n v="133.80000000000001"/>
    <n v="140.75"/>
    <n v="145.6"/>
    <n v="154.5"/>
    <n v="141.4"/>
    <n v="140.80000000000001"/>
    <n v="145"/>
    <n v="124.6"/>
    <n v="137.9"/>
    <n v="152.5"/>
    <n v="145.30000000000001"/>
    <n v="138.69999999999999"/>
    <n v="147.30000000000001"/>
  </r>
  <r>
    <x v="2"/>
    <x v="7"/>
    <x v="2"/>
    <n v="145.1"/>
    <n v="167"/>
    <n v="148.1"/>
    <n v="151.5"/>
    <n v="131.19999999999999"/>
    <n v="142.5"/>
    <n v="157.30000000000001"/>
    <n v="141.1"/>
    <n v="113.2"/>
    <n v="153.19999999999999"/>
    <n v="136.69999999999999"/>
    <n v="159.6"/>
    <n v="145.54166666666666"/>
    <n v="148.9"/>
    <n v="171.2"/>
    <n v="151.19999999999999"/>
    <n v="141.9"/>
    <n v="146.55000000000001"/>
    <n v="149.80000000000001"/>
    <n v="154.5"/>
    <n v="148.9"/>
    <n v="146.4"/>
    <n v="152.30000000000001"/>
    <n v="129.9"/>
    <n v="143.69999999999999"/>
    <n v="156.1"/>
    <n v="145.19999999999999"/>
    <n v="143.80000000000001"/>
    <n v="148.6"/>
  </r>
  <r>
    <x v="0"/>
    <x v="7"/>
    <x v="3"/>
    <n v="147.19999999999999"/>
    <n v="167.15"/>
    <n v="146.9"/>
    <n v="155.6"/>
    <n v="137.1"/>
    <n v="147.30000000000001"/>
    <n v="162.69999999999999"/>
    <n v="150.19999999999999"/>
    <n v="119.8"/>
    <n v="158.69999999999999"/>
    <n v="139.19999999999999"/>
    <n v="159.6"/>
    <n v="149.28749999999999"/>
    <n v="150.1"/>
    <n v="169.95"/>
    <n v="153.19999999999999"/>
    <n v="147.55000000000001"/>
    <n v="150.375"/>
    <n v="152"/>
    <s v="NA"/>
    <n v="148.4"/>
    <n v="151.6"/>
    <n v="154.30000000000001"/>
    <n v="135.9"/>
    <n v="150.80000000000001"/>
    <n v="161.55000000000001"/>
    <n v="144.25"/>
    <n v="148.5"/>
    <n v="150.10000000000002"/>
  </r>
  <r>
    <x v="1"/>
    <x v="7"/>
    <x v="3"/>
    <n v="151.80000000000001"/>
    <n v="167.55"/>
    <n v="151.9"/>
    <n v="155.5"/>
    <n v="131.6"/>
    <n v="152.9"/>
    <n v="180"/>
    <n v="150.80000000000001"/>
    <n v="121.2"/>
    <n v="154"/>
    <n v="133.5"/>
    <n v="159.05000000000001"/>
    <n v="150.81666666666666"/>
    <n v="153.5"/>
    <n v="172.65"/>
    <n v="147.5"/>
    <n v="133.65"/>
    <n v="140.57499999999999"/>
    <n v="145.4"/>
    <n v="155.6"/>
    <n v="137.1"/>
    <n v="140.6"/>
    <n v="144.80000000000001"/>
    <n v="124.9"/>
    <n v="137.80000000000001"/>
    <n v="152.35"/>
    <n v="144.4"/>
    <n v="138.55000000000001"/>
    <n v="147.5"/>
  </r>
  <r>
    <x v="2"/>
    <x v="7"/>
    <x v="3"/>
    <n v="148.69999999999999"/>
    <n v="167.3"/>
    <n v="148.80000000000001"/>
    <n v="155.6"/>
    <n v="135.1"/>
    <n v="149.9"/>
    <n v="168.6"/>
    <n v="150.4"/>
    <n v="120.3"/>
    <n v="157.1"/>
    <n v="136.80000000000001"/>
    <n v="159.35"/>
    <n v="149.82916666666665"/>
    <n v="151.4"/>
    <n v="170.65"/>
    <n v="151"/>
    <n v="141.80000000000001"/>
    <n v="146.4"/>
    <n v="149.65"/>
    <n v="155.6"/>
    <n v="144.1"/>
    <n v="146.4"/>
    <n v="150.69999999999999"/>
    <n v="130.1"/>
    <n v="143.44999999999999"/>
    <n v="156.15"/>
    <n v="144.30000000000001"/>
    <n v="143.69999999999999"/>
    <n v="148.85"/>
  </r>
  <r>
    <x v="0"/>
    <x v="7"/>
    <x v="4"/>
    <n v="145.80000000000001"/>
    <n v="166.8"/>
    <n v="147.25"/>
    <n v="153.64999999999998"/>
    <n v="135.19999999999999"/>
    <n v="144.55000000000001"/>
    <n v="157.5"/>
    <n v="146"/>
    <n v="116.19999999999999"/>
    <n v="156.35"/>
    <n v="139.64999999999998"/>
    <n v="160"/>
    <n v="147.41249999999999"/>
    <n v="149.14999999999998"/>
    <n v="170.5"/>
    <n v="153.4"/>
    <n v="147.6"/>
    <n v="150.5"/>
    <n v="152.5"/>
    <s v="NA"/>
    <n v="150.9"/>
    <n v="151.5"/>
    <n v="155.5"/>
    <n v="135.80000000000001"/>
    <n v="151.19999999999999"/>
    <n v="161.19999999999999"/>
    <n v="145.1"/>
    <n v="148.6"/>
    <n v="149.80000000000001"/>
  </r>
  <r>
    <x v="1"/>
    <x v="7"/>
    <x v="4"/>
    <n v="149.15"/>
    <n v="167.5"/>
    <n v="150.4"/>
    <n v="153.30000000000001"/>
    <n v="129.55000000000001"/>
    <n v="148.10000000000002"/>
    <n v="173.5"/>
    <n v="145.25"/>
    <n v="117.80000000000001"/>
    <n v="152.75"/>
    <n v="132.69999999999999"/>
    <n v="159.1"/>
    <n v="148.25833333333333"/>
    <n v="151.80000000000001"/>
    <n v="173.3"/>
    <n v="147.69999999999999"/>
    <n v="133.80000000000001"/>
    <n v="140.75"/>
    <n v="145.6"/>
    <n v="155.05000000000001"/>
    <n v="139.25"/>
    <n v="140.80000000000001"/>
    <n v="144.9"/>
    <n v="124.6"/>
    <n v="137.9"/>
    <n v="152.5"/>
    <n v="145.30000000000001"/>
    <n v="138.69999999999999"/>
    <n v="147.30000000000001"/>
  </r>
  <r>
    <x v="2"/>
    <x v="7"/>
    <x v="4"/>
    <n v="146.89999999999998"/>
    <n v="167"/>
    <n v="148.44999999999999"/>
    <n v="153.55000000000001"/>
    <n v="133.14999999999998"/>
    <n v="146.19999999999999"/>
    <n v="162.94999999999999"/>
    <n v="145.75"/>
    <n v="116.75"/>
    <n v="155.14999999999998"/>
    <n v="136.75"/>
    <n v="159.6"/>
    <n v="147.68333333333331"/>
    <n v="150.15"/>
    <n v="171.2"/>
    <n v="151.19999999999999"/>
    <n v="141.9"/>
    <n v="146.55000000000001"/>
    <n v="149.80000000000001"/>
    <n v="155.05000000000001"/>
    <n v="146.5"/>
    <n v="146.4"/>
    <n v="151.5"/>
    <n v="129.9"/>
    <n v="143.69999999999999"/>
    <n v="156.1"/>
    <n v="145.19999999999999"/>
    <n v="143.80000000000001"/>
    <n v="148.6"/>
  </r>
  <r>
    <x v="0"/>
    <x v="7"/>
    <x v="5"/>
    <n v="148.19999999999999"/>
    <n v="190.3"/>
    <n v="149.4"/>
    <n v="153.30000000000001"/>
    <n v="138.19999999999999"/>
    <n v="143.19999999999999"/>
    <n v="148.9"/>
    <n v="150.30000000000001"/>
    <n v="113.2"/>
    <n v="159.80000000000001"/>
    <n v="142.1"/>
    <n v="161.80000000000001"/>
    <n v="149.89166666666668"/>
    <n v="152.30000000000001"/>
    <n v="182.4"/>
    <n v="154.69999999999999"/>
    <n v="150"/>
    <n v="152.35"/>
    <n v="154.1"/>
    <s v="NA"/>
    <n v="144.9"/>
    <n v="151.69999999999999"/>
    <n v="158.19999999999999"/>
    <n v="141.4"/>
    <n v="153.19999999999999"/>
    <n v="161.80000000000001"/>
    <n v="151.19999999999999"/>
    <n v="151.69999999999999"/>
    <n v="152.69999999999999"/>
  </r>
  <r>
    <x v="1"/>
    <x v="7"/>
    <x v="5"/>
    <n v="152.69999999999999"/>
    <n v="197"/>
    <n v="154.6"/>
    <n v="153.4"/>
    <n v="132.9"/>
    <n v="151.80000000000001"/>
    <n v="171.2"/>
    <n v="152"/>
    <n v="116.3"/>
    <n v="158.80000000000001"/>
    <n v="135.6"/>
    <n v="161.69999999999999"/>
    <n v="153.16666666666666"/>
    <n v="157"/>
    <n v="186.7"/>
    <n v="149.1"/>
    <n v="136.6"/>
    <n v="142.85"/>
    <n v="147.19999999999999"/>
    <n v="154.69999999999999"/>
    <n v="137.1"/>
    <n v="140.4"/>
    <n v="148.1"/>
    <n v="129.30000000000001"/>
    <n v="144.5"/>
    <n v="152.5"/>
    <n v="152.19999999999999"/>
    <n v="142"/>
    <n v="150.80000000000001"/>
  </r>
  <r>
    <x v="2"/>
    <x v="7"/>
    <x v="5"/>
    <n v="149.6"/>
    <n v="192.7"/>
    <n v="151.4"/>
    <n v="153.30000000000001"/>
    <n v="136.30000000000001"/>
    <n v="147.19999999999999"/>
    <n v="156.5"/>
    <n v="150.9"/>
    <n v="114.2"/>
    <n v="159.5"/>
    <n v="139.4"/>
    <n v="161.80000000000001"/>
    <n v="151.06666666666669"/>
    <n v="154"/>
    <n v="183.5"/>
    <n v="152.5"/>
    <n v="144.4"/>
    <n v="148.44999999999999"/>
    <n v="151.4"/>
    <n v="154.69999999999999"/>
    <n v="141.9"/>
    <n v="146.4"/>
    <n v="154.4"/>
    <n v="135"/>
    <n v="148.30000000000001"/>
    <n v="156.4"/>
    <n v="151.6"/>
    <n v="147"/>
    <n v="151.80000000000001"/>
  </r>
  <r>
    <x v="0"/>
    <x v="7"/>
    <x v="6"/>
    <n v="148.19999999999999"/>
    <n v="190.3"/>
    <n v="149.4"/>
    <n v="153.30000000000001"/>
    <n v="138.19999999999999"/>
    <n v="143.19999999999999"/>
    <n v="148.9"/>
    <n v="150.30000000000001"/>
    <n v="113.2"/>
    <n v="159.80000000000001"/>
    <n v="142.1"/>
    <n v="161.80000000000001"/>
    <n v="149.89166666666668"/>
    <n v="152.30000000000001"/>
    <n v="182.4"/>
    <n v="154.69999999999999"/>
    <n v="150"/>
    <n v="152.35"/>
    <n v="154.1"/>
    <s v="NA"/>
    <n v="144.9"/>
    <n v="151.69999999999999"/>
    <n v="158.19999999999999"/>
    <n v="141.4"/>
    <n v="153.19999999999999"/>
    <n v="161.80000000000001"/>
    <n v="151.19999999999999"/>
    <n v="151.69999999999999"/>
    <n v="152.69999999999999"/>
  </r>
  <r>
    <x v="1"/>
    <x v="7"/>
    <x v="6"/>
    <n v="152.69999999999999"/>
    <n v="197"/>
    <n v="154.6"/>
    <n v="153.4"/>
    <n v="132.9"/>
    <n v="151.80000000000001"/>
    <n v="171.2"/>
    <n v="152"/>
    <n v="116.3"/>
    <n v="158.80000000000001"/>
    <n v="135.6"/>
    <n v="161.69999999999999"/>
    <n v="153.16666666666666"/>
    <n v="157"/>
    <n v="186.7"/>
    <n v="149.1"/>
    <n v="136.6"/>
    <n v="142.85"/>
    <n v="147.19999999999999"/>
    <n v="154.69999999999999"/>
    <n v="137.1"/>
    <n v="140.4"/>
    <n v="148.1"/>
    <n v="129.30000000000001"/>
    <n v="144.5"/>
    <n v="152.5"/>
    <n v="152.19999999999999"/>
    <n v="142"/>
    <n v="150.80000000000001"/>
  </r>
  <r>
    <x v="2"/>
    <x v="7"/>
    <x v="6"/>
    <n v="149.6"/>
    <n v="192.7"/>
    <n v="151.4"/>
    <n v="153.30000000000001"/>
    <n v="136.30000000000001"/>
    <n v="147.19999999999999"/>
    <n v="156.5"/>
    <n v="150.9"/>
    <n v="114.2"/>
    <n v="159.5"/>
    <n v="139.4"/>
    <n v="161.80000000000001"/>
    <n v="151.06666666666669"/>
    <n v="154"/>
    <n v="183.5"/>
    <n v="152.5"/>
    <n v="144.4"/>
    <n v="148.44999999999999"/>
    <n v="151.4"/>
    <n v="154.69999999999999"/>
    <n v="141.9"/>
    <n v="146.4"/>
    <n v="154.4"/>
    <n v="135"/>
    <n v="148.30000000000001"/>
    <n v="156.4"/>
    <n v="151.6"/>
    <n v="147"/>
    <n v="151.80000000000001"/>
  </r>
  <r>
    <x v="0"/>
    <x v="7"/>
    <x v="7"/>
    <n v="147.6"/>
    <n v="187.2"/>
    <n v="148.4"/>
    <n v="153.30000000000001"/>
    <n v="139.80000000000001"/>
    <n v="146.9"/>
    <n v="171"/>
    <n v="149.9"/>
    <n v="114.2"/>
    <n v="160"/>
    <n v="143.5"/>
    <n v="161.5"/>
    <n v="151.94166666666666"/>
    <n v="155.30000000000001"/>
    <n v="180.9"/>
    <n v="155.1"/>
    <n v="149.30000000000001"/>
    <n v="152.19999999999999"/>
    <n v="154.30000000000001"/>
    <s v="NA"/>
    <n v="145.80000000000001"/>
    <n v="151.9"/>
    <n v="158.80000000000001"/>
    <n v="143.6"/>
    <n v="152.19999999999999"/>
    <n v="162.69999999999999"/>
    <n v="153.6"/>
    <n v="153"/>
    <n v="154.69999999999999"/>
  </r>
  <r>
    <x v="1"/>
    <x v="7"/>
    <x v="7"/>
    <n v="151.6"/>
    <n v="197.8"/>
    <n v="154.5"/>
    <n v="153.4"/>
    <n v="133.4"/>
    <n v="154.5"/>
    <n v="191.9"/>
    <n v="151.30000000000001"/>
    <n v="116.8"/>
    <n v="160"/>
    <n v="136.5"/>
    <n v="163.30000000000001"/>
    <n v="155.41666666666666"/>
    <n v="159.9"/>
    <n v="187.2"/>
    <n v="150"/>
    <n v="135.19999999999999"/>
    <n v="142.6"/>
    <n v="147.80000000000001"/>
    <n v="155.5"/>
    <n v="138.30000000000001"/>
    <n v="144.5"/>
    <n v="148.69999999999999"/>
    <n v="133.9"/>
    <n v="141.19999999999999"/>
    <n v="155.5"/>
    <n v="155.19999999999999"/>
    <n v="144.80000000000001"/>
    <n v="152.9"/>
  </r>
  <r>
    <x v="2"/>
    <x v="7"/>
    <x v="7"/>
    <n v="148.9"/>
    <n v="190.9"/>
    <n v="150.80000000000001"/>
    <n v="153.30000000000001"/>
    <n v="137.4"/>
    <n v="150.4"/>
    <n v="178.1"/>
    <n v="150.4"/>
    <n v="115.1"/>
    <n v="160"/>
    <n v="140.6"/>
    <n v="162.30000000000001"/>
    <n v="153.18333333333331"/>
    <n v="157"/>
    <n v="182.6"/>
    <n v="153.1"/>
    <n v="143.4"/>
    <n v="148.25"/>
    <n v="151.69999999999999"/>
    <n v="155.5"/>
    <n v="143"/>
    <n v="148.4"/>
    <n v="155"/>
    <n v="138.5"/>
    <n v="146"/>
    <n v="158.5"/>
    <n v="154.30000000000001"/>
    <n v="149"/>
    <n v="153.9"/>
  </r>
  <r>
    <x v="0"/>
    <x v="7"/>
    <x v="8"/>
    <n v="146.9"/>
    <n v="183.9"/>
    <n v="149.5"/>
    <n v="153.4"/>
    <n v="140.4"/>
    <n v="147"/>
    <n v="178.8"/>
    <n v="149.30000000000001"/>
    <n v="115.1"/>
    <n v="160"/>
    <n v="145.4"/>
    <n v="161.6"/>
    <n v="152.60833333333332"/>
    <n v="156.1"/>
    <n v="182.9"/>
    <n v="155.4"/>
    <n v="149.9"/>
    <n v="152.65"/>
    <n v="154.6"/>
    <s v="NA"/>
    <n v="146.4"/>
    <n v="151.6"/>
    <n v="159.1"/>
    <n v="144.6"/>
    <n v="152.80000000000001"/>
    <n v="161.1"/>
    <n v="157.4"/>
    <n v="153.69999999999999"/>
    <n v="155.4"/>
  </r>
  <r>
    <x v="1"/>
    <x v="7"/>
    <x v="8"/>
    <n v="151.5"/>
    <n v="193.1"/>
    <n v="157.30000000000001"/>
    <n v="153.9"/>
    <n v="134.4"/>
    <n v="155.4"/>
    <n v="202"/>
    <n v="150.80000000000001"/>
    <n v="118.9"/>
    <n v="160.9"/>
    <n v="137.69999999999999"/>
    <n v="164.4"/>
    <n v="156.69166666666669"/>
    <n v="161.30000000000001"/>
    <n v="188.7"/>
    <n v="150.19999999999999"/>
    <n v="136.30000000000001"/>
    <n v="143.25"/>
    <n v="148.1"/>
    <n v="156.30000000000001"/>
    <n v="137.19999999999999"/>
    <n v="145.4"/>
    <n v="150"/>
    <n v="135.1"/>
    <n v="141.80000000000001"/>
    <n v="154.9"/>
    <n v="159.80000000000001"/>
    <n v="146"/>
    <n v="154"/>
  </r>
  <r>
    <x v="2"/>
    <x v="7"/>
    <x v="8"/>
    <n v="148.4"/>
    <n v="187.1"/>
    <n v="152.5"/>
    <n v="153.6"/>
    <n v="138.19999999999999"/>
    <n v="150.9"/>
    <n v="186.7"/>
    <n v="149.80000000000001"/>
    <n v="116.4"/>
    <n v="160.30000000000001"/>
    <n v="142.19999999999999"/>
    <n v="162.9"/>
    <n v="154.08333333333334"/>
    <n v="158"/>
    <n v="184.4"/>
    <n v="153.4"/>
    <n v="144.30000000000001"/>
    <n v="148.85000000000002"/>
    <n v="152"/>
    <n v="156.30000000000001"/>
    <n v="142.9"/>
    <n v="148.69999999999999"/>
    <n v="155.6"/>
    <n v="139.6"/>
    <n v="146.6"/>
    <n v="157.5"/>
    <n v="158.4"/>
    <n v="150"/>
    <n v="154.69999999999999"/>
  </r>
  <r>
    <x v="0"/>
    <x v="7"/>
    <x v="9"/>
    <n v="146"/>
    <n v="186.3"/>
    <n v="159.19999999999999"/>
    <n v="153.6"/>
    <n v="142.6"/>
    <n v="147.19999999999999"/>
    <n v="200.6"/>
    <n v="150.30000000000001"/>
    <n v="115.3"/>
    <n v="160.9"/>
    <n v="147.4"/>
    <n v="161.9"/>
    <n v="155.94166666666669"/>
    <n v="159.6"/>
    <n v="182.7"/>
    <n v="155.69999999999999"/>
    <n v="150.6"/>
    <n v="153.14999999999998"/>
    <n v="155"/>
    <s v="NA"/>
    <n v="146.80000000000001"/>
    <n v="152"/>
    <n v="159.5"/>
    <n v="146.4"/>
    <n v="152.4"/>
    <n v="162.5"/>
    <n v="156.19999999999999"/>
    <n v="154.30000000000001"/>
    <n v="157.5"/>
  </r>
  <r>
    <x v="1"/>
    <x v="7"/>
    <x v="9"/>
    <n v="150.6"/>
    <n v="193.7"/>
    <n v="164.8"/>
    <n v="153.69999999999999"/>
    <n v="135.69999999999999"/>
    <n v="155.69999999999999"/>
    <n v="226"/>
    <n v="152.19999999999999"/>
    <n v="118.1"/>
    <n v="161.30000000000001"/>
    <n v="139.19999999999999"/>
    <n v="164.8"/>
    <n v="159.65"/>
    <n v="164.4"/>
    <n v="188.7"/>
    <n v="150.5"/>
    <n v="136.1"/>
    <n v="143.30000000000001"/>
    <n v="148.30000000000001"/>
    <n v="156.5"/>
    <n v="137.1"/>
    <n v="145.1"/>
    <n v="151"/>
    <n v="135.4"/>
    <n v="142"/>
    <n v="155.69999999999999"/>
    <n v="158.1"/>
    <n v="146.19999999999999"/>
    <n v="155.19999999999999"/>
  </r>
  <r>
    <x v="2"/>
    <x v="7"/>
    <x v="9"/>
    <n v="147.5"/>
    <n v="188.9"/>
    <n v="161.4"/>
    <n v="153.6"/>
    <n v="140.1"/>
    <n v="151.19999999999999"/>
    <n v="209.2"/>
    <n v="150.9"/>
    <n v="116.2"/>
    <n v="161"/>
    <n v="144"/>
    <n v="163.19999999999999"/>
    <n v="157.26666666666668"/>
    <n v="161.4"/>
    <n v="184.3"/>
    <n v="153.69999999999999"/>
    <n v="144.6"/>
    <n v="149.14999999999998"/>
    <n v="152.30000000000001"/>
    <n v="156.5"/>
    <n v="143.1"/>
    <n v="148.69999999999999"/>
    <n v="156.30000000000001"/>
    <n v="140.6"/>
    <n v="146.5"/>
    <n v="158.5"/>
    <n v="157"/>
    <n v="150.4"/>
    <n v="156.4"/>
  </r>
  <r>
    <x v="0"/>
    <x v="7"/>
    <x v="11"/>
    <n v="145.4"/>
    <n v="188.6"/>
    <n v="171.6"/>
    <n v="153.80000000000001"/>
    <n v="145.4"/>
    <n v="146.5"/>
    <n v="222.2"/>
    <n v="155.9"/>
    <n v="114.9"/>
    <n v="162"/>
    <n v="150"/>
    <n v="162.69999999999999"/>
    <n v="159.91666666666669"/>
    <n v="163.4"/>
    <n v="183.4"/>
    <n v="156.30000000000001"/>
    <n v="151"/>
    <n v="153.65"/>
    <n v="155.5"/>
    <s v="NA"/>
    <n v="147.5"/>
    <n v="152.80000000000001"/>
    <n v="160.4"/>
    <n v="146.1"/>
    <n v="153.6"/>
    <n v="161.6"/>
    <n v="156.19999999999999"/>
    <n v="154.5"/>
    <n v="159.80000000000001"/>
  </r>
  <r>
    <x v="1"/>
    <x v="7"/>
    <x v="11"/>
    <n v="149.69999999999999"/>
    <n v="195.5"/>
    <n v="176.9"/>
    <n v="153.9"/>
    <n v="138"/>
    <n v="150.5"/>
    <n v="245.3"/>
    <n v="158.69999999999999"/>
    <n v="117.2"/>
    <n v="161.4"/>
    <n v="141.5"/>
    <n v="165.1"/>
    <n v="162.80833333333334"/>
    <n v="167"/>
    <n v="188.8"/>
    <n v="151.1"/>
    <n v="136.4"/>
    <n v="143.75"/>
    <n v="148.80000000000001"/>
    <n v="158"/>
    <n v="137.30000000000001"/>
    <n v="145.1"/>
    <n v="152"/>
    <n v="135.19999999999999"/>
    <n v="144.4"/>
    <n v="156.4"/>
    <n v="157.9"/>
    <n v="146.6"/>
    <n v="156.69999999999999"/>
  </r>
  <r>
    <x v="2"/>
    <x v="7"/>
    <x v="11"/>
    <n v="146.80000000000001"/>
    <n v="191"/>
    <n v="173.6"/>
    <n v="153.80000000000001"/>
    <n v="142.69999999999999"/>
    <n v="148.4"/>
    <n v="230"/>
    <n v="156.80000000000001"/>
    <n v="115.7"/>
    <n v="161.80000000000001"/>
    <n v="146.5"/>
    <n v="163.80000000000001"/>
    <n v="160.90833333333333"/>
    <n v="164.7"/>
    <n v="184.8"/>
    <n v="154.30000000000001"/>
    <n v="144.9"/>
    <n v="149.60000000000002"/>
    <n v="152.80000000000001"/>
    <n v="158"/>
    <n v="143.6"/>
    <n v="149.19999999999999"/>
    <n v="157.19999999999999"/>
    <n v="140.4"/>
    <n v="148.4"/>
    <n v="158.6"/>
    <n v="156.9"/>
    <n v="150.69999999999999"/>
    <n v="158.4"/>
  </r>
  <r>
    <x v="0"/>
    <x v="7"/>
    <x v="12"/>
    <n v="144.6"/>
    <n v="188.5"/>
    <n v="173.4"/>
    <n v="154"/>
    <n v="150"/>
    <n v="145.9"/>
    <n v="225.2"/>
    <n v="159.5"/>
    <n v="114.4"/>
    <n v="163.5"/>
    <n v="153.4"/>
    <n v="163.6"/>
    <n v="161.33333333333334"/>
    <n v="164.5"/>
    <n v="183.6"/>
    <n v="157"/>
    <n v="151.6"/>
    <n v="154.30000000000001"/>
    <n v="156.30000000000001"/>
    <s v="NA"/>
    <n v="148.69999999999999"/>
    <n v="153.4"/>
    <n v="161.6"/>
    <n v="146.4"/>
    <n v="153.9"/>
    <n v="162.9"/>
    <n v="156.6"/>
    <n v="155.19999999999999"/>
    <n v="160.69999999999999"/>
  </r>
  <r>
    <x v="1"/>
    <x v="7"/>
    <x v="12"/>
    <n v="149"/>
    <n v="195.7"/>
    <n v="178.3"/>
    <n v="154.19999999999999"/>
    <n v="140.69999999999999"/>
    <n v="149.69999999999999"/>
    <n v="240.9"/>
    <n v="161.5"/>
    <n v="117.1"/>
    <n v="161.9"/>
    <n v="143.30000000000001"/>
    <n v="166.1"/>
    <n v="163.20000000000002"/>
    <n v="167"/>
    <n v="190.2"/>
    <n v="151.9"/>
    <n v="136.69999999999999"/>
    <n v="144.30000000000001"/>
    <n v="149.6"/>
    <n v="158.4"/>
    <n v="137.9"/>
    <n v="145.5"/>
    <n v="152.9"/>
    <n v="135.5"/>
    <n v="144.30000000000001"/>
    <n v="156.9"/>
    <n v="157.9"/>
    <n v="146.9"/>
    <n v="156.9"/>
  </r>
  <r>
    <x v="2"/>
    <x v="7"/>
    <x v="12"/>
    <n v="146"/>
    <n v="191"/>
    <n v="175.3"/>
    <n v="154.1"/>
    <n v="146.6"/>
    <n v="147.69999999999999"/>
    <n v="230.5"/>
    <n v="160.19999999999999"/>
    <n v="115.3"/>
    <n v="163"/>
    <n v="149.19999999999999"/>
    <n v="164.8"/>
    <n v="161.97499999999999"/>
    <n v="165.4"/>
    <n v="185.4"/>
    <n v="155"/>
    <n v="145.4"/>
    <n v="150.19999999999999"/>
    <n v="153.6"/>
    <n v="158.4"/>
    <n v="144.6"/>
    <n v="149.69999999999999"/>
    <n v="158.30000000000001"/>
    <n v="140.69999999999999"/>
    <n v="148.5"/>
    <n v="159.4"/>
    <n v="157.1"/>
    <n v="151.19999999999999"/>
    <n v="158.9"/>
  </r>
  <r>
    <x v="0"/>
    <x v="8"/>
    <x v="0"/>
    <n v="143.4"/>
    <n v="187.5"/>
    <n v="173.4"/>
    <n v="154"/>
    <n v="154.80000000000001"/>
    <n v="147"/>
    <n v="187.8"/>
    <n v="159.5"/>
    <n v="113.8"/>
    <n v="164.5"/>
    <n v="156.1"/>
    <n v="164.3"/>
    <n v="158.84166666666664"/>
    <n v="159.6"/>
    <n v="184.6"/>
    <n v="157.5"/>
    <n v="152.4"/>
    <n v="154.94999999999999"/>
    <n v="156.80000000000001"/>
    <s v="NA"/>
    <n v="150.9"/>
    <n v="153.9"/>
    <n v="162.5"/>
    <n v="147.5"/>
    <n v="155.1"/>
    <n v="163.5"/>
    <n v="156.19999999999999"/>
    <n v="155.9"/>
    <n v="158.5"/>
  </r>
  <r>
    <x v="1"/>
    <x v="8"/>
    <x v="0"/>
    <n v="148"/>
    <n v="194.8"/>
    <n v="178.4"/>
    <n v="154.4"/>
    <n v="144.1"/>
    <n v="152.6"/>
    <n v="206.8"/>
    <n v="162.1"/>
    <n v="116.3"/>
    <n v="163"/>
    <n v="145.9"/>
    <n v="167.2"/>
    <n v="161.13333333333335"/>
    <n v="163.4"/>
    <n v="191.8"/>
    <n v="152.5"/>
    <n v="137.30000000000001"/>
    <n v="144.9"/>
    <n v="150.19999999999999"/>
    <n v="157.69999999999999"/>
    <n v="142.9"/>
    <n v="145.69999999999999"/>
    <n v="154.1"/>
    <n v="136.9"/>
    <n v="145.4"/>
    <n v="156.1"/>
    <n v="157.69999999999999"/>
    <n v="147.6"/>
    <n v="156"/>
  </r>
  <r>
    <x v="2"/>
    <x v="8"/>
    <x v="0"/>
    <n v="144.9"/>
    <n v="190.1"/>
    <n v="175.3"/>
    <n v="154.1"/>
    <n v="150.9"/>
    <n v="149.6"/>
    <n v="194.2"/>
    <n v="160.4"/>
    <n v="114.6"/>
    <n v="164"/>
    <n v="151.80000000000001"/>
    <n v="165.6"/>
    <n v="159.62499999999997"/>
    <n v="161"/>
    <n v="186.5"/>
    <n v="155.5"/>
    <n v="146.1"/>
    <n v="150.80000000000001"/>
    <n v="154.19999999999999"/>
    <n v="157.69999999999999"/>
    <n v="147.9"/>
    <n v="150"/>
    <n v="159.30000000000001"/>
    <n v="141.9"/>
    <n v="149.6"/>
    <n v="159.19999999999999"/>
    <n v="156.80000000000001"/>
    <n v="151.9"/>
    <n v="157.30000000000001"/>
  </r>
  <r>
    <x v="0"/>
    <x v="8"/>
    <x v="1"/>
    <n v="142.80000000000001"/>
    <n v="184"/>
    <n v="168"/>
    <n v="154.4"/>
    <n v="163"/>
    <n v="147.80000000000001"/>
    <n v="149.69999999999999"/>
    <n v="158.30000000000001"/>
    <n v="111.8"/>
    <n v="165"/>
    <n v="160"/>
    <n v="165.8"/>
    <n v="155.88333333333333"/>
    <n v="154.69999999999999"/>
    <n v="186.5"/>
    <n v="159.1"/>
    <n v="153.9"/>
    <n v="156.5"/>
    <n v="158.4"/>
    <s v="NA"/>
    <n v="154.4"/>
    <n v="154.80000000000001"/>
    <n v="164.3"/>
    <n v="150.19999999999999"/>
    <n v="157"/>
    <n v="163.6"/>
    <n v="155.19999999999999"/>
    <n v="157.19999999999999"/>
    <n v="156.69999999999999"/>
  </r>
  <r>
    <x v="1"/>
    <x v="8"/>
    <x v="1"/>
    <n v="147.6"/>
    <n v="191.2"/>
    <n v="169.9"/>
    <n v="155.1"/>
    <n v="151.4"/>
    <n v="154"/>
    <n v="180.2"/>
    <n v="159.80000000000001"/>
    <n v="114.9"/>
    <n v="162.5"/>
    <n v="149.19999999999999"/>
    <n v="169.4"/>
    <n v="158.76666666666668"/>
    <n v="160.80000000000001"/>
    <n v="193.3"/>
    <n v="154.19999999999999"/>
    <n v="138.19999999999999"/>
    <n v="146.19999999999999"/>
    <n v="151.80000000000001"/>
    <n v="159.80000000000001"/>
    <n v="149.1"/>
    <n v="146.5"/>
    <n v="156.30000000000001"/>
    <n v="140.5"/>
    <n v="147.30000000000001"/>
    <n v="156.6"/>
    <n v="156.69999999999999"/>
    <n v="149.30000000000001"/>
    <n v="156.5"/>
  </r>
  <r>
    <x v="2"/>
    <x v="8"/>
    <x v="1"/>
    <n v="144.30000000000001"/>
    <n v="186.5"/>
    <n v="168.7"/>
    <n v="154.69999999999999"/>
    <n v="158.69999999999999"/>
    <n v="150.69999999999999"/>
    <n v="160"/>
    <n v="158.80000000000001"/>
    <n v="112.8"/>
    <n v="164.2"/>
    <n v="155.5"/>
    <n v="167.5"/>
    <n v="156.86666666666667"/>
    <n v="156.9"/>
    <n v="188.3"/>
    <n v="157.19999999999999"/>
    <n v="147.4"/>
    <n v="152.30000000000001"/>
    <n v="155.80000000000001"/>
    <n v="159.80000000000001"/>
    <n v="152.4"/>
    <n v="150.9"/>
    <n v="161.30000000000001"/>
    <n v="145.1"/>
    <n v="151.5"/>
    <n v="159.5"/>
    <n v="155.80000000000001"/>
    <n v="153.4"/>
    <n v="156.6"/>
  </r>
  <r>
    <x v="0"/>
    <x v="8"/>
    <x v="2"/>
    <n v="142.5"/>
    <n v="189.4"/>
    <n v="163.19999999999999"/>
    <n v="154.5"/>
    <n v="168.2"/>
    <n v="150.5"/>
    <n v="141"/>
    <n v="159.19999999999999"/>
    <n v="111.7"/>
    <n v="164"/>
    <n v="160.6"/>
    <n v="166.4"/>
    <n v="155.93333333333334"/>
    <n v="154.5"/>
    <n v="186.1"/>
    <n v="159.6"/>
    <n v="154.4"/>
    <n v="157"/>
    <n v="158.9"/>
    <s v="-"/>
    <n v="156"/>
    <n v="154.80000000000001"/>
    <n v="164.6"/>
    <n v="151.30000000000001"/>
    <n v="157.80000000000001"/>
    <n v="163.80000000000001"/>
    <n v="153.1"/>
    <n v="157.30000000000001"/>
    <n v="156.69999999999999"/>
  </r>
  <r>
    <x v="1"/>
    <x v="8"/>
    <x v="2"/>
    <n v="147.5"/>
    <n v="197.5"/>
    <n v="164.7"/>
    <n v="155.6"/>
    <n v="156.4"/>
    <n v="157.30000000000001"/>
    <n v="166.1"/>
    <n v="161.1"/>
    <n v="114.3"/>
    <n v="162.6"/>
    <n v="150.69999999999999"/>
    <n v="170.3"/>
    <n v="158.67499999999998"/>
    <n v="160.4"/>
    <n v="193.5"/>
    <n v="155.1"/>
    <n v="138.69999999999999"/>
    <n v="146.89999999999998"/>
    <n v="152.6"/>
    <n v="159.9"/>
    <n v="154.80000000000001"/>
    <n v="147.19999999999999"/>
    <n v="156.9"/>
    <n v="141.69999999999999"/>
    <n v="148.6"/>
    <n v="157.6"/>
    <n v="154.9"/>
    <n v="150"/>
    <n v="156.9"/>
  </r>
  <r>
    <x v="2"/>
    <x v="8"/>
    <x v="2"/>
    <n v="144.1"/>
    <n v="192.2"/>
    <n v="163.80000000000001"/>
    <n v="154.9"/>
    <n v="163.9"/>
    <n v="153.69999999999999"/>
    <n v="149.5"/>
    <n v="159.80000000000001"/>
    <n v="112.6"/>
    <n v="163.5"/>
    <n v="156.5"/>
    <n v="168.2"/>
    <n v="156.89166666666665"/>
    <n v="156.69999999999999"/>
    <n v="188.1"/>
    <n v="157.80000000000001"/>
    <n v="147.9"/>
    <n v="152.85000000000002"/>
    <n v="156.4"/>
    <n v="159.9"/>
    <n v="155.5"/>
    <n v="151.19999999999999"/>
    <n v="161.69999999999999"/>
    <n v="146.19999999999999"/>
    <n v="152.6"/>
    <n v="160.19999999999999"/>
    <n v="153.80000000000001"/>
    <n v="153.80000000000001"/>
    <n v="156.80000000000001"/>
  </r>
  <r>
    <x v="0"/>
    <x v="8"/>
    <x v="3"/>
    <n v="142.69999999999999"/>
    <n v="195.5"/>
    <n v="163.4"/>
    <n v="155"/>
    <n v="175.2"/>
    <n v="160.6"/>
    <n v="135.1"/>
    <n v="161.1"/>
    <n v="112.2"/>
    <n v="164.4"/>
    <n v="161.9"/>
    <n v="166.8"/>
    <n v="157.82500000000002"/>
    <n v="155.6"/>
    <n v="186.8"/>
    <n v="160.69999999999999"/>
    <n v="155.1"/>
    <n v="157.89999999999998"/>
    <n v="159.9"/>
    <s v="-"/>
    <n v="156"/>
    <n v="155.5"/>
    <n v="165.3"/>
    <n v="151.69999999999999"/>
    <n v="158.6"/>
    <n v="164.1"/>
    <n v="154.6"/>
    <n v="158"/>
    <n v="157.6"/>
  </r>
  <r>
    <x v="1"/>
    <x v="8"/>
    <x v="3"/>
    <n v="147.6"/>
    <n v="202.5"/>
    <n v="166.4"/>
    <n v="156"/>
    <n v="161.4"/>
    <n v="168.8"/>
    <n v="161.6"/>
    <n v="162.80000000000001"/>
    <n v="114.8"/>
    <n v="162.80000000000001"/>
    <n v="151.5"/>
    <n v="171.4"/>
    <n v="160.63333333333333"/>
    <n v="162"/>
    <n v="194.4"/>
    <n v="155.9"/>
    <n v="139.30000000000001"/>
    <n v="147.60000000000002"/>
    <n v="153.4"/>
    <n v="161.4"/>
    <n v="154.9"/>
    <n v="147.6"/>
    <n v="157.5"/>
    <n v="142.1"/>
    <n v="149.1"/>
    <n v="157.6"/>
    <n v="156.6"/>
    <n v="150.5"/>
    <n v="158"/>
  </r>
  <r>
    <x v="2"/>
    <x v="8"/>
    <x v="3"/>
    <n v="144.30000000000001"/>
    <n v="198"/>
    <n v="164.6"/>
    <n v="155.4"/>
    <n v="170.1"/>
    <n v="164.4"/>
    <n v="144.1"/>
    <n v="161.69999999999999"/>
    <n v="113.1"/>
    <n v="163.9"/>
    <n v="157.6"/>
    <n v="168.9"/>
    <n v="158.84166666666667"/>
    <n v="158"/>
    <n v="188.8"/>
    <n v="158.80000000000001"/>
    <n v="148.5"/>
    <n v="153.65"/>
    <n v="157.30000000000001"/>
    <n v="161.4"/>
    <n v="155.6"/>
    <n v="151.80000000000001"/>
    <n v="162.30000000000001"/>
    <n v="146.6"/>
    <n v="153.19999999999999"/>
    <n v="160.30000000000001"/>
    <n v="155.4"/>
    <n v="154.4"/>
    <n v="157.80000000000001"/>
  </r>
  <r>
    <x v="0"/>
    <x v="8"/>
    <x v="4"/>
    <n v="145.1"/>
    <n v="198.5"/>
    <n v="168.6"/>
    <n v="155.80000000000001"/>
    <n v="184.4"/>
    <n v="162.30000000000001"/>
    <n v="138.4"/>
    <n v="165.1"/>
    <n v="114.3"/>
    <n v="169.7"/>
    <n v="164.6"/>
    <n v="169.8"/>
    <n v="161.38333333333333"/>
    <n v="158.69999999999999"/>
    <n v="189.6"/>
    <n v="165.3"/>
    <n v="160.6"/>
    <n v="162.94999999999999"/>
    <n v="164.5"/>
    <s v="NA"/>
    <n v="161.69999999999999"/>
    <n v="158.80000000000001"/>
    <n v="169.1"/>
    <n v="153.19999999999999"/>
    <n v="160"/>
    <n v="167.6"/>
    <n v="159.30000000000001"/>
    <n v="161.1"/>
    <n v="161.1"/>
  </r>
  <r>
    <x v="1"/>
    <x v="8"/>
    <x v="4"/>
    <n v="148.80000000000001"/>
    <n v="204.3"/>
    <n v="173"/>
    <n v="156.5"/>
    <n v="168.8"/>
    <n v="172.5"/>
    <n v="166.5"/>
    <n v="165.9"/>
    <n v="115.9"/>
    <n v="165.2"/>
    <n v="152"/>
    <n v="171.1"/>
    <n v="163.37500000000003"/>
    <n v="164.2"/>
    <n v="198.2"/>
    <n v="156.5"/>
    <n v="140.19999999999999"/>
    <n v="148.35"/>
    <n v="154.1"/>
    <n v="161.6"/>
    <n v="155.5"/>
    <n v="150.1"/>
    <n v="160.4"/>
    <n v="145"/>
    <n v="152.6"/>
    <n v="156.6"/>
    <n v="157.5"/>
    <n v="152.30000000000001"/>
    <n v="159.5"/>
  </r>
  <r>
    <x v="2"/>
    <x v="8"/>
    <x v="4"/>
    <n v="146.30000000000001"/>
    <n v="200.5"/>
    <n v="170.3"/>
    <n v="156.1"/>
    <n v="178.7"/>
    <n v="167.1"/>
    <n v="147.9"/>
    <n v="165.4"/>
    <n v="114.8"/>
    <n v="168.2"/>
    <n v="159.30000000000001"/>
    <n v="170.4"/>
    <n v="162.08333333333334"/>
    <n v="160.69999999999999"/>
    <n v="191.9"/>
    <n v="161.80000000000001"/>
    <n v="152.1"/>
    <n v="156.94999999999999"/>
    <n v="160.4"/>
    <n v="161.6"/>
    <n v="159.4"/>
    <n v="154.69999999999999"/>
    <n v="165.8"/>
    <n v="148.9"/>
    <n v="155.80000000000001"/>
    <n v="161.19999999999999"/>
    <n v="158.6"/>
    <n v="156.80000000000001"/>
    <n v="160.4"/>
  </r>
  <r>
    <x v="0"/>
    <x v="8"/>
    <x v="5"/>
    <n v="145.6"/>
    <n v="200.1"/>
    <n v="179.3"/>
    <n v="156.1"/>
    <n v="190.4"/>
    <n v="158.6"/>
    <n v="144.69999999999999"/>
    <n v="165.5"/>
    <n v="114.6"/>
    <n v="170"/>
    <n v="165.5"/>
    <n v="171.7"/>
    <n v="163.50833333333333"/>
    <n v="160.5"/>
    <n v="189.1"/>
    <n v="165.3"/>
    <n v="159.9"/>
    <n v="162.60000000000002"/>
    <n v="164.6"/>
    <s v="NA"/>
    <n v="162.1"/>
    <n v="159.19999999999999"/>
    <n v="169.7"/>
    <n v="154.19999999999999"/>
    <n v="160.4"/>
    <n v="166.8"/>
    <n v="159.4"/>
    <n v="161.5"/>
    <n v="162.1"/>
  </r>
  <r>
    <x v="1"/>
    <x v="8"/>
    <x v="5"/>
    <n v="149.19999999999999"/>
    <n v="205.5"/>
    <n v="182.8"/>
    <n v="156.5"/>
    <n v="172.2"/>
    <n v="171.5"/>
    <n v="176.2"/>
    <n v="166.9"/>
    <n v="116.1"/>
    <n v="165.5"/>
    <n v="152.30000000000001"/>
    <n v="173.3"/>
    <n v="165.66666666666666"/>
    <n v="166.2"/>
    <n v="195.6"/>
    <n v="157.30000000000001"/>
    <n v="140.5"/>
    <n v="148.9"/>
    <n v="154.80000000000001"/>
    <n v="160.5"/>
    <n v="156.1"/>
    <n v="149.80000000000001"/>
    <n v="160.80000000000001"/>
    <n v="147.5"/>
    <n v="150.69999999999999"/>
    <n v="158.1"/>
    <n v="158"/>
    <n v="153.4"/>
    <n v="160.4"/>
  </r>
  <r>
    <x v="2"/>
    <x v="8"/>
    <x v="5"/>
    <n v="146.69999999999999"/>
    <n v="202"/>
    <n v="180.7"/>
    <n v="156.19999999999999"/>
    <n v="183.7"/>
    <n v="164.6"/>
    <n v="155.4"/>
    <n v="166"/>
    <n v="115.1"/>
    <n v="168.5"/>
    <n v="160"/>
    <n v="172.4"/>
    <n v="164.27500000000001"/>
    <n v="162.6"/>
    <n v="190.8"/>
    <n v="162.19999999999999"/>
    <n v="151.80000000000001"/>
    <n v="157"/>
    <n v="160.69999999999999"/>
    <n v="160.5"/>
    <n v="159.80000000000001"/>
    <n v="154.80000000000001"/>
    <n v="166.3"/>
    <n v="150.69999999999999"/>
    <n v="154.9"/>
    <n v="161.69999999999999"/>
    <n v="158.80000000000001"/>
    <n v="157.6"/>
    <n v="161.30000000000001"/>
  </r>
  <r>
    <x v="0"/>
    <x v="8"/>
    <x v="6"/>
    <n v="145.1"/>
    <n v="204.5"/>
    <n v="180.4"/>
    <n v="157.1"/>
    <n v="188.7"/>
    <n v="157.69999999999999"/>
    <n v="152.80000000000001"/>
    <n v="163.6"/>
    <n v="113.9"/>
    <n v="169.7"/>
    <n v="166.2"/>
    <n v="171"/>
    <n v="164.22499999999999"/>
    <n v="161.69999999999999"/>
    <n v="189.7"/>
    <n v="166"/>
    <n v="161.1"/>
    <n v="163.55000000000001"/>
    <n v="165.3"/>
    <s v="NA"/>
    <n v="162.5"/>
    <n v="160.30000000000001"/>
    <n v="170.4"/>
    <n v="157.1"/>
    <n v="160.69999999999999"/>
    <n v="167.2"/>
    <n v="160.4"/>
    <n v="162.80000000000001"/>
    <n v="163.19999999999999"/>
  </r>
  <r>
    <x v="1"/>
    <x v="8"/>
    <x v="6"/>
    <n v="149.1"/>
    <n v="210.9"/>
    <n v="185"/>
    <n v="158.19999999999999"/>
    <n v="170.6"/>
    <n v="170.9"/>
    <n v="186.4"/>
    <n v="164.7"/>
    <n v="115.7"/>
    <n v="165.5"/>
    <n v="153.4"/>
    <n v="173.5"/>
    <n v="166.9916666666667"/>
    <n v="167.9"/>
    <n v="195.5"/>
    <n v="157.9"/>
    <n v="141.9"/>
    <n v="149.9"/>
    <n v="155.5"/>
    <n v="161.5"/>
    <n v="157.69999999999999"/>
    <n v="150.69999999999999"/>
    <n v="161.5"/>
    <n v="149.5"/>
    <n v="151.19999999999999"/>
    <n v="160.30000000000001"/>
    <n v="159.6"/>
    <n v="155"/>
    <n v="161.80000000000001"/>
  </r>
  <r>
    <x v="2"/>
    <x v="8"/>
    <x v="6"/>
    <n v="146.4"/>
    <n v="206.8"/>
    <n v="182.2"/>
    <n v="157.5"/>
    <n v="182.1"/>
    <n v="163.9"/>
    <n v="164.2"/>
    <n v="164"/>
    <n v="114.5"/>
    <n v="168.3"/>
    <n v="160.9"/>
    <n v="172.2"/>
    <n v="165.25000000000003"/>
    <n v="164"/>
    <n v="191.2"/>
    <n v="162.80000000000001"/>
    <n v="153.1"/>
    <n v="157.94999999999999"/>
    <n v="161.4"/>
    <n v="161.5"/>
    <n v="160.69999999999999"/>
    <n v="155.80000000000001"/>
    <n v="167"/>
    <n v="153.1"/>
    <n v="155.30000000000001"/>
    <n v="163.19999999999999"/>
    <n v="160.1"/>
    <n v="159"/>
    <n v="162.5"/>
  </r>
  <r>
    <x v="0"/>
    <x v="8"/>
    <x v="7"/>
    <n v="144.9"/>
    <n v="202.3"/>
    <n v="176.5"/>
    <n v="157.5"/>
    <n v="190.9"/>
    <n v="155.69999999999999"/>
    <n v="153.9"/>
    <n v="162.80000000000001"/>
    <n v="115.2"/>
    <n v="169.8"/>
    <n v="167.6"/>
    <n v="171.9"/>
    <n v="164.08333333333334"/>
    <n v="161.80000000000001"/>
    <n v="190.2"/>
    <n v="167"/>
    <n v="162.6"/>
    <n v="164.8"/>
    <n v="166.3"/>
    <s v="NA"/>
    <n v="163.1"/>
    <n v="160.9"/>
    <n v="171.1"/>
    <n v="157.69999999999999"/>
    <n v="161.1"/>
    <n v="167.5"/>
    <n v="160.30000000000001"/>
    <n v="163.30000000000001"/>
    <n v="163.6"/>
  </r>
  <r>
    <x v="1"/>
    <x v="8"/>
    <x v="7"/>
    <n v="149.30000000000001"/>
    <n v="207.4"/>
    <n v="174.1"/>
    <n v="159.19999999999999"/>
    <n v="175"/>
    <n v="161.30000000000001"/>
    <n v="183.3"/>
    <n v="164.5"/>
    <n v="120.4"/>
    <n v="166.2"/>
    <n v="154.80000000000001"/>
    <n v="175.1"/>
    <n v="165.88333333333333"/>
    <n v="167.3"/>
    <n v="196.5"/>
    <n v="159.80000000000001"/>
    <n v="143.6"/>
    <n v="151.69999999999999"/>
    <n v="157.30000000000001"/>
    <n v="162.1"/>
    <n v="160.69999999999999"/>
    <n v="153.19999999999999"/>
    <n v="162.80000000000001"/>
    <n v="150.4"/>
    <n v="153.69999999999999"/>
    <n v="160.4"/>
    <n v="159.6"/>
    <n v="156"/>
    <n v="162.30000000000001"/>
  </r>
  <r>
    <x v="2"/>
    <x v="8"/>
    <x v="7"/>
    <n v="146.6"/>
    <n v="204"/>
    <n v="172.8"/>
    <n v="158.4"/>
    <n v="188"/>
    <n v="156.80000000000001"/>
    <n v="162.19999999999999"/>
    <n v="164.1"/>
    <n v="119.7"/>
    <n v="168.8"/>
    <n v="162.69999999999999"/>
    <n v="173.9"/>
    <n v="164.83333333333334"/>
    <n v="164"/>
    <n v="192.1"/>
    <n v="164.5"/>
    <n v="155.30000000000001"/>
    <n v="159.9"/>
    <n v="163.19999999999999"/>
    <n v="162.1"/>
    <n v="162.6"/>
    <n v="157.5"/>
    <n v="168.4"/>
    <n v="154"/>
    <n v="157.6"/>
    <n v="163.80000000000001"/>
    <n v="160"/>
    <n v="160"/>
    <n v="163.19999999999999"/>
  </r>
  <r>
    <x v="0"/>
    <x v="8"/>
    <x v="8"/>
    <n v="145.4"/>
    <n v="202.1"/>
    <n v="172"/>
    <n v="158"/>
    <n v="195.5"/>
    <n v="152.69999999999999"/>
    <n v="151.4"/>
    <n v="163.9"/>
    <n v="119.3"/>
    <n v="170.1"/>
    <n v="168.3"/>
    <n v="172.8"/>
    <n v="164.29166666666666"/>
    <n v="162.1"/>
    <n v="190.5"/>
    <n v="167.7"/>
    <n v="163.6"/>
    <n v="165.64999999999998"/>
    <n v="167.1"/>
    <s v="NA"/>
    <n v="163.69999999999999"/>
    <n v="161.30000000000001"/>
    <n v="171.9"/>
    <n v="157.80000000000001"/>
    <n v="162.69999999999999"/>
    <n v="168.5"/>
    <n v="160.19999999999999"/>
    <n v="163.80000000000001"/>
    <n v="164"/>
  </r>
  <r>
    <x v="1"/>
    <x v="8"/>
    <x v="8"/>
    <n v="149.30000000000001"/>
    <n v="207.4"/>
    <n v="174.1"/>
    <n v="159.1"/>
    <n v="175"/>
    <n v="161.19999999999999"/>
    <n v="183.5"/>
    <n v="164.5"/>
    <n v="120.4"/>
    <n v="166.2"/>
    <n v="154.80000000000001"/>
    <n v="175.1"/>
    <n v="165.88333333333335"/>
    <n v="167.3"/>
    <n v="196.5"/>
    <n v="159.80000000000001"/>
    <n v="143.6"/>
    <n v="151.69999999999999"/>
    <n v="157.4"/>
    <n v="162.1"/>
    <n v="160.80000000000001"/>
    <n v="153.30000000000001"/>
    <n v="162.80000000000001"/>
    <n v="150.5"/>
    <n v="153.9"/>
    <n v="160.30000000000001"/>
    <n v="159.6"/>
    <n v="156"/>
    <n v="162.30000000000001"/>
  </r>
  <r>
    <x v="2"/>
    <x v="8"/>
    <x v="8"/>
    <n v="146.6"/>
    <n v="204"/>
    <n v="172.8"/>
    <n v="158.4"/>
    <n v="188"/>
    <n v="156.69999999999999"/>
    <n v="162.30000000000001"/>
    <n v="164.1"/>
    <n v="119.7"/>
    <n v="168.8"/>
    <n v="162.69999999999999"/>
    <n v="173.9"/>
    <n v="164.83333333333334"/>
    <n v="164"/>
    <n v="192.1"/>
    <n v="164.6"/>
    <n v="155.30000000000001"/>
    <n v="159.94999999999999"/>
    <n v="163.30000000000001"/>
    <n v="162.1"/>
    <n v="162.6"/>
    <n v="157.5"/>
    <n v="168.4"/>
    <n v="154"/>
    <n v="157.69999999999999"/>
    <n v="163.69999999999999"/>
    <n v="160"/>
    <n v="160"/>
    <n v="163.19999999999999"/>
  </r>
  <r>
    <x v="0"/>
    <x v="8"/>
    <x v="9"/>
    <n v="146.1"/>
    <n v="202.5"/>
    <n v="170.1"/>
    <n v="158.4"/>
    <n v="198.8"/>
    <n v="152.6"/>
    <n v="170.4"/>
    <n v="165.2"/>
    <n v="121.6"/>
    <n v="170.6"/>
    <n v="168.8"/>
    <n v="173.6"/>
    <n v="166.55833333333331"/>
    <n v="165.5"/>
    <n v="191.2"/>
    <n v="168.9"/>
    <n v="164.8"/>
    <n v="166.85000000000002"/>
    <n v="168.3"/>
    <s v="NA"/>
    <n v="165.5"/>
    <n v="162"/>
    <n v="172.5"/>
    <n v="159.5"/>
    <n v="163.19999999999999"/>
    <n v="169"/>
    <n v="161.1"/>
    <n v="164.7"/>
    <n v="166.3"/>
  </r>
  <r>
    <x v="1"/>
    <x v="8"/>
    <x v="9"/>
    <n v="150.1"/>
    <n v="208.4"/>
    <n v="173"/>
    <n v="159.19999999999999"/>
    <n v="176.6"/>
    <n v="159.30000000000001"/>
    <n v="214.4"/>
    <n v="165.3"/>
    <n v="122.5"/>
    <n v="166.8"/>
    <n v="155.4"/>
    <n v="175.9"/>
    <n v="168.90833333333336"/>
    <n v="171.5"/>
    <n v="197"/>
    <n v="160.80000000000001"/>
    <n v="144.4"/>
    <n v="152.60000000000002"/>
    <n v="158.30000000000001"/>
    <n v="163.6"/>
    <n v="162.19999999999999"/>
    <n v="154.30000000000001"/>
    <n v="163.5"/>
    <n v="152.19999999999999"/>
    <n v="155.1"/>
    <n v="160.30000000000001"/>
    <n v="160.30000000000001"/>
    <n v="157"/>
    <n v="164.6"/>
  </r>
  <r>
    <x v="2"/>
    <x v="8"/>
    <x v="9"/>
    <n v="147.4"/>
    <n v="204.6"/>
    <n v="171.2"/>
    <n v="158.69999999999999"/>
    <n v="190.6"/>
    <n v="155.69999999999999"/>
    <n v="185.3"/>
    <n v="165.2"/>
    <n v="121.9"/>
    <n v="169.3"/>
    <n v="163.19999999999999"/>
    <n v="174.7"/>
    <n v="167.31666666666669"/>
    <n v="167.7"/>
    <n v="192.7"/>
    <n v="165.7"/>
    <n v="156.30000000000001"/>
    <n v="161"/>
    <n v="164.3"/>
    <n v="163.6"/>
    <n v="164.2"/>
    <n v="158.4"/>
    <n v="169.1"/>
    <n v="155.69999999999999"/>
    <n v="158.6"/>
    <n v="163.9"/>
    <n v="160.80000000000001"/>
    <n v="161"/>
    <n v="165.5"/>
  </r>
  <r>
    <x v="0"/>
    <x v="8"/>
    <x v="11"/>
    <n v="146.9"/>
    <n v="199.8"/>
    <n v="171.5"/>
    <n v="159.1"/>
    <n v="198.4"/>
    <n v="153.19999999999999"/>
    <n v="183.9"/>
    <n v="165.4"/>
    <n v="122.1"/>
    <n v="170.8"/>
    <n v="169.1"/>
    <n v="174.3"/>
    <n v="167.875"/>
    <n v="167.5"/>
    <n v="191.4"/>
    <n v="170.4"/>
    <n v="166"/>
    <n v="168.2"/>
    <n v="169.8"/>
    <s v="NA"/>
    <n v="165.3"/>
    <n v="162.9"/>
    <n v="173.4"/>
    <n v="158.9"/>
    <n v="163.80000000000001"/>
    <n v="169.3"/>
    <n v="162.4"/>
    <n v="165.2"/>
    <n v="167.6"/>
  </r>
  <r>
    <x v="1"/>
    <x v="8"/>
    <x v="11"/>
    <n v="151"/>
    <n v="204.9"/>
    <n v="175.4"/>
    <n v="159.6"/>
    <n v="175.8"/>
    <n v="160.30000000000001"/>
    <n v="229.1"/>
    <n v="165.1"/>
    <n v="123.1"/>
    <n v="167.2"/>
    <n v="156.1"/>
    <n v="176.8"/>
    <n v="170.36666666666665"/>
    <n v="173.5"/>
    <n v="197"/>
    <n v="162.30000000000001"/>
    <n v="145.30000000000001"/>
    <n v="153.80000000000001"/>
    <n v="159.69999999999999"/>
    <n v="164.2"/>
    <n v="161.6"/>
    <n v="155.19999999999999"/>
    <n v="164.2"/>
    <n v="151.19999999999999"/>
    <n v="156.69999999999999"/>
    <n v="160.80000000000001"/>
    <n v="161.80000000000001"/>
    <n v="157.30000000000001"/>
    <n v="165.6"/>
  </r>
  <r>
    <x v="2"/>
    <x v="8"/>
    <x v="11"/>
    <n v="148.19999999999999"/>
    <n v="201.6"/>
    <n v="173"/>
    <n v="159.30000000000001"/>
    <n v="190.1"/>
    <n v="156.5"/>
    <n v="199.2"/>
    <n v="165.3"/>
    <n v="122.4"/>
    <n v="169.6"/>
    <n v="163.69999999999999"/>
    <n v="175.5"/>
    <n v="168.7"/>
    <n v="169.7"/>
    <n v="192.9"/>
    <n v="167.2"/>
    <n v="157.4"/>
    <n v="162.30000000000001"/>
    <n v="165.8"/>
    <n v="164.2"/>
    <n v="163.9"/>
    <n v="159.30000000000001"/>
    <n v="169.9"/>
    <n v="154.80000000000001"/>
    <n v="159.80000000000001"/>
    <n v="164.3"/>
    <n v="162.19999999999999"/>
    <n v="161.4"/>
    <n v="166.7"/>
  </r>
  <r>
    <x v="0"/>
    <x v="8"/>
    <x v="12"/>
    <n v="147.4"/>
    <n v="197"/>
    <n v="176.5"/>
    <n v="159.80000000000001"/>
    <n v="195.8"/>
    <n v="152"/>
    <n v="172.3"/>
    <n v="164.5"/>
    <n v="120.6"/>
    <n v="171.7"/>
    <n v="169.7"/>
    <n v="175.1"/>
    <n v="166.86666666666665"/>
    <n v="165.8"/>
    <n v="190.8"/>
    <n v="171.8"/>
    <n v="167.3"/>
    <n v="169.55"/>
    <n v="171.2"/>
    <s v="NA"/>
    <n v="165.6"/>
    <n v="163.9"/>
    <n v="174"/>
    <n v="160.1"/>
    <n v="164.5"/>
    <n v="169.7"/>
    <n v="162.80000000000001"/>
    <n v="166"/>
    <n v="167"/>
  </r>
  <r>
    <x v="1"/>
    <x v="8"/>
    <x v="12"/>
    <n v="151.6"/>
    <n v="202.2"/>
    <n v="180"/>
    <n v="160"/>
    <n v="173.5"/>
    <n v="158.30000000000001"/>
    <n v="219.5"/>
    <n v="164.2"/>
    <n v="121.9"/>
    <n v="168.2"/>
    <n v="156.5"/>
    <n v="178.2"/>
    <n v="169.50833333333335"/>
    <n v="172.2"/>
    <n v="196.8"/>
    <n v="163.30000000000001"/>
    <n v="146.69999999999999"/>
    <n v="155"/>
    <n v="160.69999999999999"/>
    <n v="163.4"/>
    <n v="161.69999999999999"/>
    <n v="156"/>
    <n v="165.1"/>
    <n v="151.80000000000001"/>
    <n v="157.6"/>
    <n v="160.6"/>
    <n v="162.4"/>
    <n v="157.80000000000001"/>
    <n v="165.2"/>
  </r>
  <r>
    <x v="2"/>
    <x v="8"/>
    <x v="12"/>
    <n v="148.69999999999999"/>
    <n v="198.8"/>
    <n v="177.9"/>
    <n v="159.9"/>
    <n v="187.6"/>
    <n v="154.9"/>
    <n v="188.3"/>
    <n v="164.4"/>
    <n v="121"/>
    <n v="170.5"/>
    <n v="164.2"/>
    <n v="176.5"/>
    <n v="167.72499999999999"/>
    <n v="168.2"/>
    <n v="192.4"/>
    <n v="168.5"/>
    <n v="158.69999999999999"/>
    <n v="163.6"/>
    <n v="167"/>
    <n v="163.4"/>
    <n v="164.1"/>
    <n v="160.19999999999999"/>
    <n v="170.6"/>
    <n v="155.69999999999999"/>
    <n v="160.6"/>
    <n v="164.4"/>
    <n v="162.6"/>
    <n v="162"/>
    <n v="166.2"/>
  </r>
  <r>
    <x v="0"/>
    <x v="9"/>
    <x v="0"/>
    <n v="148.30000000000001"/>
    <n v="196.9"/>
    <n v="178"/>
    <n v="160.5"/>
    <n v="192.6"/>
    <n v="151.19999999999999"/>
    <n v="159.19999999999999"/>
    <n v="164"/>
    <n v="119.3"/>
    <n v="173.3"/>
    <n v="169.8"/>
    <n v="175.8"/>
    <n v="165.74166666666665"/>
    <n v="164.1"/>
    <n v="190.7"/>
    <n v="173.2"/>
    <n v="169.3"/>
    <n v="171.25"/>
    <n v="172.7"/>
    <s v="NA"/>
    <n v="165.8"/>
    <n v="164.9"/>
    <n v="174.7"/>
    <n v="160.80000000000001"/>
    <n v="164.9"/>
    <n v="169.9"/>
    <n v="163.19999999999999"/>
    <n v="166.6"/>
    <n v="166.4"/>
  </r>
  <r>
    <x v="1"/>
    <x v="9"/>
    <x v="0"/>
    <n v="152.19999999999999"/>
    <n v="202.1"/>
    <n v="180.1"/>
    <n v="160.4"/>
    <n v="171"/>
    <n v="156.5"/>
    <n v="203.6"/>
    <n v="163.80000000000001"/>
    <n v="121.3"/>
    <n v="169.8"/>
    <n v="156.6"/>
    <n v="179"/>
    <n v="168.0333333333333"/>
    <n v="170.3"/>
    <n v="196.4"/>
    <n v="164.7"/>
    <n v="148.5"/>
    <n v="156.6"/>
    <n v="162.19999999999999"/>
    <n v="164.5"/>
    <n v="161.6"/>
    <n v="156.80000000000001"/>
    <n v="166.1"/>
    <n v="152.69999999999999"/>
    <n v="158.4"/>
    <n v="161"/>
    <n v="162.80000000000001"/>
    <n v="158.6"/>
    <n v="165"/>
  </r>
  <r>
    <x v="2"/>
    <x v="9"/>
    <x v="0"/>
    <n v="149.5"/>
    <n v="198.7"/>
    <n v="178.8"/>
    <n v="160.5"/>
    <n v="184.7"/>
    <n v="153.69999999999999"/>
    <n v="174.3"/>
    <n v="163.9"/>
    <n v="120"/>
    <n v="172.1"/>
    <n v="164.3"/>
    <n v="177.3"/>
    <n v="166.48333333333332"/>
    <n v="166.4"/>
    <n v="192.2"/>
    <n v="169.9"/>
    <n v="160.69999999999999"/>
    <n v="165.3"/>
    <n v="168.5"/>
    <n v="164.5"/>
    <n v="164.2"/>
    <n v="161.1"/>
    <n v="171.4"/>
    <n v="156.5"/>
    <n v="161.19999999999999"/>
    <n v="164.7"/>
    <n v="163"/>
    <n v="162.69999999999999"/>
    <n v="165.7"/>
  </r>
  <r>
    <x v="0"/>
    <x v="9"/>
    <x v="1"/>
    <n v="148.80000000000001"/>
    <n v="198.1"/>
    <n v="175.5"/>
    <n v="160.69999999999999"/>
    <n v="192.6"/>
    <n v="151.4"/>
    <n v="155.19999999999999"/>
    <n v="163.9"/>
    <n v="118.1"/>
    <n v="175.4"/>
    <n v="170.5"/>
    <n v="176.3"/>
    <n v="165.54166666666666"/>
    <n v="163.9"/>
    <n v="191.5"/>
    <n v="174.1"/>
    <n v="171"/>
    <n v="172.55"/>
    <n v="173.7"/>
    <s v="NA"/>
    <n v="167.4"/>
    <n v="165.7"/>
    <n v="175.3"/>
    <n v="161.19999999999999"/>
    <n v="165.5"/>
    <n v="170.3"/>
    <n v="164.5"/>
    <n v="167.3"/>
    <n v="166.7"/>
  </r>
  <r>
    <x v="1"/>
    <x v="9"/>
    <x v="1"/>
    <n v="152.5"/>
    <n v="205.2"/>
    <n v="176.4"/>
    <n v="160.6"/>
    <n v="171.5"/>
    <n v="156.4"/>
    <n v="198"/>
    <n v="163.19999999999999"/>
    <n v="120.6"/>
    <n v="172.2"/>
    <n v="156.69999999999999"/>
    <n v="180"/>
    <n v="167.77500000000001"/>
    <n v="170.2"/>
    <n v="196.5"/>
    <n v="165.7"/>
    <n v="150.4"/>
    <n v="158.05000000000001"/>
    <n v="163.4"/>
    <n v="165.5"/>
    <n v="163"/>
    <n v="157.4"/>
    <n v="167.2"/>
    <n v="153.1"/>
    <n v="159.5"/>
    <n v="162"/>
    <n v="164.2"/>
    <n v="159.4"/>
    <n v="165.5"/>
  </r>
  <r>
    <x v="2"/>
    <x v="9"/>
    <x v="1"/>
    <n v="150"/>
    <n v="200.6"/>
    <n v="175.8"/>
    <n v="160.69999999999999"/>
    <n v="184.9"/>
    <n v="153.69999999999999"/>
    <n v="169.7"/>
    <n v="163.69999999999999"/>
    <n v="118.9"/>
    <n v="174.3"/>
    <n v="164.7"/>
    <n v="178"/>
    <n v="166.25000000000003"/>
    <n v="166.2"/>
    <n v="192.8"/>
    <n v="170.8"/>
    <n v="162.4"/>
    <n v="166.60000000000002"/>
    <n v="169.6"/>
    <n v="165.5"/>
    <n v="165.7"/>
    <n v="161.80000000000001"/>
    <n v="172.2"/>
    <n v="156.9"/>
    <n v="162.1"/>
    <n v="165.4"/>
    <n v="164.4"/>
    <n v="163.5"/>
    <n v="166.1"/>
  </r>
  <r>
    <x v="0"/>
    <x v="9"/>
    <x v="2"/>
    <n v="150.19999999999999"/>
    <n v="208"/>
    <n v="167.9"/>
    <n v="162"/>
    <n v="203.1"/>
    <n v="155.9"/>
    <n v="155.80000000000001"/>
    <n v="164.2"/>
    <n v="118.1"/>
    <n v="178.7"/>
    <n v="171.2"/>
    <n v="177.4"/>
    <n v="167.70833333333334"/>
    <n v="166.6"/>
    <n v="192.3"/>
    <n v="175.4"/>
    <n v="173.2"/>
    <n v="174.3"/>
    <n v="175.1"/>
    <s v="NA"/>
    <n v="168.9"/>
    <n v="166.5"/>
    <n v="176"/>
    <n v="162"/>
    <n v="166.6"/>
    <n v="170.6"/>
    <n v="167.4"/>
    <n v="168.3"/>
    <n v="168.7"/>
  </r>
  <r>
    <x v="1"/>
    <x v="9"/>
    <x v="2"/>
    <n v="153.69999999999999"/>
    <n v="215.8"/>
    <n v="167.7"/>
    <n v="162.6"/>
    <n v="180"/>
    <n v="159.6"/>
    <n v="188.4"/>
    <n v="163.4"/>
    <n v="120.3"/>
    <n v="174.7"/>
    <n v="157.1"/>
    <n v="181.5"/>
    <n v="168.73333333333335"/>
    <n v="171.5"/>
    <n v="197.5"/>
    <n v="167.1"/>
    <n v="152.6"/>
    <n v="159.85"/>
    <n v="164.9"/>
    <n v="165.3"/>
    <n v="164.5"/>
    <n v="158.6"/>
    <n v="168.2"/>
    <n v="154.19999999999999"/>
    <n v="160.80000000000001"/>
    <n v="162.69999999999999"/>
    <n v="166.8"/>
    <n v="160.6"/>
    <n v="166.5"/>
  </r>
  <r>
    <x v="2"/>
    <x v="9"/>
    <x v="2"/>
    <n v="151.30000000000001"/>
    <n v="210.7"/>
    <n v="167.8"/>
    <n v="162.19999999999999"/>
    <n v="194.6"/>
    <n v="157.6"/>
    <n v="166.9"/>
    <n v="163.9"/>
    <n v="118.8"/>
    <n v="177.4"/>
    <n v="165.3"/>
    <n v="179.3"/>
    <n v="167.98333333333335"/>
    <n v="168.4"/>
    <n v="193.7"/>
    <n v="172.1"/>
    <n v="164.6"/>
    <n v="168.35"/>
    <n v="171.1"/>
    <n v="165.3"/>
    <n v="167.2"/>
    <n v="162.80000000000001"/>
    <n v="173"/>
    <n v="157.9"/>
    <n v="163.30000000000001"/>
    <n v="166"/>
    <n v="167.2"/>
    <n v="164.6"/>
    <n v="167.7"/>
  </r>
  <r>
    <x v="0"/>
    <x v="9"/>
    <x v="3"/>
    <n v="151.80000000000001"/>
    <n v="209.7"/>
    <n v="164.5"/>
    <n v="163.80000000000001"/>
    <n v="207.4"/>
    <n v="169.7"/>
    <n v="153.6"/>
    <n v="165.1"/>
    <n v="118.2"/>
    <n v="182.9"/>
    <n v="172.4"/>
    <n v="178.9"/>
    <n v="169.83333333333334"/>
    <n v="168.6"/>
    <n v="192.8"/>
    <n v="177.5"/>
    <n v="175.1"/>
    <n v="176.3"/>
    <n v="177.1"/>
    <s v="NA"/>
    <n v="173.3"/>
    <n v="167.7"/>
    <n v="177"/>
    <n v="166.2"/>
    <n v="167.2"/>
    <n v="170.9"/>
    <n v="169"/>
    <n v="170.2"/>
    <n v="170.8"/>
  </r>
  <r>
    <x v="1"/>
    <x v="9"/>
    <x v="3"/>
    <n v="155.4"/>
    <n v="215.8"/>
    <n v="164.6"/>
    <n v="164.2"/>
    <n v="186"/>
    <n v="175.9"/>
    <n v="190.7"/>
    <n v="164"/>
    <n v="120.5"/>
    <n v="178"/>
    <n v="157.5"/>
    <n v="183.3"/>
    <n v="171.32500000000002"/>
    <n v="174.5"/>
    <n v="197.1"/>
    <n v="168.4"/>
    <n v="154.5"/>
    <n v="161.44999999999999"/>
    <n v="166.3"/>
    <n v="167"/>
    <n v="170.5"/>
    <n v="159.80000000000001"/>
    <n v="169"/>
    <n v="159.30000000000001"/>
    <n v="162.19999999999999"/>
    <n v="164"/>
    <n v="168.4"/>
    <n v="163.1"/>
    <n v="169.2"/>
  </r>
  <r>
    <x v="2"/>
    <x v="9"/>
    <x v="3"/>
    <n v="152.9"/>
    <n v="211.8"/>
    <n v="164.5"/>
    <n v="163.9"/>
    <n v="199.5"/>
    <n v="172.6"/>
    <n v="166.2"/>
    <n v="164.7"/>
    <n v="119"/>
    <n v="181.3"/>
    <n v="166.2"/>
    <n v="180.9"/>
    <n v="170.29166666666669"/>
    <n v="170.8"/>
    <n v="193.9"/>
    <n v="173.9"/>
    <n v="166.5"/>
    <n v="170.2"/>
    <n v="172.8"/>
    <n v="167"/>
    <n v="172.2"/>
    <n v="164"/>
    <n v="174"/>
    <n v="162.6"/>
    <n v="164.4"/>
    <n v="166.9"/>
    <n v="168.8"/>
    <n v="166.8"/>
    <n v="170.1"/>
  </r>
  <r>
    <x v="0"/>
    <x v="9"/>
    <x v="4"/>
    <n v="152.9"/>
    <n v="214.7"/>
    <n v="161.4"/>
    <n v="164.6"/>
    <n v="209.9"/>
    <n v="168"/>
    <n v="160.4"/>
    <n v="165"/>
    <n v="118.9"/>
    <n v="186.6"/>
    <n v="173.2"/>
    <n v="180.4"/>
    <n v="171.33333333333334"/>
    <n v="170.8"/>
    <n v="192.9"/>
    <n v="179.3"/>
    <n v="177.2"/>
    <n v="178.25"/>
    <n v="179"/>
    <s v="NA"/>
    <n v="175.3"/>
    <n v="168.9"/>
    <n v="177.7"/>
    <n v="167.1"/>
    <n v="167.6"/>
    <n v="171.8"/>
    <n v="168.5"/>
    <n v="170.9"/>
    <n v="172.5"/>
  </r>
  <r>
    <x v="1"/>
    <x v="9"/>
    <x v="4"/>
    <n v="156.69999999999999"/>
    <n v="221.2"/>
    <n v="164.1"/>
    <n v="165.4"/>
    <n v="189.5"/>
    <n v="174.5"/>
    <n v="203.2"/>
    <n v="164.1"/>
    <n v="121.2"/>
    <n v="181.4"/>
    <n v="158.5"/>
    <n v="184.9"/>
    <n v="173.72500000000002"/>
    <n v="177.5"/>
    <n v="197.5"/>
    <n v="170"/>
    <n v="155.9"/>
    <n v="162.94999999999999"/>
    <n v="167.8"/>
    <n v="167.5"/>
    <n v="173.5"/>
    <n v="161.1"/>
    <n v="170.1"/>
    <n v="159.4"/>
    <n v="163.19999999999999"/>
    <n v="165.2"/>
    <n v="168.2"/>
    <n v="163.80000000000001"/>
    <n v="170.8"/>
  </r>
  <r>
    <x v="2"/>
    <x v="9"/>
    <x v="4"/>
    <n v="154.1"/>
    <n v="217"/>
    <n v="162.4"/>
    <n v="164.9"/>
    <n v="202.4"/>
    <n v="171"/>
    <n v="174.9"/>
    <n v="164.7"/>
    <n v="119.7"/>
    <n v="184.9"/>
    <n v="167.1"/>
    <n v="182.5"/>
    <n v="172.13333333333335"/>
    <n v="173.3"/>
    <n v="194.1"/>
    <n v="175.6"/>
    <n v="168.4"/>
    <n v="172"/>
    <n v="174.6"/>
    <n v="167.5"/>
    <n v="174.6"/>
    <n v="165.2"/>
    <n v="174.8"/>
    <n v="163"/>
    <n v="165.1"/>
    <n v="167.9"/>
    <n v="168.4"/>
    <n v="167.5"/>
    <n v="171.7"/>
  </r>
  <r>
    <x v="0"/>
    <x v="9"/>
    <x v="5"/>
    <n v="153.80000000000001"/>
    <n v="217.2"/>
    <n v="169.6"/>
    <n v="165.4"/>
    <n v="208.1"/>
    <n v="165.8"/>
    <n v="167.3"/>
    <n v="164.6"/>
    <n v="119.1"/>
    <n v="188.9"/>
    <n v="174.2"/>
    <n v="181.9"/>
    <n v="172.99166666666667"/>
    <n v="172.4"/>
    <n v="192.9"/>
    <n v="180.7"/>
    <n v="178.7"/>
    <n v="179.7"/>
    <n v="180.4"/>
    <s v="NA"/>
    <n v="176.7"/>
    <n v="170.3"/>
    <n v="178.2"/>
    <n v="165.5"/>
    <n v="168"/>
    <n v="172.6"/>
    <n v="169.5"/>
    <n v="171"/>
    <n v="173.6"/>
  </r>
  <r>
    <x v="1"/>
    <x v="9"/>
    <x v="5"/>
    <n v="157.5"/>
    <n v="223.4"/>
    <n v="172.8"/>
    <n v="166.4"/>
    <n v="188.6"/>
    <n v="174.1"/>
    <n v="211.5"/>
    <n v="163.6"/>
    <n v="121.4"/>
    <n v="183.5"/>
    <n v="159.1"/>
    <n v="186.3"/>
    <n v="175.68333333333331"/>
    <n v="179.3"/>
    <n v="198.3"/>
    <n v="171.6"/>
    <n v="157.4"/>
    <n v="164.5"/>
    <n v="169.4"/>
    <n v="166.8"/>
    <n v="174.9"/>
    <n v="162.1"/>
    <n v="170.9"/>
    <n v="157.19999999999999"/>
    <n v="164.1"/>
    <n v="166.5"/>
    <n v="169.2"/>
    <n v="163.80000000000001"/>
    <n v="171.4"/>
  </r>
  <r>
    <x v="2"/>
    <x v="9"/>
    <x v="5"/>
    <n v="155"/>
    <n v="219.4"/>
    <n v="170.8"/>
    <n v="165.8"/>
    <n v="200.9"/>
    <n v="169.7"/>
    <n v="182.3"/>
    <n v="164.3"/>
    <n v="119.9"/>
    <n v="187.1"/>
    <n v="167.9"/>
    <n v="183.9"/>
    <n v="173.91666666666666"/>
    <n v="174.9"/>
    <n v="194.3"/>
    <n v="177.1"/>
    <n v="169.9"/>
    <n v="173.5"/>
    <n v="176"/>
    <n v="166.8"/>
    <n v="176"/>
    <n v="166.4"/>
    <n v="175.4"/>
    <n v="161.1"/>
    <n v="165.8"/>
    <n v="169"/>
    <n v="169.4"/>
    <n v="167.5"/>
    <n v="172.6"/>
  </r>
  <r>
    <x v="0"/>
    <x v="9"/>
    <x v="6"/>
    <n v="155.19999999999999"/>
    <n v="210.8"/>
    <n v="174.3"/>
    <n v="166.3"/>
    <n v="202.2"/>
    <n v="169.6"/>
    <n v="168.6"/>
    <n v="164.4"/>
    <n v="119.2"/>
    <n v="191.8"/>
    <n v="174.5"/>
    <n v="183.1"/>
    <n v="173.33333333333334"/>
    <n v="172.5"/>
    <n v="193.2"/>
    <n v="182"/>
    <n v="180.3"/>
    <n v="181.15"/>
    <n v="181.7"/>
    <s v="NA"/>
    <n v="179.6"/>
    <n v="171.3"/>
    <n v="178.8"/>
    <n v="166.3"/>
    <n v="168.6"/>
    <n v="174.7"/>
    <n v="169.7"/>
    <n v="171.8"/>
    <n v="174.3"/>
  </r>
  <r>
    <x v="1"/>
    <x v="9"/>
    <x v="6"/>
    <n v="159.30000000000001"/>
    <n v="217.1"/>
    <n v="176.6"/>
    <n v="167.1"/>
    <n v="184.8"/>
    <n v="179.5"/>
    <n v="208.5"/>
    <n v="164"/>
    <n v="121.5"/>
    <n v="186.3"/>
    <n v="159.80000000000001"/>
    <n v="187.7"/>
    <n v="176.01666666666665"/>
    <n v="179.4"/>
    <n v="198.6"/>
    <n v="172.7"/>
    <n v="158.69999999999999"/>
    <n v="165.7"/>
    <n v="170.6"/>
    <n v="167.8"/>
    <n v="179.5"/>
    <n v="163.1"/>
    <n v="171.7"/>
    <n v="157.4"/>
    <n v="164.6"/>
    <n v="169.1"/>
    <n v="169.8"/>
    <n v="164.7"/>
    <n v="172.3"/>
  </r>
  <r>
    <x v="2"/>
    <x v="9"/>
    <x v="6"/>
    <n v="156.5"/>
    <n v="213"/>
    <n v="175.2"/>
    <n v="166.6"/>
    <n v="195.8"/>
    <n v="174.2"/>
    <n v="182.1"/>
    <n v="164.3"/>
    <n v="120"/>
    <n v="190"/>
    <n v="168.4"/>
    <n v="185.2"/>
    <n v="174.27500000000001"/>
    <n v="175"/>
    <n v="194.6"/>
    <n v="178.3"/>
    <n v="171.3"/>
    <n v="174.8"/>
    <n v="177.3"/>
    <n v="167.8"/>
    <n v="179.6"/>
    <n v="167.4"/>
    <n v="176.1"/>
    <n v="161.6"/>
    <n v="166.3"/>
    <n v="171.4"/>
    <n v="169.7"/>
    <n v="168.4"/>
    <n v="173.4"/>
  </r>
  <r>
    <x v="0"/>
    <x v="9"/>
    <x v="7"/>
    <n v="159.5"/>
    <n v="204.1"/>
    <n v="168.3"/>
    <n v="167.9"/>
    <n v="198.1"/>
    <n v="169.2"/>
    <n v="173.1"/>
    <n v="167.1"/>
    <n v="120.2"/>
    <n v="195.6"/>
    <n v="174.8"/>
    <n v="184"/>
    <n v="173.49166666666665"/>
    <n v="173.9"/>
    <n v="193.7"/>
    <n v="183.2"/>
    <n v="181.7"/>
    <n v="182.45"/>
    <n v="183"/>
    <s v="NA"/>
    <n v="179.1"/>
    <n v="172.3"/>
    <n v="179.4"/>
    <n v="166.6"/>
    <n v="169.3"/>
    <n v="175.7"/>
    <n v="171.1"/>
    <n v="172.6"/>
    <n v="175.3"/>
  </r>
  <r>
    <x v="1"/>
    <x v="9"/>
    <x v="7"/>
    <n v="162.1"/>
    <n v="210.9"/>
    <n v="170.6"/>
    <n v="168.4"/>
    <n v="182.5"/>
    <n v="177.1"/>
    <n v="213.1"/>
    <n v="167.3"/>
    <n v="122.2"/>
    <n v="189.7"/>
    <n v="160.5"/>
    <n v="188.9"/>
    <n v="176.10833333333332"/>
    <n v="180.4"/>
    <n v="198.7"/>
    <n v="173.7"/>
    <n v="160"/>
    <n v="166.85"/>
    <n v="171.6"/>
    <n v="169"/>
    <n v="178.4"/>
    <n v="164.2"/>
    <n v="172.6"/>
    <n v="157.69999999999999"/>
    <n v="165.1"/>
    <n v="169.9"/>
    <n v="171.4"/>
    <n v="165.4"/>
    <n v="173.1"/>
  </r>
  <r>
    <x v="2"/>
    <x v="9"/>
    <x v="7"/>
    <n v="160.30000000000001"/>
    <n v="206.5"/>
    <n v="169.2"/>
    <n v="168.1"/>
    <n v="192.4"/>
    <n v="172.9"/>
    <n v="186.7"/>
    <n v="167.2"/>
    <n v="120.9"/>
    <n v="193.6"/>
    <n v="168.8"/>
    <n v="186.3"/>
    <n v="174.40833333333333"/>
    <n v="176.3"/>
    <n v="195"/>
    <n v="179.5"/>
    <n v="172.7"/>
    <n v="176.1"/>
    <n v="178.5"/>
    <n v="169"/>
    <n v="178.8"/>
    <n v="168.5"/>
    <n v="176.8"/>
    <n v="161.9"/>
    <n v="166.9"/>
    <n v="172.3"/>
    <n v="171.2"/>
    <n v="169.1"/>
    <n v="174.3"/>
  </r>
  <r>
    <x v="0"/>
    <x v="9"/>
    <x v="8"/>
    <n v="162.9"/>
    <n v="206.7"/>
    <n v="169"/>
    <n v="169.5"/>
    <n v="194.1"/>
    <n v="164.1"/>
    <n v="176.9"/>
    <n v="169"/>
    <n v="120.8"/>
    <n v="199.1"/>
    <n v="175.4"/>
    <n v="184.8"/>
    <n v="174.35833333333335"/>
    <n v="175.5"/>
    <n v="194.5"/>
    <n v="184.7"/>
    <n v="183.3"/>
    <n v="184"/>
    <n v="184.5"/>
    <s v="NA"/>
    <n v="179.7"/>
    <n v="173.6"/>
    <n v="180.2"/>
    <n v="166.9"/>
    <n v="170"/>
    <n v="176.2"/>
    <n v="170.8"/>
    <n v="173.1"/>
    <n v="176.4"/>
  </r>
  <r>
    <x v="1"/>
    <x v="9"/>
    <x v="8"/>
    <n v="164.9"/>
    <n v="213.7"/>
    <n v="170.9"/>
    <n v="170.1"/>
    <n v="179.3"/>
    <n v="167.5"/>
    <n v="220.8"/>
    <n v="169.2"/>
    <n v="123.1"/>
    <n v="193.6"/>
    <n v="161.1"/>
    <n v="190.4"/>
    <n v="177.04999999999998"/>
    <n v="181.8"/>
    <n v="199.7"/>
    <n v="175"/>
    <n v="161.69999999999999"/>
    <n v="168.35"/>
    <n v="173"/>
    <n v="169.5"/>
    <n v="179.2"/>
    <n v="165"/>
    <n v="173.8"/>
    <n v="158.19999999999999"/>
    <n v="165.8"/>
    <n v="170.9"/>
    <n v="171.1"/>
    <n v="166.1"/>
    <n v="174.1"/>
  </r>
  <r>
    <x v="2"/>
    <x v="9"/>
    <x v="8"/>
    <n v="163.5"/>
    <n v="209.2"/>
    <n v="169.7"/>
    <n v="169.7"/>
    <n v="188.7"/>
    <n v="165.7"/>
    <n v="191.8"/>
    <n v="169.1"/>
    <n v="121.6"/>
    <n v="197.3"/>
    <n v="169.4"/>
    <n v="187.4"/>
    <n v="175.25833333333333"/>
    <n v="177.8"/>
    <n v="195.9"/>
    <n v="180.9"/>
    <n v="174.3"/>
    <n v="177.60000000000002"/>
    <n v="179.9"/>
    <n v="169.5"/>
    <n v="179.5"/>
    <n v="169.5"/>
    <n v="177.8"/>
    <n v="162.30000000000001"/>
    <n v="167.6"/>
    <n v="173.1"/>
    <n v="170.9"/>
    <n v="169.7"/>
    <n v="175.3"/>
  </r>
  <r>
    <x v="0"/>
    <x v="9"/>
    <x v="9"/>
    <n v="164.7"/>
    <n v="208.8"/>
    <n v="170.3"/>
    <n v="170.9"/>
    <n v="191.6"/>
    <n v="162.19999999999999"/>
    <n v="184.8"/>
    <n v="169.7"/>
    <n v="121.1"/>
    <n v="201.6"/>
    <n v="175.8"/>
    <n v="185.6"/>
    <n v="175.59166666666667"/>
    <n v="177.4"/>
    <n v="194.9"/>
    <n v="186.1"/>
    <n v="184.4"/>
    <n v="185.25"/>
    <n v="185.9"/>
    <s v="NA"/>
    <n v="180.8"/>
    <n v="174.4"/>
    <n v="181.2"/>
    <n v="167.4"/>
    <n v="170.6"/>
    <n v="176.5"/>
    <n v="172"/>
    <n v="173.9"/>
    <n v="177.9"/>
  </r>
  <r>
    <x v="1"/>
    <x v="9"/>
    <x v="9"/>
    <n v="166.4"/>
    <n v="214.9"/>
    <n v="171.9"/>
    <n v="171"/>
    <n v="177.7"/>
    <n v="165.7"/>
    <n v="228.6"/>
    <n v="169.9"/>
    <n v="123.4"/>
    <n v="196.4"/>
    <n v="161.6"/>
    <n v="191.5"/>
    <n v="178.25"/>
    <n v="183.3"/>
    <n v="200.1"/>
    <n v="175.5"/>
    <n v="162.6"/>
    <n v="169.05"/>
    <n v="173.6"/>
    <n v="171.2"/>
    <n v="180"/>
    <n v="166"/>
    <n v="174.7"/>
    <n v="158.80000000000001"/>
    <n v="166.3"/>
    <n v="171.2"/>
    <n v="172.3"/>
    <n v="166.8"/>
    <n v="175.3"/>
  </r>
  <r>
    <x v="2"/>
    <x v="9"/>
    <x v="9"/>
    <n v="165.2"/>
    <n v="210.9"/>
    <n v="170.9"/>
    <n v="170.9"/>
    <n v="186.5"/>
    <n v="163.80000000000001"/>
    <n v="199.7"/>
    <n v="169.8"/>
    <n v="121.9"/>
    <n v="199.9"/>
    <n v="169.9"/>
    <n v="188.3"/>
    <n v="176.47500000000002"/>
    <n v="179.6"/>
    <n v="196.3"/>
    <n v="181.9"/>
    <n v="175.3"/>
    <n v="178.60000000000002"/>
    <n v="181"/>
    <n v="171.2"/>
    <n v="180.5"/>
    <n v="170.4"/>
    <n v="178.7"/>
    <n v="162.9"/>
    <n v="168.2"/>
    <n v="173.4"/>
    <n v="172.1"/>
    <n v="170.5"/>
    <n v="176.7"/>
  </r>
  <r>
    <x v="0"/>
    <x v="9"/>
    <x v="11"/>
    <n v="166.9"/>
    <n v="207.2"/>
    <n v="180.2"/>
    <n v="172.3"/>
    <n v="194"/>
    <n v="159.1"/>
    <n v="171.6"/>
    <n v="170.2"/>
    <n v="121.5"/>
    <n v="204.8"/>
    <n v="176.4"/>
    <n v="186.9"/>
    <n v="175.92499999999998"/>
    <n v="176.6"/>
    <n v="195.5"/>
    <n v="187.2"/>
    <n v="185.2"/>
    <n v="186.2"/>
    <n v="186.9"/>
    <s v="NA"/>
    <n v="181.9"/>
    <n v="175.5"/>
    <n v="182.3"/>
    <n v="167.5"/>
    <n v="170.8"/>
    <n v="176.9"/>
    <n v="173.4"/>
    <n v="174.6"/>
    <n v="177.8"/>
  </r>
  <r>
    <x v="1"/>
    <x v="9"/>
    <x v="11"/>
    <n v="168.4"/>
    <n v="213.4"/>
    <n v="183.2"/>
    <n v="172.3"/>
    <n v="180"/>
    <n v="162.6"/>
    <n v="205.5"/>
    <n v="171"/>
    <n v="123.4"/>
    <n v="198.8"/>
    <n v="162.1"/>
    <n v="192.4"/>
    <n v="177.75833333333333"/>
    <n v="181.3"/>
    <n v="200.6"/>
    <n v="176.7"/>
    <n v="163.5"/>
    <n v="170.1"/>
    <n v="174.7"/>
    <n v="171.8"/>
    <n v="180.3"/>
    <n v="166.9"/>
    <n v="175.8"/>
    <n v="158.9"/>
    <n v="166.7"/>
    <n v="171.5"/>
    <n v="173.8"/>
    <n v="167.4"/>
    <n v="174.1"/>
  </r>
  <r>
    <x v="2"/>
    <x v="9"/>
    <x v="11"/>
    <n v="167.4"/>
    <n v="209.4"/>
    <n v="181.4"/>
    <n v="172.3"/>
    <n v="188.9"/>
    <n v="160.69999999999999"/>
    <n v="183.1"/>
    <n v="170.5"/>
    <n v="122.1"/>
    <n v="202.8"/>
    <n v="170.4"/>
    <n v="189.5"/>
    <n v="176.54166666666666"/>
    <n v="178.3"/>
    <n v="196.9"/>
    <n v="183.1"/>
    <n v="176.2"/>
    <n v="179.64999999999998"/>
    <n v="182.1"/>
    <n v="171.8"/>
    <n v="181.3"/>
    <n v="171.4"/>
    <n v="179.8"/>
    <n v="163"/>
    <n v="168.5"/>
    <n v="173.7"/>
    <n v="173.6"/>
    <n v="171.1"/>
    <n v="176.5"/>
  </r>
  <r>
    <x v="0"/>
    <x v="9"/>
    <x v="12"/>
    <n v="168.8"/>
    <n v="206.9"/>
    <n v="189.1"/>
    <n v="173.4"/>
    <n v="193.9"/>
    <n v="156.69999999999999"/>
    <n v="150.19999999999999"/>
    <n v="170.5"/>
    <n v="121.2"/>
    <n v="207.5"/>
    <n v="176.8"/>
    <n v="187.7"/>
    <n v="175.22499999999999"/>
    <n v="174.4"/>
    <n v="195.9"/>
    <n v="188.1"/>
    <n v="185.9"/>
    <n v="187"/>
    <n v="187.8"/>
    <s v="NA"/>
    <n v="182.8"/>
    <n v="176.4"/>
    <n v="183.5"/>
    <n v="167.8"/>
    <n v="171.2"/>
    <n v="177.3"/>
    <n v="175.7"/>
    <n v="175.5"/>
    <n v="177.1"/>
  </r>
  <r>
    <x v="1"/>
    <x v="9"/>
    <x v="12"/>
    <n v="170.2"/>
    <n v="212.9"/>
    <n v="191.9"/>
    <n v="173.9"/>
    <n v="179.1"/>
    <n v="159.5"/>
    <n v="178.7"/>
    <n v="171.3"/>
    <n v="123.1"/>
    <n v="200.5"/>
    <n v="162.80000000000001"/>
    <n v="193.3"/>
    <n v="176.43333333333331"/>
    <n v="178.6"/>
    <n v="201.1"/>
    <n v="177.7"/>
    <n v="164.5"/>
    <n v="171.1"/>
    <n v="175.7"/>
    <n v="170.7"/>
    <n v="180.6"/>
    <n v="167.3"/>
    <n v="177.2"/>
    <n v="159.4"/>
    <n v="167.1"/>
    <n v="171.8"/>
    <n v="176"/>
    <n v="168.2"/>
    <n v="174.1"/>
  </r>
  <r>
    <x v="2"/>
    <x v="9"/>
    <x v="12"/>
    <n v="169.2"/>
    <n v="209"/>
    <n v="190.2"/>
    <n v="173.6"/>
    <n v="188.5"/>
    <n v="158"/>
    <n v="159.9"/>
    <n v="170.8"/>
    <n v="121.8"/>
    <n v="205.2"/>
    <n v="171"/>
    <n v="190.3"/>
    <n v="175.625"/>
    <n v="175.9"/>
    <n v="197.3"/>
    <n v="184"/>
    <n v="177"/>
    <n v="180.5"/>
    <n v="183"/>
    <n v="170.7"/>
    <n v="182"/>
    <n v="172.1"/>
    <n v="181.1"/>
    <n v="163.4"/>
    <n v="168.9"/>
    <n v="174.1"/>
    <n v="175.8"/>
    <n v="172"/>
    <n v="175.7"/>
  </r>
  <r>
    <x v="0"/>
    <x v="10"/>
    <x v="0"/>
    <n v="174"/>
    <n v="208.3"/>
    <n v="192.9"/>
    <n v="174.3"/>
    <n v="192.6"/>
    <n v="156.30000000000001"/>
    <n v="142.9"/>
    <n v="170.7"/>
    <n v="120.3"/>
    <n v="210.5"/>
    <n v="176.9"/>
    <n v="188.5"/>
    <n v="175.68333333333337"/>
    <n v="175"/>
    <n v="196.9"/>
    <n v="189"/>
    <n v="186.3"/>
    <n v="187.65"/>
    <n v="188.6"/>
    <s v="NA"/>
    <n v="183.2"/>
    <n v="177.2"/>
    <n v="184.7"/>
    <n v="168.2"/>
    <n v="171.8"/>
    <n v="177.8"/>
    <n v="178.4"/>
    <n v="176.5"/>
    <n v="177.8"/>
  </r>
  <r>
    <x v="1"/>
    <x v="10"/>
    <x v="0"/>
    <n v="173.3"/>
    <n v="215.2"/>
    <n v="197"/>
    <n v="175.2"/>
    <n v="178"/>
    <n v="160.5"/>
    <n v="175.3"/>
    <n v="171.2"/>
    <n v="122.7"/>
    <n v="204.3"/>
    <n v="163.69999999999999"/>
    <n v="194.3"/>
    <n v="177.55833333333337"/>
    <n v="179.5"/>
    <n v="201.6"/>
    <n v="178.7"/>
    <n v="165.3"/>
    <n v="172"/>
    <n v="176.6"/>
    <n v="172.1"/>
    <n v="180.1"/>
    <n v="168"/>
    <n v="178.5"/>
    <n v="159.5"/>
    <n v="167.8"/>
    <n v="171.8"/>
    <n v="178.8"/>
    <n v="168.9"/>
    <n v="174.9"/>
  </r>
  <r>
    <x v="2"/>
    <x v="10"/>
    <x v="0"/>
    <n v="173.8"/>
    <n v="210.7"/>
    <n v="194.5"/>
    <n v="174.6"/>
    <n v="187.2"/>
    <n v="158.30000000000001"/>
    <n v="153.9"/>
    <n v="170.9"/>
    <n v="121.1"/>
    <n v="208.4"/>
    <n v="171.4"/>
    <n v="191.2"/>
    <n v="176.33333333333334"/>
    <n v="176.7"/>
    <n v="198.2"/>
    <n v="184.9"/>
    <n v="177.6"/>
    <n v="181.25"/>
    <n v="183.8"/>
    <n v="172.1"/>
    <n v="182"/>
    <n v="172.9"/>
    <n v="182.3"/>
    <n v="163.6"/>
    <n v="169.5"/>
    <n v="174.3"/>
    <n v="178.6"/>
    <n v="172.8"/>
    <n v="176.5"/>
  </r>
  <r>
    <x v="0"/>
    <x v="10"/>
    <x v="1"/>
    <n v="174.2"/>
    <n v="205.2"/>
    <n v="173.9"/>
    <n v="177"/>
    <n v="183.4"/>
    <n v="167.2"/>
    <n v="140.9"/>
    <n v="170.4"/>
    <n v="119.1"/>
    <n v="212.1"/>
    <n v="177.6"/>
    <n v="189.9"/>
    <n v="174.24166666666665"/>
    <n v="174.8"/>
    <n v="198.3"/>
    <n v="190"/>
    <n v="187"/>
    <n v="188.5"/>
    <n v="189.6"/>
    <s v="NA"/>
    <n v="181.6"/>
    <n v="178.6"/>
    <n v="186.6"/>
    <n v="169"/>
    <n v="172.8"/>
    <n v="178.5"/>
    <n v="180.7"/>
    <n v="177.9"/>
    <n v="178"/>
  </r>
  <r>
    <x v="1"/>
    <x v="10"/>
    <x v="1"/>
    <n v="174.7"/>
    <n v="212.2"/>
    <n v="177.2"/>
    <n v="177.9"/>
    <n v="172.2"/>
    <n v="172.1"/>
    <n v="175.8"/>
    <n v="172.2"/>
    <n v="121.9"/>
    <n v="204.8"/>
    <n v="164.9"/>
    <n v="196.6"/>
    <n v="176.875"/>
    <n v="180.7"/>
    <n v="202.7"/>
    <n v="180.3"/>
    <n v="167"/>
    <n v="173.65"/>
    <n v="178.2"/>
    <n v="173.5"/>
    <n v="182.8"/>
    <n v="169.2"/>
    <n v="180.8"/>
    <n v="159.80000000000001"/>
    <n v="168.4"/>
    <n v="172.5"/>
    <n v="181.4"/>
    <n v="170"/>
    <n v="176.3"/>
  </r>
  <r>
    <x v="2"/>
    <x v="10"/>
    <x v="1"/>
    <n v="174.4"/>
    <n v="207.7"/>
    <n v="175.2"/>
    <n v="177.3"/>
    <n v="179.3"/>
    <n v="169.5"/>
    <n v="152.69999999999999"/>
    <n v="171"/>
    <n v="120"/>
    <n v="209.7"/>
    <n v="172.3"/>
    <n v="193"/>
    <n v="175.17499999999998"/>
    <n v="177"/>
    <n v="199.5"/>
    <n v="186.2"/>
    <n v="178.7"/>
    <n v="182.45"/>
    <n v="185.1"/>
    <n v="173.5"/>
    <n v="182.1"/>
    <n v="174.2"/>
    <n v="184.4"/>
    <n v="164.2"/>
    <n v="170.3"/>
    <n v="175"/>
    <n v="181"/>
    <n v="174.1"/>
    <n v="177.2"/>
  </r>
  <r>
    <x v="0"/>
    <x v="10"/>
    <x v="2"/>
    <n v="174.3"/>
    <n v="205.2"/>
    <n v="173.9"/>
    <n v="177"/>
    <n v="183.3"/>
    <n v="167.2"/>
    <n v="140.9"/>
    <n v="170.5"/>
    <n v="119.1"/>
    <n v="212.1"/>
    <n v="177.6"/>
    <n v="189.9"/>
    <n v="174.25"/>
    <n v="174.8"/>
    <n v="198.4"/>
    <n v="190"/>
    <n v="187"/>
    <n v="188.5"/>
    <n v="189.6"/>
    <s v="NA"/>
    <n v="181.4"/>
    <n v="178.6"/>
    <n v="186.6"/>
    <n v="169"/>
    <n v="172.8"/>
    <n v="178.5"/>
    <n v="180.7"/>
    <n v="177.9"/>
    <n v="178"/>
  </r>
  <r>
    <x v="1"/>
    <x v="10"/>
    <x v="2"/>
    <n v="174.7"/>
    <n v="212.2"/>
    <n v="177.2"/>
    <n v="177.9"/>
    <n v="172.2"/>
    <n v="172.1"/>
    <n v="175.9"/>
    <n v="172.2"/>
    <n v="121.9"/>
    <n v="204.8"/>
    <n v="164.9"/>
    <n v="196.6"/>
    <n v="176.88333333333333"/>
    <n v="180.8"/>
    <n v="202.7"/>
    <n v="180.2"/>
    <n v="167"/>
    <n v="173.6"/>
    <n v="178.2"/>
    <n v="173.5"/>
    <n v="182.6"/>
    <n v="169.2"/>
    <n v="180.8"/>
    <n v="159.80000000000001"/>
    <n v="168.4"/>
    <n v="172.5"/>
    <n v="181.5"/>
    <n v="170"/>
    <n v="176.3"/>
  </r>
  <r>
    <x v="2"/>
    <x v="10"/>
    <x v="2"/>
    <n v="174.4"/>
    <n v="207.7"/>
    <n v="175.2"/>
    <n v="177.3"/>
    <n v="179.2"/>
    <n v="169.5"/>
    <n v="152.80000000000001"/>
    <n v="171.1"/>
    <n v="120"/>
    <n v="209.7"/>
    <n v="172.3"/>
    <n v="193"/>
    <n v="175.18333333333331"/>
    <n v="177"/>
    <n v="199.5"/>
    <n v="186.1"/>
    <n v="178.7"/>
    <n v="182.39999999999998"/>
    <n v="185.1"/>
    <n v="173.5"/>
    <n v="181.9"/>
    <n v="174.2"/>
    <n v="184.4"/>
    <n v="164.2"/>
    <n v="170.3"/>
    <n v="175"/>
    <n v="181"/>
    <n v="174.1"/>
    <n v="177.2"/>
  </r>
  <r>
    <x v="0"/>
    <x v="10"/>
    <x v="3"/>
    <n v="173.3"/>
    <n v="206.9"/>
    <n v="167.9"/>
    <n v="178.2"/>
    <n v="178.5"/>
    <n v="173.7"/>
    <n v="142.80000000000001"/>
    <n v="172.8"/>
    <n v="120.4"/>
    <n v="215.5"/>
    <n v="178.2"/>
    <n v="190.5"/>
    <n v="174.89166666666665"/>
    <n v="175.5"/>
    <n v="199.5"/>
    <n v="190.7"/>
    <n v="187.3"/>
    <n v="189"/>
    <n v="190.2"/>
    <s v="-"/>
    <n v="181.5"/>
    <n v="179.1"/>
    <n v="187.2"/>
    <n v="169.4"/>
    <n v="173.2"/>
    <n v="179.4"/>
    <n v="183.8"/>
    <n v="178.9"/>
    <n v="178.8"/>
  </r>
  <r>
    <x v="1"/>
    <x v="10"/>
    <x v="3"/>
    <n v="174.8"/>
    <n v="213.7"/>
    <n v="172.4"/>
    <n v="178.8"/>
    <n v="168.7"/>
    <n v="179.2"/>
    <n v="179.9"/>
    <n v="174.7"/>
    <n v="123.1"/>
    <n v="207.8"/>
    <n v="165.5"/>
    <n v="197"/>
    <n v="177.9666666666667"/>
    <n v="182.1"/>
    <n v="203.5"/>
    <n v="181"/>
    <n v="167.7"/>
    <n v="174.35"/>
    <n v="178.9"/>
    <n v="175.2"/>
    <n v="182.1"/>
    <n v="169.6"/>
    <n v="181.5"/>
    <n v="160.1"/>
    <n v="168.8"/>
    <n v="174.2"/>
    <n v="184.4"/>
    <n v="170.9"/>
    <n v="177.4"/>
  </r>
  <r>
    <x v="2"/>
    <x v="10"/>
    <x v="3"/>
    <n v="173.8"/>
    <n v="209.3"/>
    <n v="169.6"/>
    <n v="178.4"/>
    <n v="174.9"/>
    <n v="176.3"/>
    <n v="155.4"/>
    <n v="173.4"/>
    <n v="121.3"/>
    <n v="212.9"/>
    <n v="172.9"/>
    <n v="193.5"/>
    <n v="175.97500000000002"/>
    <n v="177.9"/>
    <n v="200.6"/>
    <n v="186.9"/>
    <n v="179.2"/>
    <n v="183.05"/>
    <n v="185.7"/>
    <n v="175.2"/>
    <n v="181.7"/>
    <n v="174.6"/>
    <n v="185"/>
    <n v="164.5"/>
    <n v="170.7"/>
    <n v="176.4"/>
    <n v="184"/>
    <n v="175"/>
    <n v="178.1"/>
  </r>
  <r>
    <x v="0"/>
    <x v="10"/>
    <x v="4"/>
    <n v="173.2"/>
    <n v="211.5"/>
    <n v="171"/>
    <n v="179.6"/>
    <n v="173.3"/>
    <n v="169"/>
    <n v="148.69999999999999"/>
    <n v="174.9"/>
    <n v="121.9"/>
    <n v="221"/>
    <n v="178.7"/>
    <n v="191.1"/>
    <n v="176.15833333333339"/>
    <n v="176.8"/>
    <n v="199.9"/>
    <n v="191.2"/>
    <n v="187.9"/>
    <n v="189.55"/>
    <n v="190.8"/>
    <s v="-"/>
    <n v="182.5"/>
    <n v="179.8"/>
    <n v="187.8"/>
    <n v="169.7"/>
    <n v="173.8"/>
    <n v="180.3"/>
    <n v="184.9"/>
    <n v="179.5"/>
    <n v="179.8"/>
  </r>
  <r>
    <x v="1"/>
    <x v="10"/>
    <x v="4"/>
    <n v="174.7"/>
    <n v="219.4"/>
    <n v="176.7"/>
    <n v="179.4"/>
    <n v="164.4"/>
    <n v="175.8"/>
    <n v="185"/>
    <n v="176.9"/>
    <n v="124.2"/>
    <n v="211.9"/>
    <n v="165.9"/>
    <n v="197.7"/>
    <n v="179.33333333333334"/>
    <n v="183.1"/>
    <n v="204.2"/>
    <n v="181.3"/>
    <n v="168.1"/>
    <n v="174.7"/>
    <n v="179.3"/>
    <n v="175.6"/>
    <n v="183.4"/>
    <n v="170.1"/>
    <n v="182.2"/>
    <n v="160.4"/>
    <n v="169.2"/>
    <n v="174.8"/>
    <n v="185.6"/>
    <n v="171.6"/>
    <n v="178.2"/>
  </r>
  <r>
    <x v="2"/>
    <x v="10"/>
    <x v="4"/>
    <n v="173.7"/>
    <n v="214.3"/>
    <n v="173.2"/>
    <n v="179.5"/>
    <n v="170"/>
    <n v="172.2"/>
    <n v="161"/>
    <n v="175.6"/>
    <n v="122.7"/>
    <n v="218"/>
    <n v="173.4"/>
    <n v="194.2"/>
    <n v="177.31666666666669"/>
    <n v="179.1"/>
    <n v="201"/>
    <n v="187.3"/>
    <n v="179.7"/>
    <n v="183.5"/>
    <n v="186.2"/>
    <n v="175.6"/>
    <n v="182.8"/>
    <n v="175.2"/>
    <n v="185.7"/>
    <n v="164.8"/>
    <n v="171.2"/>
    <n v="177.1"/>
    <n v="185.2"/>
    <n v="175.7"/>
    <n v="17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s v="January"/>
    <n v="107.5"/>
    <n v="106.3"/>
    <n v="108.1"/>
    <n v="104.9"/>
    <n v="106.1"/>
    <n v="103.9"/>
    <n v="101.9"/>
    <n v="106.1"/>
    <n v="106.8"/>
    <n v="103.1"/>
    <n v="104.8"/>
    <n v="106.7"/>
    <n v="105.1"/>
    <n v="106.5"/>
    <n v="105.8"/>
    <s v="NA"/>
    <n v="105.5"/>
    <n v="104.8"/>
    <n v="104"/>
    <n v="103.3"/>
    <n v="103.4"/>
    <n v="103.8"/>
    <n v="104.7"/>
    <n v="104"/>
    <n v="105.09130434782607"/>
    <n v="105.1"/>
  </r>
  <r>
    <x v="1"/>
    <x v="0"/>
    <s v="January"/>
    <n v="110.5"/>
    <n v="109.1"/>
    <n v="113"/>
    <n v="103.6"/>
    <n v="103.4"/>
    <n v="102.3"/>
    <n v="102.9"/>
    <n v="105.8"/>
    <n v="105.1"/>
    <n v="101.8"/>
    <n v="105.1"/>
    <n v="107.9"/>
    <n v="105.2"/>
    <n v="105.9"/>
    <n v="105"/>
    <n v="100.3"/>
    <n v="105.4"/>
    <n v="104.8"/>
    <n v="104.1"/>
    <n v="103.2"/>
    <n v="102.9"/>
    <n v="103.5"/>
    <n v="104.3"/>
    <n v="103.7"/>
    <n v="104.95"/>
    <n v="104"/>
  </r>
  <r>
    <x v="2"/>
    <x v="0"/>
    <s v="January"/>
    <n v="108.4"/>
    <n v="107.3"/>
    <n v="110"/>
    <n v="104.4"/>
    <n v="105.1"/>
    <n v="103.2"/>
    <n v="102.2"/>
    <n v="106"/>
    <n v="106.2"/>
    <n v="102.7"/>
    <n v="104.9"/>
    <n v="107.3"/>
    <n v="105.1"/>
    <n v="106.3"/>
    <n v="105.5"/>
    <n v="100.3"/>
    <n v="105.5"/>
    <n v="104.8"/>
    <n v="104"/>
    <n v="103.2"/>
    <n v="103.1"/>
    <n v="103.6"/>
    <n v="104.5"/>
    <n v="103.9"/>
    <n v="104.89583333333333"/>
    <n v="104.6"/>
  </r>
  <r>
    <x v="0"/>
    <x v="0"/>
    <s v="February"/>
    <n v="109.2"/>
    <n v="108.7"/>
    <n v="110.2"/>
    <n v="105.4"/>
    <n v="106.7"/>
    <n v="104"/>
    <n v="102.4"/>
    <n v="105.9"/>
    <n v="105.7"/>
    <n v="103.1"/>
    <n v="105.1"/>
    <n v="107.7"/>
    <n v="105.6"/>
    <n v="107.1"/>
    <n v="106.3"/>
    <s v="NA"/>
    <n v="106.2"/>
    <n v="105.2"/>
    <n v="104.4"/>
    <n v="103.9"/>
    <n v="104"/>
    <n v="104.1"/>
    <n v="104.6"/>
    <n v="104.4"/>
    <n v="105.64782608695653"/>
    <n v="105.8"/>
  </r>
  <r>
    <x v="1"/>
    <x v="0"/>
    <s v="February"/>
    <n v="112.9"/>
    <n v="112.9"/>
    <n v="116.9"/>
    <n v="104"/>
    <n v="103.5"/>
    <n v="103.1"/>
    <n v="104.9"/>
    <n v="104.1"/>
    <n v="103.8"/>
    <n v="102.3"/>
    <n v="106"/>
    <n v="109"/>
    <n v="106"/>
    <n v="106.6"/>
    <n v="105.5"/>
    <n v="100.4"/>
    <n v="105.7"/>
    <n v="105.2"/>
    <n v="104.7"/>
    <n v="104.4"/>
    <n v="103.3"/>
    <n v="103.7"/>
    <n v="104.3"/>
    <n v="104.3"/>
    <n v="105.72916666666669"/>
    <n v="104.7"/>
  </r>
  <r>
    <x v="2"/>
    <x v="0"/>
    <s v="February"/>
    <n v="110.4"/>
    <n v="110.2"/>
    <n v="112.8"/>
    <n v="104.9"/>
    <n v="105.5"/>
    <n v="103.6"/>
    <n v="103.2"/>
    <n v="105.3"/>
    <n v="105.1"/>
    <n v="102.8"/>
    <n v="105.5"/>
    <n v="108.3"/>
    <n v="105.7"/>
    <n v="106.9"/>
    <n v="106"/>
    <n v="100.4"/>
    <n v="106"/>
    <n v="105.2"/>
    <n v="104.5"/>
    <n v="104.2"/>
    <n v="103.6"/>
    <n v="103.9"/>
    <n v="104.5"/>
    <n v="104.4"/>
    <n v="105.53750000000002"/>
    <n v="105.3"/>
  </r>
  <r>
    <x v="0"/>
    <x v="0"/>
    <s v="March"/>
    <n v="110.2"/>
    <n v="108.8"/>
    <n v="109.9"/>
    <n v="105.6"/>
    <n v="106.2"/>
    <n v="105.7"/>
    <n v="101.4"/>
    <n v="105.7"/>
    <n v="105"/>
    <n v="103.3"/>
    <n v="105.6"/>
    <n v="108.2"/>
    <n v="106.5"/>
    <n v="107.6"/>
    <n v="106.8"/>
    <s v="NA"/>
    <n v="106.1"/>
    <n v="105.6"/>
    <n v="104.7"/>
    <n v="104.6"/>
    <n v="104"/>
    <n v="104.3"/>
    <n v="104.3"/>
    <n v="104.6"/>
    <n v="105.85652173913044"/>
    <n v="106"/>
  </r>
  <r>
    <x v="1"/>
    <x v="0"/>
    <s v="March"/>
    <n v="113.9"/>
    <n v="111.4"/>
    <n v="113.2"/>
    <n v="104.3"/>
    <n v="102.7"/>
    <n v="104.9"/>
    <n v="103.8"/>
    <n v="103.5"/>
    <n v="102.6"/>
    <n v="102.4"/>
    <n v="107"/>
    <n v="109.8"/>
    <n v="106.8"/>
    <n v="107.2"/>
    <n v="106"/>
    <n v="100.4"/>
    <n v="106"/>
    <n v="105.7"/>
    <n v="105.2"/>
    <n v="105.5"/>
    <n v="103.5"/>
    <n v="103.8"/>
    <n v="104.2"/>
    <n v="104.9"/>
    <n v="105.77916666666668"/>
    <n v="105"/>
  </r>
  <r>
    <x v="2"/>
    <x v="0"/>
    <s v="March"/>
    <n v="111.4"/>
    <n v="109.7"/>
    <n v="111.2"/>
    <n v="105.1"/>
    <n v="104.9"/>
    <n v="105.3"/>
    <n v="102.2"/>
    <n v="105"/>
    <n v="104.2"/>
    <n v="103"/>
    <n v="106.2"/>
    <n v="108.9"/>
    <n v="106.6"/>
    <n v="107.4"/>
    <n v="106.5"/>
    <n v="100.4"/>
    <n v="106.1"/>
    <n v="105.6"/>
    <n v="104.9"/>
    <n v="105.1"/>
    <n v="103.7"/>
    <n v="104"/>
    <n v="104.3"/>
    <n v="104.7"/>
    <n v="105.68333333333334"/>
    <n v="105.5"/>
  </r>
  <r>
    <x v="0"/>
    <x v="0"/>
    <s v="April"/>
    <n v="110.2"/>
    <n v="109.5"/>
    <n v="106.9"/>
    <n v="106.3"/>
    <n v="105.7"/>
    <n v="108.3"/>
    <n v="103.4"/>
    <n v="105.7"/>
    <n v="104.2"/>
    <n v="103.2"/>
    <n v="106.5"/>
    <n v="108.8"/>
    <n v="107.1"/>
    <n v="108.1"/>
    <n v="107.4"/>
    <s v="NA"/>
    <n v="106.5"/>
    <n v="106.1"/>
    <n v="105.1"/>
    <n v="104.4"/>
    <n v="104.5"/>
    <n v="104.8"/>
    <n v="102.7"/>
    <n v="104.6"/>
    <n v="106.08695652173911"/>
    <n v="106.4"/>
  </r>
  <r>
    <x v="1"/>
    <x v="0"/>
    <s v="April"/>
    <n v="114.6"/>
    <n v="113.4"/>
    <n v="106"/>
    <n v="104.7"/>
    <n v="102.1"/>
    <n v="109.5"/>
    <n v="109.7"/>
    <n v="104.6"/>
    <n v="102"/>
    <n v="103.5"/>
    <n v="108.2"/>
    <n v="110.6"/>
    <n v="108.5"/>
    <n v="107.9"/>
    <n v="106.4"/>
    <n v="100.5"/>
    <n v="106.4"/>
    <n v="106.5"/>
    <n v="105.7"/>
    <n v="105"/>
    <n v="104"/>
    <n v="105.2"/>
    <n v="103.2"/>
    <n v="105.1"/>
    <n v="106.38749999999999"/>
    <n v="105.7"/>
  </r>
  <r>
    <x v="2"/>
    <x v="0"/>
    <s v="April"/>
    <n v="111.6"/>
    <n v="110.9"/>
    <n v="106.6"/>
    <n v="105.7"/>
    <n v="104.4"/>
    <n v="108.9"/>
    <n v="105.5"/>
    <n v="105.3"/>
    <n v="103.5"/>
    <n v="103.3"/>
    <n v="107.2"/>
    <n v="109.6"/>
    <n v="107.5"/>
    <n v="108"/>
    <n v="107"/>
    <n v="100.5"/>
    <n v="106.5"/>
    <n v="106.3"/>
    <n v="105.3"/>
    <n v="104.7"/>
    <n v="104.2"/>
    <n v="105"/>
    <n v="102.9"/>
    <n v="104.8"/>
    <n v="106.05"/>
    <n v="106.1"/>
  </r>
  <r>
    <x v="0"/>
    <x v="0"/>
    <s v="May"/>
    <n v="110.9"/>
    <n v="109.8"/>
    <n v="105.9"/>
    <n v="107.5"/>
    <n v="105.3"/>
    <n v="108.1"/>
    <n v="107.3"/>
    <n v="106.1"/>
    <n v="103.7"/>
    <n v="104"/>
    <n v="107.4"/>
    <n v="109.9"/>
    <n v="108.1"/>
    <n v="108.8"/>
    <n v="107.9"/>
    <s v="NA"/>
    <n v="107.5"/>
    <n v="106.8"/>
    <n v="105.7"/>
    <n v="104.1"/>
    <n v="105"/>
    <n v="105.5"/>
    <n v="102.1"/>
    <n v="104.8"/>
    <n v="106.61739130434783"/>
    <n v="107.2"/>
  </r>
  <r>
    <x v="1"/>
    <x v="0"/>
    <s v="May"/>
    <n v="115.4"/>
    <n v="114.2"/>
    <n v="102.7"/>
    <n v="105.5"/>
    <n v="101.5"/>
    <n v="110.6"/>
    <n v="123.7"/>
    <n v="105.2"/>
    <n v="101.9"/>
    <n v="105"/>
    <n v="109.1"/>
    <n v="111.3"/>
    <n v="109.8"/>
    <n v="108.5"/>
    <n v="106.7"/>
    <n v="100.5"/>
    <n v="107.2"/>
    <n v="107.1"/>
    <n v="106.2"/>
    <n v="103.9"/>
    <n v="104.6"/>
    <n v="105.7"/>
    <n v="102.6"/>
    <n v="104.9"/>
    <n v="107.24166666666666"/>
    <n v="106.6"/>
  </r>
  <r>
    <x v="2"/>
    <x v="0"/>
    <s v="May"/>
    <n v="112.3"/>
    <n v="111.3"/>
    <n v="104.7"/>
    <n v="106.8"/>
    <n v="103.9"/>
    <n v="109.3"/>
    <n v="112.9"/>
    <n v="105.8"/>
    <n v="103.1"/>
    <n v="104.3"/>
    <n v="108.1"/>
    <n v="110.5"/>
    <n v="108.6"/>
    <n v="108.7"/>
    <n v="107.4"/>
    <n v="100.5"/>
    <n v="107.4"/>
    <n v="106.9"/>
    <n v="105.9"/>
    <n v="104"/>
    <n v="104.8"/>
    <n v="105.6"/>
    <n v="102.3"/>
    <n v="104.8"/>
    <n v="106.66250000000002"/>
    <n v="106.9"/>
  </r>
  <r>
    <x v="0"/>
    <x v="0"/>
    <s v="June"/>
    <n v="112.3"/>
    <n v="112.1"/>
    <n v="108.1"/>
    <n v="108.3"/>
    <n v="105.9"/>
    <n v="109.2"/>
    <n v="118"/>
    <n v="106.8"/>
    <n v="104.1"/>
    <n v="105.4"/>
    <n v="108.2"/>
    <n v="111"/>
    <n v="109"/>
    <n v="109.7"/>
    <n v="108.8"/>
    <s v="NA"/>
    <n v="108.5"/>
    <n v="107.5"/>
    <n v="106.3"/>
    <n v="105"/>
    <n v="105.6"/>
    <n v="106.5"/>
    <n v="102.5"/>
    <n v="105.5"/>
    <n v="108.01304347826085"/>
    <n v="108.9"/>
  </r>
  <r>
    <x v="1"/>
    <x v="0"/>
    <s v="June"/>
    <n v="117"/>
    <n v="120.1"/>
    <n v="112.5"/>
    <n v="107.3"/>
    <n v="101.3"/>
    <n v="112.4"/>
    <n v="143.6"/>
    <n v="105.4"/>
    <n v="101.4"/>
    <n v="106.4"/>
    <n v="110"/>
    <n v="112.2"/>
    <n v="110.9"/>
    <n v="109.2"/>
    <n v="107.2"/>
    <n v="106.6"/>
    <n v="108"/>
    <n v="107.7"/>
    <n v="106.5"/>
    <n v="105.2"/>
    <n v="105.2"/>
    <n v="108.1"/>
    <n v="103.3"/>
    <n v="106.1"/>
    <n v="109.73333333333333"/>
    <n v="109.7"/>
  </r>
  <r>
    <x v="2"/>
    <x v="0"/>
    <s v="June"/>
    <n v="113.8"/>
    <n v="114.9"/>
    <n v="109.8"/>
    <n v="107.9"/>
    <n v="104.2"/>
    <n v="110.7"/>
    <n v="126.7"/>
    <n v="106.3"/>
    <n v="103.2"/>
    <n v="105.7"/>
    <n v="109"/>
    <n v="111.6"/>
    <n v="109.5"/>
    <n v="109.5"/>
    <n v="108.1"/>
    <n v="106.6"/>
    <n v="108.3"/>
    <n v="107.6"/>
    <n v="106.4"/>
    <n v="105.1"/>
    <n v="105.4"/>
    <n v="107.4"/>
    <n v="102.8"/>
    <n v="105.8"/>
    <n v="108.59583333333335"/>
    <n v="109.3"/>
  </r>
  <r>
    <x v="0"/>
    <x v="0"/>
    <s v="July"/>
    <n v="113.4"/>
    <n v="114.9"/>
    <n v="110.5"/>
    <n v="109.3"/>
    <n v="106.2"/>
    <n v="110.3"/>
    <n v="129.19999999999999"/>
    <n v="107.1"/>
    <n v="104.3"/>
    <n v="106.4"/>
    <n v="109.1"/>
    <n v="112.1"/>
    <n v="109.8"/>
    <n v="110.5"/>
    <n v="109.5"/>
    <s v="NA"/>
    <n v="109.5"/>
    <n v="108.3"/>
    <n v="106.9"/>
    <n v="106.8"/>
    <n v="106.4"/>
    <n v="107.8"/>
    <n v="102.5"/>
    <n v="106.5"/>
    <n v="109.44782608695652"/>
    <n v="110.7"/>
  </r>
  <r>
    <x v="1"/>
    <x v="0"/>
    <s v="July"/>
    <n v="117.8"/>
    <n v="119.2"/>
    <n v="114"/>
    <n v="108.3"/>
    <n v="101.1"/>
    <n v="113.2"/>
    <n v="160.9"/>
    <n v="105.1"/>
    <n v="101.3"/>
    <n v="107.5"/>
    <n v="110.4"/>
    <n v="113.1"/>
    <n v="111.7"/>
    <n v="109.8"/>
    <n v="107.8"/>
    <n v="107.7"/>
    <n v="108.6"/>
    <n v="108.1"/>
    <n v="107.1"/>
    <n v="107.3"/>
    <n v="105.9"/>
    <n v="110.1"/>
    <n v="103.2"/>
    <n v="107.3"/>
    <n v="111.10416666666667"/>
    <n v="111.4"/>
  </r>
  <r>
    <x v="2"/>
    <x v="0"/>
    <s v="July"/>
    <n v="114.8"/>
    <n v="116.4"/>
    <n v="111.9"/>
    <n v="108.9"/>
    <n v="104.3"/>
    <n v="111.7"/>
    <n v="140"/>
    <n v="106.4"/>
    <n v="103.3"/>
    <n v="106.8"/>
    <n v="109.6"/>
    <n v="112.6"/>
    <n v="110.3"/>
    <n v="110.2"/>
    <n v="108.8"/>
    <n v="107.7"/>
    <n v="109.2"/>
    <n v="108.2"/>
    <n v="107"/>
    <n v="107.1"/>
    <n v="106.1"/>
    <n v="109.1"/>
    <n v="102.8"/>
    <n v="106.9"/>
    <n v="110.00416666666666"/>
    <n v="111"/>
  </r>
  <r>
    <x v="0"/>
    <x v="0"/>
    <s v="August"/>
    <n v="114.3"/>
    <n v="115.4"/>
    <n v="111.1"/>
    <n v="110"/>
    <n v="106.4"/>
    <n v="110.8"/>
    <n v="138.9"/>
    <n v="107.4"/>
    <n v="104.1"/>
    <n v="106.9"/>
    <n v="109.7"/>
    <n v="112.6"/>
    <n v="110.7"/>
    <n v="111.3"/>
    <n v="110.2"/>
    <s v="NA"/>
    <n v="109.9"/>
    <n v="108.7"/>
    <n v="107.5"/>
    <n v="107.8"/>
    <n v="106.8"/>
    <n v="108.7"/>
    <n v="105"/>
    <n v="107.5"/>
    <n v="110.50869565217393"/>
    <n v="112.1"/>
  </r>
  <r>
    <x v="1"/>
    <x v="0"/>
    <s v="August"/>
    <n v="118.3"/>
    <n v="120.4"/>
    <n v="112.7"/>
    <n v="108.9"/>
    <n v="101.1"/>
    <n v="108.7"/>
    <n v="177"/>
    <n v="104.7"/>
    <n v="101"/>
    <n v="108.5"/>
    <n v="110.9"/>
    <n v="114.3"/>
    <n v="112.4"/>
    <n v="110.6"/>
    <n v="108.3"/>
    <n v="108.9"/>
    <n v="109.3"/>
    <n v="108.7"/>
    <n v="107.6"/>
    <n v="108.1"/>
    <n v="106.5"/>
    <n v="110.8"/>
    <n v="106"/>
    <n v="108.3"/>
    <n v="112.16666666666669"/>
    <n v="112.7"/>
  </r>
  <r>
    <x v="2"/>
    <x v="0"/>
    <s v="August"/>
    <n v="115.6"/>
    <n v="117.2"/>
    <n v="111.7"/>
    <n v="109.6"/>
    <n v="104.5"/>
    <n v="109.8"/>
    <n v="151.80000000000001"/>
    <n v="106.5"/>
    <n v="103.1"/>
    <n v="107.4"/>
    <n v="110.2"/>
    <n v="113.4"/>
    <n v="111.2"/>
    <n v="111"/>
    <n v="109.4"/>
    <n v="108.9"/>
    <n v="109.7"/>
    <n v="108.7"/>
    <n v="107.5"/>
    <n v="108"/>
    <n v="106.6"/>
    <n v="109.9"/>
    <n v="105.4"/>
    <n v="107.9"/>
    <n v="111.0416666666667"/>
    <n v="112.4"/>
  </r>
  <r>
    <x v="0"/>
    <x v="0"/>
    <s v="September"/>
    <n v="115.4"/>
    <n v="115.7"/>
    <n v="111.7"/>
    <n v="111"/>
    <n v="107.4"/>
    <n v="110.9"/>
    <n v="154"/>
    <n v="108.1"/>
    <n v="104.2"/>
    <n v="107.9"/>
    <n v="110.4"/>
    <n v="114"/>
    <n v="111.7"/>
    <n v="112.7"/>
    <n v="111.4"/>
    <s v="NA"/>
    <n v="111.1"/>
    <n v="109.6"/>
    <n v="108.3"/>
    <n v="109.3"/>
    <n v="107.7"/>
    <n v="109.8"/>
    <n v="106.7"/>
    <n v="108.7"/>
    <n v="112.07391304347826"/>
    <n v="114.2"/>
  </r>
  <r>
    <x v="1"/>
    <x v="0"/>
    <s v="September"/>
    <n v="118.6"/>
    <n v="119.1"/>
    <n v="113.2"/>
    <n v="109.6"/>
    <n v="101.7"/>
    <n v="103.2"/>
    <n v="174.3"/>
    <n v="105.1"/>
    <n v="100.8"/>
    <n v="109.1"/>
    <n v="111.1"/>
    <n v="115.4"/>
    <n v="112.9"/>
    <n v="111.4"/>
    <n v="109"/>
    <n v="109.7"/>
    <n v="109.5"/>
    <n v="109.6"/>
    <n v="107.9"/>
    <n v="110.4"/>
    <n v="107.4"/>
    <n v="111.2"/>
    <n v="106.9"/>
    <n v="109.4"/>
    <n v="112.35416666666669"/>
    <n v="113.2"/>
  </r>
  <r>
    <x v="2"/>
    <x v="0"/>
    <s v="September"/>
    <n v="116.4"/>
    <n v="116.9"/>
    <n v="112.3"/>
    <n v="110.5"/>
    <n v="105.3"/>
    <n v="107.3"/>
    <n v="160.9"/>
    <n v="107.1"/>
    <n v="103.1"/>
    <n v="108.3"/>
    <n v="110.7"/>
    <n v="114.6"/>
    <n v="112"/>
    <n v="112.2"/>
    <n v="110.4"/>
    <n v="109.7"/>
    <n v="110.5"/>
    <n v="109.6"/>
    <n v="108.1"/>
    <n v="109.9"/>
    <n v="107.5"/>
    <n v="110.6"/>
    <n v="106.8"/>
    <n v="109"/>
    <n v="112.07083333333334"/>
    <n v="113.7"/>
  </r>
  <r>
    <x v="0"/>
    <x v="0"/>
    <s v="October"/>
    <n v="116.3"/>
    <n v="115.4"/>
    <n v="112.6"/>
    <n v="111.7"/>
    <n v="107.7"/>
    <n v="113.2"/>
    <n v="164.9"/>
    <n v="108.3"/>
    <n v="103.9"/>
    <n v="108.2"/>
    <n v="111.1"/>
    <n v="114.9"/>
    <n v="112.2"/>
    <n v="113.6"/>
    <n v="112.3"/>
    <s v="NA"/>
    <n v="111.6"/>
    <n v="110.4"/>
    <n v="108.9"/>
    <n v="109.3"/>
    <n v="108.3"/>
    <n v="110.2"/>
    <n v="107.5"/>
    <n v="109.1"/>
    <n v="113.11304347826086"/>
    <n v="115.5"/>
  </r>
  <r>
    <x v="1"/>
    <x v="0"/>
    <s v="October"/>
    <n v="118.9"/>
    <n v="118.1"/>
    <n v="114.5"/>
    <n v="110.4"/>
    <n v="102.3"/>
    <n v="106.2"/>
    <n v="183.5"/>
    <n v="105.3"/>
    <n v="100.2"/>
    <n v="109.6"/>
    <n v="111.4"/>
    <n v="116"/>
    <n v="113.5"/>
    <n v="112.5"/>
    <n v="109.7"/>
    <n v="110.5"/>
    <n v="109.7"/>
    <n v="110.2"/>
    <n v="108.2"/>
    <n v="109.7"/>
    <n v="108"/>
    <n v="111.3"/>
    <n v="107.3"/>
    <n v="109.4"/>
    <n v="113.18333333333334"/>
    <n v="114"/>
  </r>
  <r>
    <x v="2"/>
    <x v="0"/>
    <s v="October"/>
    <n v="117.1"/>
    <n v="116.3"/>
    <n v="113.3"/>
    <n v="111.2"/>
    <n v="105.7"/>
    <n v="109.9"/>
    <n v="171.2"/>
    <n v="107.3"/>
    <n v="102.7"/>
    <n v="108.7"/>
    <n v="111.2"/>
    <n v="115.4"/>
    <n v="112.5"/>
    <n v="113.2"/>
    <n v="111.2"/>
    <n v="110.5"/>
    <n v="110.9"/>
    <n v="110.3"/>
    <n v="108.6"/>
    <n v="109.5"/>
    <n v="108.1"/>
    <n v="110.8"/>
    <n v="107.4"/>
    <n v="109.2"/>
    <n v="113.00833333333334"/>
    <n v="114.8"/>
  </r>
  <r>
    <x v="0"/>
    <x v="0"/>
    <s v="November "/>
    <n v="117.3"/>
    <n v="114.9"/>
    <n v="116.2"/>
    <n v="112.8"/>
    <n v="108.9"/>
    <n v="116.6"/>
    <n v="178.1"/>
    <n v="109.1"/>
    <n v="103.6"/>
    <n v="109"/>
    <n v="111.8"/>
    <n v="116"/>
    <n v="112.8"/>
    <n v="114.6"/>
    <n v="113.1"/>
    <s v="NA"/>
    <n v="112.6"/>
    <n v="111.3"/>
    <n v="109.7"/>
    <n v="109.6"/>
    <n v="108.7"/>
    <n v="111"/>
    <n v="108.2"/>
    <n v="109.8"/>
    <n v="114.59565217391301"/>
    <n v="117.4"/>
  </r>
  <r>
    <x v="1"/>
    <x v="0"/>
    <s v="November"/>
    <n v="119.8"/>
    <n v="116.3"/>
    <n v="122.6"/>
    <n v="112"/>
    <n v="103.2"/>
    <n v="110"/>
    <n v="192.8"/>
    <n v="106.3"/>
    <n v="99.5"/>
    <n v="110.3"/>
    <n v="111.8"/>
    <n v="117.1"/>
    <n v="114.1"/>
    <n v="113.5"/>
    <n v="110.3"/>
    <n v="111.1"/>
    <n v="110"/>
    <n v="110.9"/>
    <n v="108.6"/>
    <n v="109.5"/>
    <n v="108.5"/>
    <n v="111.3"/>
    <n v="107.9"/>
    <n v="109.6"/>
    <n v="114.45833333333331"/>
    <n v="115"/>
  </r>
  <r>
    <x v="2"/>
    <x v="0"/>
    <s v="November"/>
    <n v="118.1"/>
    <n v="115.4"/>
    <n v="118.7"/>
    <n v="112.5"/>
    <n v="106.8"/>
    <n v="113.5"/>
    <n v="183.1"/>
    <n v="108.2"/>
    <n v="102.2"/>
    <n v="109.4"/>
    <n v="111.8"/>
    <n v="116.5"/>
    <n v="113.1"/>
    <n v="114.2"/>
    <n v="111.9"/>
    <n v="111.1"/>
    <n v="111.6"/>
    <n v="111.1"/>
    <n v="109.3"/>
    <n v="109.5"/>
    <n v="108.6"/>
    <n v="111.2"/>
    <n v="108.1"/>
    <n v="109.7"/>
    <n v="114.39999999999998"/>
    <n v="116.3"/>
  </r>
  <r>
    <x v="0"/>
    <x v="0"/>
    <s v="December"/>
    <n v="118.4"/>
    <n v="115.9"/>
    <n v="120.4"/>
    <n v="113.8"/>
    <n v="109.5"/>
    <n v="115.5"/>
    <n v="145.69999999999999"/>
    <n v="109.5"/>
    <n v="102.9"/>
    <n v="109.8"/>
    <n v="112.1"/>
    <n v="116.8"/>
    <n v="113.6"/>
    <n v="115.8"/>
    <n v="114"/>
    <s v="NA"/>
    <n v="112.8"/>
    <n v="112.1"/>
    <n v="110.1"/>
    <n v="109.9"/>
    <n v="109.2"/>
    <n v="111.6"/>
    <n v="108.1"/>
    <n v="110.1"/>
    <n v="113.8086956521739"/>
    <n v="115.5"/>
  </r>
  <r>
    <x v="1"/>
    <x v="0"/>
    <s v="December"/>
    <n v="120.5"/>
    <n v="118.1"/>
    <n v="128.5"/>
    <n v="112.8"/>
    <n v="103.4"/>
    <n v="110.7"/>
    <n v="144.80000000000001"/>
    <n v="107.1"/>
    <n v="98.6"/>
    <n v="111.9"/>
    <n v="112.1"/>
    <n v="118.1"/>
    <n v="115"/>
    <n v="114.2"/>
    <n v="110.9"/>
    <n v="110.7"/>
    <n v="110.4"/>
    <n v="111.3"/>
    <n v="109"/>
    <n v="109.7"/>
    <n v="108.9"/>
    <n v="111.4"/>
    <n v="107.7"/>
    <n v="109.8"/>
    <n v="113.15000000000002"/>
    <n v="113.3"/>
  </r>
  <r>
    <x v="2"/>
    <x v="0"/>
    <s v="December"/>
    <n v="119.1"/>
    <n v="116.7"/>
    <n v="123.5"/>
    <n v="113.4"/>
    <n v="107.3"/>
    <n v="113.3"/>
    <n v="145.4"/>
    <n v="108.7"/>
    <n v="101.5"/>
    <n v="110.5"/>
    <n v="112.1"/>
    <n v="117.4"/>
    <n v="114"/>
    <n v="115.2"/>
    <n v="112.7"/>
    <n v="110.7"/>
    <n v="111.9"/>
    <n v="111.7"/>
    <n v="109.7"/>
    <n v="109.8"/>
    <n v="109"/>
    <n v="111.5"/>
    <n v="107.9"/>
    <n v="110"/>
    <n v="113.45833333333336"/>
    <n v="114.5"/>
  </r>
  <r>
    <x v="0"/>
    <x v="1"/>
    <s v="January"/>
    <n v="118.9"/>
    <n v="117.1"/>
    <n v="120.5"/>
    <n v="114.4"/>
    <n v="109"/>
    <n v="115.5"/>
    <n v="123.9"/>
    <n v="109.6"/>
    <n v="101.8"/>
    <n v="110.2"/>
    <n v="112.4"/>
    <n v="117.3"/>
    <n v="114"/>
    <n v="116.5"/>
    <n v="114.5"/>
    <s v="NA"/>
    <n v="113"/>
    <n v="112.6"/>
    <n v="110.6"/>
    <n v="110.5"/>
    <n v="109.6"/>
    <n v="111.8"/>
    <n v="108.3"/>
    <n v="110.6"/>
    <n v="113.15652173913045"/>
    <n v="114.2"/>
  </r>
  <r>
    <x v="1"/>
    <x v="1"/>
    <s v="January"/>
    <n v="121.2"/>
    <n v="122"/>
    <n v="129.9"/>
    <n v="113.6"/>
    <n v="102.9"/>
    <n v="112.1"/>
    <n v="118.9"/>
    <n v="107.5"/>
    <n v="96.9"/>
    <n v="112.7"/>
    <n v="112.1"/>
    <n v="119"/>
    <n v="115.7"/>
    <n v="114.8"/>
    <n v="111.3"/>
    <n v="111.6"/>
    <n v="111"/>
    <n v="111.9"/>
    <n v="109.7"/>
    <n v="110.8"/>
    <n v="109.8"/>
    <n v="111.5"/>
    <n v="108"/>
    <n v="110.5"/>
    <n v="112.72500000000001"/>
    <n v="112.9"/>
  </r>
  <r>
    <x v="2"/>
    <x v="1"/>
    <s v="January"/>
    <n v="119.6"/>
    <n v="118.8"/>
    <n v="124.1"/>
    <n v="114.1"/>
    <n v="106.8"/>
    <n v="113.9"/>
    <n v="122.2"/>
    <n v="108.9"/>
    <n v="100.2"/>
    <n v="111"/>
    <n v="112.3"/>
    <n v="118.1"/>
    <n v="114.5"/>
    <n v="115.8"/>
    <n v="113.2"/>
    <n v="111.6"/>
    <n v="112.2"/>
    <n v="112.3"/>
    <n v="110.3"/>
    <n v="110.7"/>
    <n v="109.7"/>
    <n v="111.6"/>
    <n v="108.2"/>
    <n v="110.6"/>
    <n v="112.94583333333331"/>
    <n v="113.6"/>
  </r>
  <r>
    <x v="0"/>
    <x v="1"/>
    <s v="February"/>
    <n v="119.4"/>
    <n v="117.7"/>
    <n v="121.2"/>
    <n v="115"/>
    <n v="109"/>
    <n v="116.6"/>
    <n v="116"/>
    <n v="109.8"/>
    <n v="101.1"/>
    <n v="110.4"/>
    <n v="112.9"/>
    <n v="117.8"/>
    <n v="114.2"/>
    <n v="117.1"/>
    <n v="114.5"/>
    <s v="NA"/>
    <n v="113.2"/>
    <n v="112.9"/>
    <n v="110.9"/>
    <n v="110.8"/>
    <n v="109.9"/>
    <n v="112"/>
    <n v="108.7"/>
    <n v="110.9"/>
    <n v="113.13043478260872"/>
    <n v="114"/>
  </r>
  <r>
    <x v="1"/>
    <x v="1"/>
    <s v="February"/>
    <n v="121.9"/>
    <n v="122"/>
    <n v="124.5"/>
    <n v="115.2"/>
    <n v="102.5"/>
    <n v="114.1"/>
    <n v="111.5"/>
    <n v="108.2"/>
    <n v="95.4"/>
    <n v="113.5"/>
    <n v="112.1"/>
    <n v="119.9"/>
    <n v="116.2"/>
    <n v="115.3"/>
    <n v="111.7"/>
    <n v="112.5"/>
    <n v="111.1"/>
    <n v="112.6"/>
    <n v="110.4"/>
    <n v="111.3"/>
    <n v="110.3"/>
    <n v="111.6"/>
    <n v="108.7"/>
    <n v="111"/>
    <n v="112.64583333333333"/>
    <n v="113.1"/>
  </r>
  <r>
    <x v="2"/>
    <x v="1"/>
    <s v="February"/>
    <n v="120.2"/>
    <n v="119.2"/>
    <n v="122.5"/>
    <n v="115.1"/>
    <n v="106.6"/>
    <n v="115.4"/>
    <n v="114.5"/>
    <n v="109.3"/>
    <n v="99.2"/>
    <n v="111.4"/>
    <n v="112.6"/>
    <n v="118.8"/>
    <n v="114.7"/>
    <n v="116.4"/>
    <n v="113.3"/>
    <n v="112.5"/>
    <n v="112.4"/>
    <n v="112.8"/>
    <n v="110.7"/>
    <n v="111.1"/>
    <n v="110.1"/>
    <n v="111.8"/>
    <n v="108.7"/>
    <n v="110.9"/>
    <n v="112.925"/>
    <n v="113.6"/>
  </r>
  <r>
    <x v="0"/>
    <x v="1"/>
    <s v="March"/>
    <n v="120.1"/>
    <n v="118.1"/>
    <n v="120.7"/>
    <n v="116.1"/>
    <n v="109.3"/>
    <n v="119.6"/>
    <n v="117.9"/>
    <n v="110.2"/>
    <n v="101.2"/>
    <n v="110.7"/>
    <n v="113"/>
    <n v="118.3"/>
    <n v="114.6"/>
    <n v="117.5"/>
    <n v="114.9"/>
    <s v="NA"/>
    <n v="113.4"/>
    <n v="113.4"/>
    <n v="111.4"/>
    <n v="111.2"/>
    <n v="110.2"/>
    <n v="112.4"/>
    <n v="108.9"/>
    <n v="111.3"/>
    <n v="113.66956521739131"/>
    <n v="114.6"/>
  </r>
  <r>
    <x v="1"/>
    <x v="1"/>
    <s v="March"/>
    <n v="122.1"/>
    <n v="121.4"/>
    <n v="121.5"/>
    <n v="116.2"/>
    <n v="102.8"/>
    <n v="117.7"/>
    <n v="113.3"/>
    <n v="108.9"/>
    <n v="96.3"/>
    <n v="114.1"/>
    <n v="112.2"/>
    <n v="120.5"/>
    <n v="116.7"/>
    <n v="115.8"/>
    <n v="112.1"/>
    <n v="113.2"/>
    <n v="110.9"/>
    <n v="113"/>
    <n v="110.8"/>
    <n v="111.6"/>
    <n v="110.9"/>
    <n v="111.8"/>
    <n v="109.2"/>
    <n v="111.4"/>
    <n v="113.10000000000001"/>
    <n v="113.7"/>
  </r>
  <r>
    <x v="2"/>
    <x v="1"/>
    <s v="March"/>
    <n v="120.7"/>
    <n v="119.3"/>
    <n v="121"/>
    <n v="116.1"/>
    <n v="106.9"/>
    <n v="118.7"/>
    <n v="116.3"/>
    <n v="109.8"/>
    <n v="99.6"/>
    <n v="111.8"/>
    <n v="112.7"/>
    <n v="119.3"/>
    <n v="115.2"/>
    <n v="116.8"/>
    <n v="113.7"/>
    <n v="113.2"/>
    <n v="112.5"/>
    <n v="113.2"/>
    <n v="111.2"/>
    <n v="111.4"/>
    <n v="110.6"/>
    <n v="112"/>
    <n v="109"/>
    <n v="111.3"/>
    <n v="113.42916666666666"/>
    <n v="114.2"/>
  </r>
  <r>
    <x v="0"/>
    <x v="1"/>
    <s v="April"/>
    <n v="120.2"/>
    <n v="118.9"/>
    <n v="118.1"/>
    <n v="117"/>
    <n v="109.7"/>
    <n v="125.5"/>
    <n v="120.5"/>
    <n v="111"/>
    <n v="102.6"/>
    <n v="111.2"/>
    <n v="113.5"/>
    <n v="118.7"/>
    <n v="115.4"/>
    <n v="118.1"/>
    <n v="116.1"/>
    <s v="NA"/>
    <n v="113.4"/>
    <n v="113.7"/>
    <n v="111.8"/>
    <n v="111.2"/>
    <n v="110.5"/>
    <n v="113"/>
    <n v="108.9"/>
    <n v="111.5"/>
    <n v="114.3695652173913"/>
    <n v="115.4"/>
  </r>
  <r>
    <x v="1"/>
    <x v="1"/>
    <s v="April"/>
    <n v="122.5"/>
    <n v="121.7"/>
    <n v="113.3"/>
    <n v="117"/>
    <n v="103.1"/>
    <n v="126.7"/>
    <n v="121.2"/>
    <n v="111"/>
    <n v="100.3"/>
    <n v="115.3"/>
    <n v="112.7"/>
    <n v="121"/>
    <n v="117.6"/>
    <n v="116.3"/>
    <n v="112.5"/>
    <n v="113.9"/>
    <n v="110.9"/>
    <n v="113.4"/>
    <n v="111"/>
    <n v="111.2"/>
    <n v="111.2"/>
    <n v="112.5"/>
    <n v="109.1"/>
    <n v="111.4"/>
    <n v="114.03333333333332"/>
    <n v="114.7"/>
  </r>
  <r>
    <x v="2"/>
    <x v="1"/>
    <s v="April"/>
    <n v="120.9"/>
    <n v="119.9"/>
    <n v="116.2"/>
    <n v="117"/>
    <n v="107.3"/>
    <n v="126.1"/>
    <n v="120.7"/>
    <n v="111"/>
    <n v="101.8"/>
    <n v="112.6"/>
    <n v="113.2"/>
    <n v="119.8"/>
    <n v="116"/>
    <n v="117.4"/>
    <n v="114.6"/>
    <n v="113.9"/>
    <n v="112.5"/>
    <n v="113.6"/>
    <n v="111.5"/>
    <n v="111.2"/>
    <n v="110.9"/>
    <n v="112.7"/>
    <n v="109"/>
    <n v="111.5"/>
    <n v="114.22083333333332"/>
    <n v="115.1"/>
  </r>
  <r>
    <x v="0"/>
    <x v="1"/>
    <s v="May"/>
    <n v="120.3"/>
    <n v="120.2"/>
    <n v="116.9"/>
    <n v="118"/>
    <n v="110.1"/>
    <n v="126.3"/>
    <n v="123.9"/>
    <n v="111.5"/>
    <n v="103.5"/>
    <n v="111.6"/>
    <n v="114.2"/>
    <n v="119.2"/>
    <n v="116.3"/>
    <n v="118.7"/>
    <n v="116.8"/>
    <s v="NA"/>
    <n v="113.4"/>
    <n v="114.1"/>
    <n v="112.1"/>
    <n v="111.4"/>
    <n v="110.9"/>
    <n v="113.1"/>
    <n v="108.9"/>
    <n v="111.8"/>
    <n v="114.9217391304348"/>
    <n v="116"/>
  </r>
  <r>
    <x v="1"/>
    <x v="1"/>
    <s v="May"/>
    <n v="122.7"/>
    <n v="124.1"/>
    <n v="114.2"/>
    <n v="119.1"/>
    <n v="103.5"/>
    <n v="129.19999999999999"/>
    <n v="127"/>
    <n v="112.6"/>
    <n v="101.3"/>
    <n v="117"/>
    <n v="112.9"/>
    <n v="121.7"/>
    <n v="118.3"/>
    <n v="116.8"/>
    <n v="112.9"/>
    <n v="114.3"/>
    <n v="111.1"/>
    <n v="114.1"/>
    <n v="111.2"/>
    <n v="111.3"/>
    <n v="111.5"/>
    <n v="112.9"/>
    <n v="109.3"/>
    <n v="111.7"/>
    <n v="115.02916666666668"/>
    <n v="115.6"/>
  </r>
  <r>
    <x v="2"/>
    <x v="1"/>
    <s v="May"/>
    <n v="121.1"/>
    <n v="121.6"/>
    <n v="115.9"/>
    <n v="118.4"/>
    <n v="107.7"/>
    <n v="127.7"/>
    <n v="125"/>
    <n v="111.9"/>
    <n v="102.8"/>
    <n v="113.4"/>
    <n v="113.7"/>
    <n v="120.4"/>
    <n v="116.8"/>
    <n v="118"/>
    <n v="115.2"/>
    <n v="114.3"/>
    <n v="112.5"/>
    <n v="114.1"/>
    <n v="111.8"/>
    <n v="111.3"/>
    <n v="111.2"/>
    <n v="113"/>
    <n v="109.1"/>
    <n v="111.8"/>
    <n v="114.94583333333337"/>
    <n v="115.8"/>
  </r>
  <r>
    <x v="0"/>
    <x v="1"/>
    <s v="June"/>
    <n v="120.7"/>
    <n v="121.6"/>
    <n v="116.1"/>
    <n v="119.3"/>
    <n v="110.3"/>
    <n v="125.8"/>
    <n v="129.30000000000001"/>
    <n v="112.2"/>
    <n v="103.6"/>
    <n v="112.3"/>
    <n v="114.9"/>
    <n v="120.1"/>
    <n v="117.3"/>
    <n v="119.7"/>
    <n v="117.3"/>
    <s v="NA"/>
    <n v="114.4"/>
    <n v="114.9"/>
    <n v="112.8"/>
    <n v="112.2"/>
    <n v="111.4"/>
    <n v="114.3"/>
    <n v="108"/>
    <n v="112.3"/>
    <n v="115.68695652173913"/>
    <n v="117"/>
  </r>
  <r>
    <x v="1"/>
    <x v="1"/>
    <s v="June"/>
    <n v="123.1"/>
    <n v="125.9"/>
    <n v="115.4"/>
    <n v="120.4"/>
    <n v="103.4"/>
    <n v="131.19999999999999"/>
    <n v="137.5"/>
    <n v="112.8"/>
    <n v="101.4"/>
    <n v="118.3"/>
    <n v="113.2"/>
    <n v="122.4"/>
    <n v="119"/>
    <n v="117.4"/>
    <n v="113.2"/>
    <n v="113.9"/>
    <n v="111.2"/>
    <n v="114.3"/>
    <n v="111.4"/>
    <n v="111.5"/>
    <n v="111.8"/>
    <n v="115.1"/>
    <n v="108.7"/>
    <n v="112.2"/>
    <n v="116.02916666666668"/>
    <n v="116.4"/>
  </r>
  <r>
    <x v="2"/>
    <x v="1"/>
    <s v="June"/>
    <n v="121.5"/>
    <n v="123.1"/>
    <n v="115.8"/>
    <n v="119.7"/>
    <n v="107.8"/>
    <n v="128.30000000000001"/>
    <n v="132.1"/>
    <n v="112.4"/>
    <n v="102.9"/>
    <n v="114.3"/>
    <n v="114.2"/>
    <n v="121.2"/>
    <n v="117.8"/>
    <n v="118.8"/>
    <n v="115.6"/>
    <n v="113.9"/>
    <n v="113.2"/>
    <n v="114.6"/>
    <n v="112.3"/>
    <n v="111.8"/>
    <n v="111.6"/>
    <n v="114.8"/>
    <n v="108.3"/>
    <n v="112.3"/>
    <n v="115.76250000000005"/>
    <n v="116.7"/>
  </r>
  <r>
    <x v="0"/>
    <x v="1"/>
    <s v="July"/>
    <n v="121.7"/>
    <n v="122.5"/>
    <n v="117.7"/>
    <n v="120.6"/>
    <n v="110.4"/>
    <n v="129.1"/>
    <n v="150.1"/>
    <n v="113.2"/>
    <n v="104.8"/>
    <n v="113.3"/>
    <n v="115.6"/>
    <n v="120.9"/>
    <n v="118"/>
    <n v="120.7"/>
    <n v="118.3"/>
    <s v="NA"/>
    <n v="115.3"/>
    <n v="115.4"/>
    <n v="113.4"/>
    <n v="113.2"/>
    <n v="111.8"/>
    <n v="115.5"/>
    <n v="108.8"/>
    <n v="113.1"/>
    <n v="117.53913043478261"/>
    <n v="119.5"/>
  </r>
  <r>
    <x v="1"/>
    <x v="1"/>
    <s v="July"/>
    <n v="123.8"/>
    <n v="126.4"/>
    <n v="118"/>
    <n v="121.6"/>
    <n v="103.5"/>
    <n v="133.69999999999999"/>
    <n v="172.4"/>
    <n v="113.1"/>
    <n v="102.7"/>
    <n v="120"/>
    <n v="113.8"/>
    <n v="123.4"/>
    <n v="121"/>
    <n v="118"/>
    <n v="113.6"/>
    <n v="114.8"/>
    <n v="111.6"/>
    <n v="114.9"/>
    <n v="111.5"/>
    <n v="113"/>
    <n v="112.4"/>
    <n v="117.8"/>
    <n v="109.7"/>
    <n v="113.5"/>
    <n v="118.50833333333334"/>
    <n v="118.9"/>
  </r>
  <r>
    <x v="2"/>
    <x v="1"/>
    <s v="July"/>
    <n v="122.4"/>
    <n v="123.9"/>
    <n v="117.8"/>
    <n v="121"/>
    <n v="107.9"/>
    <n v="131.19999999999999"/>
    <n v="157.69999999999999"/>
    <n v="113.2"/>
    <n v="104.1"/>
    <n v="115.5"/>
    <n v="114.8"/>
    <n v="122.1"/>
    <n v="118.8"/>
    <n v="119.6"/>
    <n v="116.3"/>
    <n v="114.8"/>
    <n v="113.9"/>
    <n v="115.2"/>
    <n v="112.7"/>
    <n v="113.1"/>
    <n v="112.1"/>
    <n v="116.8"/>
    <n v="109.2"/>
    <n v="113.3"/>
    <n v="117.80833333333332"/>
    <n v="119.2"/>
  </r>
  <r>
    <x v="0"/>
    <x v="1"/>
    <s v="August"/>
    <n v="121.8"/>
    <n v="122.8"/>
    <n v="117.8"/>
    <n v="121.9"/>
    <n v="110.6"/>
    <n v="129.69999999999999"/>
    <n v="161.1"/>
    <n v="114.1"/>
    <n v="105.1"/>
    <n v="114.6"/>
    <n v="115.8"/>
    <n v="121.7"/>
    <n v="118.8"/>
    <n v="120.9"/>
    <n v="118.8"/>
    <s v="NA"/>
    <n v="115.4"/>
    <n v="115.9"/>
    <n v="114"/>
    <n v="113.2"/>
    <n v="112.2"/>
    <n v="116.2"/>
    <n v="109.4"/>
    <n v="113.5"/>
    <n v="118.49130434782607"/>
    <n v="120.7"/>
  </r>
  <r>
    <x v="1"/>
    <x v="1"/>
    <s v="August"/>
    <n v="124.8"/>
    <n v="127.3"/>
    <n v="116.5"/>
    <n v="122.2"/>
    <n v="103.6"/>
    <n v="132.69999999999999"/>
    <n v="181.9"/>
    <n v="115.2"/>
    <n v="102.7"/>
    <n v="122.1"/>
    <n v="114.4"/>
    <n v="124.7"/>
    <n v="123"/>
    <n v="118.6"/>
    <n v="114.1"/>
    <n v="115.5"/>
    <n v="111.8"/>
    <n v="115.3"/>
    <n v="112.2"/>
    <n v="112.5"/>
    <n v="112.9"/>
    <n v="119.2"/>
    <n v="110.5"/>
    <n v="113.9"/>
    <n v="119.48333333333333"/>
    <n v="119.9"/>
  </r>
  <r>
    <x v="2"/>
    <x v="1"/>
    <s v="August"/>
    <n v="122.7"/>
    <n v="124.4"/>
    <n v="117.3"/>
    <n v="122"/>
    <n v="108"/>
    <n v="131.1"/>
    <n v="168.2"/>
    <n v="114.5"/>
    <n v="104.3"/>
    <n v="117.1"/>
    <n v="115.2"/>
    <n v="123.1"/>
    <n v="119.9"/>
    <n v="120"/>
    <n v="116.8"/>
    <n v="115.5"/>
    <n v="114"/>
    <n v="115.6"/>
    <n v="113.3"/>
    <n v="112.8"/>
    <n v="112.6"/>
    <n v="118"/>
    <n v="109.9"/>
    <n v="113.7"/>
    <n v="118.75"/>
    <n v="120.3"/>
  </r>
  <r>
    <x v="0"/>
    <x v="1"/>
    <s v="September"/>
    <n v="122.3"/>
    <n v="122.4"/>
    <n v="117.8"/>
    <n v="122.7"/>
    <n v="110.4"/>
    <n v="129.80000000000001"/>
    <n v="158.80000000000001"/>
    <n v="115"/>
    <n v="104.7"/>
    <n v="114.9"/>
    <n v="116.5"/>
    <n v="122.6"/>
    <n v="119.5"/>
    <n v="121.7"/>
    <n v="119.2"/>
    <s v="NA"/>
    <n v="115.8"/>
    <n v="116.7"/>
    <n v="114.5"/>
    <n v="112.8"/>
    <n v="112.6"/>
    <n v="116.6"/>
    <n v="109.1"/>
    <n v="113.7"/>
    <n v="118.7"/>
    <n v="120.9"/>
  </r>
  <r>
    <x v="1"/>
    <x v="1"/>
    <s v="September"/>
    <n v="124.2"/>
    <n v="125.4"/>
    <n v="116.4"/>
    <n v="122.7"/>
    <n v="103.5"/>
    <n v="124.5"/>
    <n v="168.6"/>
    <n v="116.9"/>
    <n v="101.9"/>
    <n v="122.9"/>
    <n v="114.8"/>
    <n v="125.2"/>
    <n v="124.3"/>
    <n v="119.2"/>
    <n v="114.5"/>
    <n v="116.1"/>
    <n v="111.8"/>
    <n v="115.5"/>
    <n v="112.3"/>
    <n v="111.2"/>
    <n v="113.4"/>
    <n v="120"/>
    <n v="110"/>
    <n v="113.6"/>
    <n v="118.70416666666667"/>
    <n v="119.2"/>
  </r>
  <r>
    <x v="2"/>
    <x v="1"/>
    <s v="September"/>
    <n v="122.9"/>
    <n v="123.5"/>
    <n v="117.3"/>
    <n v="122.7"/>
    <n v="107.9"/>
    <n v="127.3"/>
    <n v="162.1"/>
    <n v="115.6"/>
    <n v="103.8"/>
    <n v="117.6"/>
    <n v="115.8"/>
    <n v="123.8"/>
    <n v="120.8"/>
    <n v="120.7"/>
    <n v="117.2"/>
    <n v="116.1"/>
    <n v="114.3"/>
    <n v="116.1"/>
    <n v="113.7"/>
    <n v="112"/>
    <n v="113.1"/>
    <n v="118.6"/>
    <n v="109.5"/>
    <n v="113.7"/>
    <n v="118.58749999999996"/>
    <n v="120.1"/>
  </r>
  <r>
    <x v="0"/>
    <x v="1"/>
    <s v="October"/>
    <n v="122.6"/>
    <n v="122.5"/>
    <n v="118.3"/>
    <n v="123.2"/>
    <n v="110.5"/>
    <n v="128.9"/>
    <n v="155.30000000000001"/>
    <n v="115.5"/>
    <n v="104"/>
    <n v="115.3"/>
    <n v="116.8"/>
    <n v="123.2"/>
    <n v="120"/>
    <n v="122.7"/>
    <n v="120.3"/>
    <s v="NA"/>
    <n v="116.4"/>
    <n v="117.5"/>
    <n v="115.3"/>
    <n v="112.6"/>
    <n v="113"/>
    <n v="116.9"/>
    <n v="109.3"/>
    <n v="114"/>
    <n v="118.87391304347828"/>
    <n v="121"/>
  </r>
  <r>
    <x v="1"/>
    <x v="1"/>
    <s v="October"/>
    <n v="124.6"/>
    <n v="126.1"/>
    <n v="117.8"/>
    <n v="123.1"/>
    <n v="103.5"/>
    <n v="123.5"/>
    <n v="159.6"/>
    <n v="117.4"/>
    <n v="101.2"/>
    <n v="123.8"/>
    <n v="115.2"/>
    <n v="125.9"/>
    <n v="124.3"/>
    <n v="119.6"/>
    <n v="114.9"/>
    <n v="116.7"/>
    <n v="112"/>
    <n v="115.8"/>
    <n v="112.6"/>
    <n v="111"/>
    <n v="113.6"/>
    <n v="120.2"/>
    <n v="110.1"/>
    <n v="113.7"/>
    <n v="118.59166666666664"/>
    <n v="119.1"/>
  </r>
  <r>
    <x v="2"/>
    <x v="1"/>
    <s v="October"/>
    <n v="123.2"/>
    <n v="123.8"/>
    <n v="118.1"/>
    <n v="123.2"/>
    <n v="107.9"/>
    <n v="126.4"/>
    <n v="156.80000000000001"/>
    <n v="116.1"/>
    <n v="103.1"/>
    <n v="118.1"/>
    <n v="116.1"/>
    <n v="124.5"/>
    <n v="121.1"/>
    <n v="121.5"/>
    <n v="118.1"/>
    <n v="116.7"/>
    <n v="114.7"/>
    <n v="116.7"/>
    <n v="114.3"/>
    <n v="111.8"/>
    <n v="113.3"/>
    <n v="118.8"/>
    <n v="109.6"/>
    <n v="113.9"/>
    <n v="118.65833333333335"/>
    <n v="120.1"/>
  </r>
  <r>
    <x v="0"/>
    <x v="1"/>
    <s v="November"/>
    <n v="122.7"/>
    <n v="122.6"/>
    <n v="119.9"/>
    <n v="124"/>
    <n v="110.5"/>
    <n v="128.80000000000001"/>
    <n v="152"/>
    <n v="116.2"/>
    <n v="103.3"/>
    <n v="115.8"/>
    <n v="116.8"/>
    <n v="124.5"/>
    <n v="120.8"/>
    <n v="123.3"/>
    <n v="120.5"/>
    <s v="NA"/>
    <n v="117.3"/>
    <n v="118.1"/>
    <n v="115.9"/>
    <n v="112"/>
    <n v="113.3"/>
    <n v="117.2"/>
    <n v="108.8"/>
    <n v="114.1"/>
    <n v="119.0608695652174"/>
    <n v="121.1"/>
  </r>
  <r>
    <x v="1"/>
    <x v="1"/>
    <s v="November"/>
    <n v="124.5"/>
    <n v="125.6"/>
    <n v="122.7"/>
    <n v="124.6"/>
    <n v="103.2"/>
    <n v="122.2"/>
    <n v="153.19999999999999"/>
    <n v="119.3"/>
    <n v="99.8"/>
    <n v="124.6"/>
    <n v="115.8"/>
    <n v="126.9"/>
    <n v="125.8"/>
    <n v="120.3"/>
    <n v="115.4"/>
    <n v="117.1"/>
    <n v="112.6"/>
    <n v="116.4"/>
    <n v="113"/>
    <n v="109.7"/>
    <n v="114"/>
    <n v="120.3"/>
    <n v="109.6"/>
    <n v="113.4"/>
    <n v="118.75"/>
    <n v="119"/>
  </r>
  <r>
    <x v="2"/>
    <x v="1"/>
    <s v="November"/>
    <n v="123.3"/>
    <n v="123.7"/>
    <n v="121"/>
    <n v="124.2"/>
    <n v="107.8"/>
    <n v="125.7"/>
    <n v="152.4"/>
    <n v="117.2"/>
    <n v="102.1"/>
    <n v="118.7"/>
    <n v="116.4"/>
    <n v="125.6"/>
    <n v="122.1"/>
    <n v="122.1"/>
    <n v="118.4"/>
    <n v="117.1"/>
    <n v="115.5"/>
    <n v="117.3"/>
    <n v="114.8"/>
    <n v="110.8"/>
    <n v="113.7"/>
    <n v="119"/>
    <n v="109.1"/>
    <n v="113.8"/>
    <n v="118.82500000000003"/>
    <n v="120.1"/>
  </r>
  <r>
    <x v="0"/>
    <x v="1"/>
    <s v="December"/>
    <n v="122.4"/>
    <n v="122.4"/>
    <n v="121.8"/>
    <n v="124.2"/>
    <n v="110.2"/>
    <n v="128.6"/>
    <n v="140.30000000000001"/>
    <n v="116.3"/>
    <n v="102"/>
    <n v="116"/>
    <n v="117.3"/>
    <n v="124.8"/>
    <n v="121.7"/>
    <n v="123.8"/>
    <n v="120.6"/>
    <s v="NA"/>
    <n v="117.4"/>
    <n v="118.2"/>
    <n v="116.2"/>
    <n v="111.5"/>
    <n v="113.3"/>
    <n v="117.7"/>
    <n v="109.4"/>
    <n v="114.2"/>
    <n v="118.7086956521739"/>
    <n v="120.3"/>
  </r>
  <r>
    <x v="1"/>
    <x v="1"/>
    <s v="December"/>
    <n v="124"/>
    <n v="124.7"/>
    <n v="126.3"/>
    <n v="124.9"/>
    <n v="103"/>
    <n v="122.3"/>
    <n v="141"/>
    <n v="120.1"/>
    <n v="97.8"/>
    <n v="125.4"/>
    <n v="116.1"/>
    <n v="127.6"/>
    <n v="126.4"/>
    <n v="120.7"/>
    <n v="115.8"/>
    <n v="116.5"/>
    <n v="113"/>
    <n v="116.8"/>
    <n v="113.2"/>
    <n v="108.8"/>
    <n v="114.3"/>
    <n v="120.7"/>
    <n v="110.4"/>
    <n v="113.4"/>
    <n v="118.46666666666668"/>
    <n v="118.4"/>
  </r>
  <r>
    <x v="2"/>
    <x v="1"/>
    <s v="December"/>
    <n v="122.9"/>
    <n v="123.2"/>
    <n v="123.5"/>
    <n v="124.5"/>
    <n v="107.6"/>
    <n v="125.7"/>
    <n v="140.5"/>
    <n v="117.6"/>
    <n v="100.6"/>
    <n v="119.1"/>
    <n v="116.8"/>
    <n v="126.1"/>
    <n v="123"/>
    <n v="122.6"/>
    <n v="118.6"/>
    <n v="116.5"/>
    <n v="115.7"/>
    <n v="117.5"/>
    <n v="115.1"/>
    <n v="110.1"/>
    <n v="113.9"/>
    <n v="119.5"/>
    <n v="109.8"/>
    <n v="113.8"/>
    <n v="118.50833333333334"/>
    <n v="119.4"/>
  </r>
  <r>
    <x v="0"/>
    <x v="2"/>
    <s v="January"/>
    <n v="123.1"/>
    <n v="123.1"/>
    <n v="122.1"/>
    <n v="124.9"/>
    <n v="111"/>
    <n v="130.4"/>
    <n v="132.30000000000001"/>
    <n v="117.2"/>
    <n v="100.5"/>
    <n v="117.2"/>
    <n v="117.9"/>
    <n v="125.6"/>
    <n v="122.7"/>
    <n v="124.4"/>
    <n v="121.6"/>
    <s v="NA"/>
    <n v="118.4"/>
    <n v="118.9"/>
    <n v="116.6"/>
    <n v="111"/>
    <n v="114"/>
    <n v="118.2"/>
    <n v="110.2"/>
    <n v="114.5"/>
    <n v="118.94782608695651"/>
    <n v="120.3"/>
  </r>
  <r>
    <x v="1"/>
    <x v="2"/>
    <s v="January"/>
    <n v="124"/>
    <n v="125.5"/>
    <n v="126.6"/>
    <n v="125.2"/>
    <n v="104.3"/>
    <n v="121.3"/>
    <n v="134.4"/>
    <n v="122.9"/>
    <n v="96.1"/>
    <n v="126.6"/>
    <n v="116.5"/>
    <n v="128"/>
    <n v="127.4"/>
    <n v="121"/>
    <n v="116.1"/>
    <n v="117.3"/>
    <n v="113.4"/>
    <n v="117.2"/>
    <n v="113.7"/>
    <n v="107.9"/>
    <n v="114.6"/>
    <n v="120.8"/>
    <n v="111.4"/>
    <n v="113.4"/>
    <n v="118.56666666666666"/>
    <n v="118.5"/>
  </r>
  <r>
    <x v="2"/>
    <x v="2"/>
    <s v="January"/>
    <n v="123.4"/>
    <n v="123.9"/>
    <n v="123.8"/>
    <n v="125"/>
    <n v="108.5"/>
    <n v="126.2"/>
    <n v="133"/>
    <n v="119.1"/>
    <n v="99"/>
    <n v="120.3"/>
    <n v="117.3"/>
    <n v="126.7"/>
    <n v="124"/>
    <n v="123.1"/>
    <n v="119.3"/>
    <n v="117.3"/>
    <n v="116.5"/>
    <n v="118.1"/>
    <n v="115.5"/>
    <n v="109.4"/>
    <n v="114.3"/>
    <n v="119.7"/>
    <n v="110.7"/>
    <n v="114"/>
    <n v="118.67083333333333"/>
    <n v="119.5"/>
  </r>
  <r>
    <x v="0"/>
    <x v="2"/>
    <s v="February"/>
    <n v="123.4"/>
    <n v="124.4"/>
    <n v="122.1"/>
    <n v="125.8"/>
    <n v="111.5"/>
    <n v="129.4"/>
    <n v="128.19999999999999"/>
    <n v="118.8"/>
    <n v="100"/>
    <n v="118.6"/>
    <n v="118.8"/>
    <n v="126.8"/>
    <n v="124.2"/>
    <n v="125.4"/>
    <n v="122.7"/>
    <s v="NA"/>
    <n v="120"/>
    <n v="119.6"/>
    <n v="117.7"/>
    <n v="110.9"/>
    <n v="114.8"/>
    <n v="118.7"/>
    <n v="110.8"/>
    <n v="115"/>
    <n v="119.46086956521739"/>
    <n v="120.6"/>
  </r>
  <r>
    <x v="1"/>
    <x v="2"/>
    <s v="February"/>
    <n v="124.3"/>
    <n v="126.5"/>
    <n v="119.5"/>
    <n v="125.6"/>
    <n v="104.9"/>
    <n v="121.6"/>
    <n v="131.80000000000001"/>
    <n v="125.1"/>
    <n v="95"/>
    <n v="127.7"/>
    <n v="116.8"/>
    <n v="128.6"/>
    <n v="128.1"/>
    <n v="121.3"/>
    <n v="116.5"/>
    <n v="118.1"/>
    <n v="114"/>
    <n v="117.7"/>
    <n v="114.1"/>
    <n v="106.8"/>
    <n v="114.9"/>
    <n v="120.4"/>
    <n v="111.7"/>
    <n v="113.2"/>
    <n v="118.50833333333333"/>
    <n v="118.7"/>
  </r>
  <r>
    <x v="2"/>
    <x v="2"/>
    <s v="February"/>
    <n v="123.7"/>
    <n v="125.1"/>
    <n v="121.1"/>
    <n v="125.7"/>
    <n v="109.1"/>
    <n v="125.8"/>
    <n v="129.4"/>
    <n v="120.9"/>
    <n v="98.3"/>
    <n v="121.6"/>
    <n v="118"/>
    <n v="127.6"/>
    <n v="125.2"/>
    <n v="123.8"/>
    <n v="120.1"/>
    <n v="118.1"/>
    <n v="117.7"/>
    <n v="118.7"/>
    <n v="116.3"/>
    <n v="108.7"/>
    <n v="114.9"/>
    <n v="119.7"/>
    <n v="111.2"/>
    <n v="114.1"/>
    <n v="118.94999999999995"/>
    <n v="119.7"/>
  </r>
  <r>
    <x v="0"/>
    <x v="2"/>
    <s v="March"/>
    <n v="123.3"/>
    <n v="124.7"/>
    <n v="118.9"/>
    <n v="126"/>
    <n v="111.8"/>
    <n v="130.9"/>
    <n v="128"/>
    <n v="119.9"/>
    <n v="98.9"/>
    <n v="119.4"/>
    <n v="118.9"/>
    <n v="127.7"/>
    <n v="124.7"/>
    <n v="126"/>
    <n v="122.9"/>
    <s v="NA"/>
    <n v="120.6"/>
    <n v="120.2"/>
    <n v="118.2"/>
    <n v="111.6"/>
    <n v="115.5"/>
    <n v="119.4"/>
    <n v="110.8"/>
    <n v="115.5"/>
    <n v="119.7304347826087"/>
    <n v="121.1"/>
  </r>
  <r>
    <x v="1"/>
    <x v="2"/>
    <s v="March"/>
    <n v="124"/>
    <n v="126.7"/>
    <n v="113.5"/>
    <n v="125.9"/>
    <n v="104.8"/>
    <n v="123.8"/>
    <n v="131.4"/>
    <n v="127.2"/>
    <n v="93.2"/>
    <n v="127.4"/>
    <n v="117"/>
    <n v="129.19999999999999"/>
    <n v="128.80000000000001"/>
    <n v="121.7"/>
    <n v="116.9"/>
    <n v="118.6"/>
    <n v="114.4"/>
    <n v="118"/>
    <n v="114.3"/>
    <n v="108.4"/>
    <n v="115.4"/>
    <n v="120.6"/>
    <n v="111.3"/>
    <n v="113.8"/>
    <n v="118.59583333333336"/>
    <n v="119.1"/>
  </r>
  <r>
    <x v="2"/>
    <x v="2"/>
    <s v="March"/>
    <n v="123.5"/>
    <n v="125.4"/>
    <n v="116.8"/>
    <n v="126"/>
    <n v="109.2"/>
    <n v="127.6"/>
    <n v="129.19999999999999"/>
    <n v="122.4"/>
    <n v="97"/>
    <n v="122.1"/>
    <n v="118.1"/>
    <n v="128.4"/>
    <n v="125.8"/>
    <n v="124.3"/>
    <n v="120.4"/>
    <n v="118.6"/>
    <n v="118.3"/>
    <n v="119.2"/>
    <n v="116.7"/>
    <n v="109.9"/>
    <n v="115.4"/>
    <n v="120.1"/>
    <n v="111"/>
    <n v="114.7"/>
    <n v="119.17083333333331"/>
    <n v="120.2"/>
  </r>
  <r>
    <x v="0"/>
    <x v="2"/>
    <s v="April"/>
    <n v="123.3"/>
    <n v="125.5"/>
    <n v="117.2"/>
    <n v="126.8"/>
    <n v="111.9"/>
    <n v="134.19999999999999"/>
    <n v="127.5"/>
    <n v="121.5"/>
    <n v="97.8"/>
    <n v="119.8"/>
    <n v="119.4"/>
    <n v="128.69999999999999"/>
    <n v="125.7"/>
    <n v="126.4"/>
    <n v="123.3"/>
    <s v="NA"/>
    <n v="121.2"/>
    <n v="120.9"/>
    <n v="118.6"/>
    <n v="111.9"/>
    <n v="116.2"/>
    <n v="119.9"/>
    <n v="111.6"/>
    <n v="116"/>
    <n v="120.2304347826087"/>
    <n v="121.5"/>
  </r>
  <r>
    <x v="1"/>
    <x v="2"/>
    <s v="April"/>
    <n v="123.8"/>
    <n v="128.19999999999999"/>
    <n v="110"/>
    <n v="126.3"/>
    <n v="104.5"/>
    <n v="130.6"/>
    <n v="130.80000000000001"/>
    <n v="131.30000000000001"/>
    <n v="91.6"/>
    <n v="127.7"/>
    <n v="117.2"/>
    <n v="129.5"/>
    <n v="130.1"/>
    <n v="122.1"/>
    <n v="117.2"/>
    <n v="119.2"/>
    <n v="114.7"/>
    <n v="118.4"/>
    <n v="114.6"/>
    <n v="108.4"/>
    <n v="115.6"/>
    <n v="121.7"/>
    <n v="111.8"/>
    <n v="114.2"/>
    <n v="119.14583333333331"/>
    <n v="119.7"/>
  </r>
  <r>
    <x v="2"/>
    <x v="2"/>
    <s v="April"/>
    <n v="123.5"/>
    <n v="126.4"/>
    <n v="114.4"/>
    <n v="126.6"/>
    <n v="109.2"/>
    <n v="132.5"/>
    <n v="128.6"/>
    <n v="124.8"/>
    <n v="95.7"/>
    <n v="122.4"/>
    <n v="118.5"/>
    <n v="129.1"/>
    <n v="126.9"/>
    <n v="124.7"/>
    <n v="120.8"/>
    <n v="119.2"/>
    <n v="118.7"/>
    <n v="119.7"/>
    <n v="117.1"/>
    <n v="110.1"/>
    <n v="115.9"/>
    <n v="121"/>
    <n v="111.7"/>
    <n v="115.1"/>
    <n v="119.69166666666665"/>
    <n v="120.7"/>
  </r>
  <r>
    <x v="0"/>
    <x v="2"/>
    <s v="May"/>
    <n v="123.5"/>
    <n v="127.1"/>
    <n v="117.3"/>
    <n v="127.7"/>
    <n v="112.5"/>
    <n v="134.1"/>
    <n v="128.5"/>
    <n v="124.3"/>
    <n v="97.6"/>
    <n v="120.7"/>
    <n v="120.2"/>
    <n v="129.80000000000001"/>
    <n v="126.7"/>
    <n v="127.3"/>
    <n v="124.1"/>
    <s v="NA"/>
    <n v="121.9"/>
    <n v="121.5"/>
    <n v="119.4"/>
    <n v="113.3"/>
    <n v="116.7"/>
    <n v="120.5"/>
    <n v="112.3"/>
    <n v="116.9"/>
    <n v="121.03913043478263"/>
    <n v="122.4"/>
  </r>
  <r>
    <x v="1"/>
    <x v="2"/>
    <s v="May"/>
    <n v="123.8"/>
    <n v="129.69999999999999"/>
    <n v="111.3"/>
    <n v="126.6"/>
    <n v="105.2"/>
    <n v="130.80000000000001"/>
    <n v="135.6"/>
    <n v="142.6"/>
    <n v="90.8"/>
    <n v="128.80000000000001"/>
    <n v="117.7"/>
    <n v="129.9"/>
    <n v="131.30000000000001"/>
    <n v="122.4"/>
    <n v="117.4"/>
    <n v="119.6"/>
    <n v="114.9"/>
    <n v="118.7"/>
    <n v="114.9"/>
    <n v="110.8"/>
    <n v="116"/>
    <n v="122"/>
    <n v="112.4"/>
    <n v="115.2"/>
    <n v="120.35000000000001"/>
    <n v="120.7"/>
  </r>
  <r>
    <x v="2"/>
    <x v="2"/>
    <s v="May"/>
    <n v="123.6"/>
    <n v="128"/>
    <n v="115"/>
    <n v="127.3"/>
    <n v="109.8"/>
    <n v="132.6"/>
    <n v="130.9"/>
    <n v="130.5"/>
    <n v="95.3"/>
    <n v="123.4"/>
    <n v="119.2"/>
    <n v="129.80000000000001"/>
    <n v="127.9"/>
    <n v="125.4"/>
    <n v="121.3"/>
    <n v="119.6"/>
    <n v="119.2"/>
    <n v="120.2"/>
    <n v="117.7"/>
    <n v="112"/>
    <n v="116.3"/>
    <n v="121.4"/>
    <n v="112.3"/>
    <n v="116.1"/>
    <n v="120.61666666666667"/>
    <n v="121.6"/>
  </r>
  <r>
    <x v="0"/>
    <x v="2"/>
    <s v="June"/>
    <n v="124.1"/>
    <n v="130.4"/>
    <n v="122.1"/>
    <n v="128.69999999999999"/>
    <n v="114.1"/>
    <n v="133.19999999999999"/>
    <n v="135.19999999999999"/>
    <n v="131.9"/>
    <n v="96.3"/>
    <n v="123"/>
    <n v="121.1"/>
    <n v="131.19999999999999"/>
    <n v="128.19999999999999"/>
    <n v="128.4"/>
    <n v="125.1"/>
    <s v="NA"/>
    <n v="122.6"/>
    <n v="122.8"/>
    <n v="120.4"/>
    <n v="114.2"/>
    <n v="117.9"/>
    <n v="122"/>
    <n v="113"/>
    <n v="117.9"/>
    <n v="122.77391304347827"/>
    <n v="124.1"/>
  </r>
  <r>
    <x v="1"/>
    <x v="2"/>
    <s v="June"/>
    <n v="123.6"/>
    <n v="134.4"/>
    <n v="120.9"/>
    <n v="127.3"/>
    <n v="106"/>
    <n v="132.30000000000001"/>
    <n v="146.69999999999999"/>
    <n v="148.1"/>
    <n v="89.8"/>
    <n v="130.5"/>
    <n v="118"/>
    <n v="130.5"/>
    <n v="132.1"/>
    <n v="123.2"/>
    <n v="117.6"/>
    <n v="119"/>
    <n v="115.1"/>
    <n v="119.2"/>
    <n v="115.4"/>
    <n v="111.7"/>
    <n v="116.2"/>
    <n v="123.8"/>
    <n v="112.5"/>
    <n v="116"/>
    <n v="122.07916666666665"/>
    <n v="121.7"/>
  </r>
  <r>
    <x v="2"/>
    <x v="2"/>
    <s v="June"/>
    <n v="123.9"/>
    <n v="131.80000000000001"/>
    <n v="121.6"/>
    <n v="128.19999999999999"/>
    <n v="111.1"/>
    <n v="132.80000000000001"/>
    <n v="139.1"/>
    <n v="137.4"/>
    <n v="94.1"/>
    <n v="125.5"/>
    <n v="119.8"/>
    <n v="130.9"/>
    <n v="129.19999999999999"/>
    <n v="126.4"/>
    <n v="122"/>
    <n v="119"/>
    <n v="119.8"/>
    <n v="121.1"/>
    <n v="118.5"/>
    <n v="112.9"/>
    <n v="116.9"/>
    <n v="123.1"/>
    <n v="112.8"/>
    <n v="117"/>
    <n v="122.28750000000002"/>
    <n v="123"/>
  </r>
  <r>
    <x v="0"/>
    <x v="2"/>
    <s v="July"/>
    <n v="124"/>
    <n v="131.5"/>
    <n v="122"/>
    <n v="128.69999999999999"/>
    <n v="113.5"/>
    <n v="133.30000000000001"/>
    <n v="140.80000000000001"/>
    <n v="133.80000000000001"/>
    <n v="94.1"/>
    <n v="123.4"/>
    <n v="121"/>
    <n v="131.69999999999999"/>
    <n v="129.4"/>
    <n v="128.80000000000001"/>
    <n v="125.5"/>
    <s v="NA"/>
    <n v="123"/>
    <n v="123"/>
    <n v="120.8"/>
    <n v="114.1"/>
    <n v="118"/>
    <n v="122.9"/>
    <n v="112.7"/>
    <n v="118.1"/>
    <n v="123.22173913043478"/>
    <n v="124.7"/>
  </r>
  <r>
    <x v="1"/>
    <x v="2"/>
    <s v="July"/>
    <n v="123.2"/>
    <n v="134.30000000000001"/>
    <n v="119.5"/>
    <n v="127.7"/>
    <n v="106.3"/>
    <n v="132.80000000000001"/>
    <n v="153.5"/>
    <n v="149.5"/>
    <n v="85.7"/>
    <n v="131.5"/>
    <n v="118.3"/>
    <n v="131.1"/>
    <n v="133.1"/>
    <n v="123.5"/>
    <n v="117.9"/>
    <n v="119.9"/>
    <n v="115.3"/>
    <n v="119.5"/>
    <n v="116"/>
    <n v="111.5"/>
    <n v="116.6"/>
    <n v="125.4"/>
    <n v="111.7"/>
    <n v="116.3"/>
    <n v="122.50416666666666"/>
    <n v="122.4"/>
  </r>
  <r>
    <x v="2"/>
    <x v="2"/>
    <s v="July"/>
    <n v="123.7"/>
    <n v="132.5"/>
    <n v="121"/>
    <n v="128.30000000000001"/>
    <n v="110.9"/>
    <n v="133.1"/>
    <n v="145.1"/>
    <n v="139.1"/>
    <n v="91.3"/>
    <n v="126.1"/>
    <n v="119.9"/>
    <n v="131.4"/>
    <n v="130.4"/>
    <n v="126.7"/>
    <n v="122.3"/>
    <n v="119.9"/>
    <n v="120.1"/>
    <n v="121.3"/>
    <n v="119"/>
    <n v="112.7"/>
    <n v="117.2"/>
    <n v="124.4"/>
    <n v="112.3"/>
    <n v="117.2"/>
    <n v="122.74583333333334"/>
    <n v="123.6"/>
  </r>
  <r>
    <x v="0"/>
    <x v="2"/>
    <s v="August"/>
    <n v="124.7"/>
    <n v="131.30000000000001"/>
    <n v="121.3"/>
    <n v="128.80000000000001"/>
    <n v="114"/>
    <n v="134.19999999999999"/>
    <n v="153.6"/>
    <n v="137.9"/>
    <n v="93.1"/>
    <n v="123.9"/>
    <n v="121.5"/>
    <n v="132.5"/>
    <n v="130.1"/>
    <n v="129.5"/>
    <n v="126.3"/>
    <s v="NA"/>
    <n v="123.8"/>
    <n v="123.7"/>
    <n v="121.1"/>
    <n v="113.6"/>
    <n v="118.5"/>
    <n v="123.6"/>
    <n v="112.5"/>
    <n v="118.2"/>
    <n v="124.24782608695649"/>
    <n v="126.1"/>
  </r>
  <r>
    <x v="1"/>
    <x v="2"/>
    <s v="August"/>
    <n v="123.1"/>
    <n v="131.69999999999999"/>
    <n v="118.1"/>
    <n v="128"/>
    <n v="106.8"/>
    <n v="130.1"/>
    <n v="165.5"/>
    <n v="156"/>
    <n v="85.3"/>
    <n v="132.69999999999999"/>
    <n v="118.8"/>
    <n v="131.69999999999999"/>
    <n v="134.19999999999999"/>
    <n v="123.7"/>
    <n v="118.2"/>
    <n v="120.9"/>
    <n v="115.3"/>
    <n v="120"/>
    <n v="116.6"/>
    <n v="109.9"/>
    <n v="117.2"/>
    <n v="126.2"/>
    <n v="112"/>
    <n v="116.2"/>
    <n v="123.25833333333333"/>
    <n v="123.2"/>
  </r>
  <r>
    <x v="2"/>
    <x v="2"/>
    <s v="August"/>
    <n v="124.2"/>
    <n v="131.4"/>
    <n v="120.1"/>
    <n v="128.5"/>
    <n v="111.4"/>
    <n v="132.30000000000001"/>
    <n v="157.6"/>
    <n v="144"/>
    <n v="90.5"/>
    <n v="126.8"/>
    <n v="120.4"/>
    <n v="132.1"/>
    <n v="131.19999999999999"/>
    <n v="127.2"/>
    <n v="122.9"/>
    <n v="120.9"/>
    <n v="120.6"/>
    <n v="122"/>
    <n v="119.4"/>
    <n v="111.7"/>
    <n v="117.8"/>
    <n v="125.1"/>
    <n v="112.3"/>
    <n v="117.2"/>
    <n v="123.65000000000002"/>
    <n v="124.8"/>
  </r>
  <r>
    <x v="0"/>
    <x v="2"/>
    <s v="September"/>
    <n v="125.1"/>
    <n v="131.1"/>
    <n v="120.7"/>
    <n v="129.19999999999999"/>
    <n v="114.7"/>
    <n v="132.30000000000001"/>
    <n v="158.9"/>
    <n v="142.1"/>
    <n v="92.5"/>
    <n v="125.4"/>
    <n v="121.9"/>
    <n v="132.69999999999999"/>
    <n v="131"/>
    <n v="130.4"/>
    <n v="126.8"/>
    <s v="NA"/>
    <n v="123.7"/>
    <n v="124.5"/>
    <n v="121.4"/>
    <n v="113.8"/>
    <n v="119.6"/>
    <n v="124.5"/>
    <n v="113.7"/>
    <n v="118.8"/>
    <n v="124.9913043478261"/>
    <n v="127"/>
  </r>
  <r>
    <x v="1"/>
    <x v="2"/>
    <s v="September"/>
    <n v="123.4"/>
    <n v="129"/>
    <n v="115.6"/>
    <n v="128.30000000000001"/>
    <n v="107"/>
    <n v="124"/>
    <n v="168.5"/>
    <n v="165.4"/>
    <n v="86.3"/>
    <n v="134.4"/>
    <n v="119.1"/>
    <n v="132.30000000000001"/>
    <n v="134.69999999999999"/>
    <n v="124"/>
    <n v="118.6"/>
    <n v="121.6"/>
    <n v="115.1"/>
    <n v="120.4"/>
    <n v="117.1"/>
    <n v="109.1"/>
    <n v="117.3"/>
    <n v="126.5"/>
    <n v="112.9"/>
    <n v="116.2"/>
    <n v="123.61666666666666"/>
    <n v="123.5"/>
  </r>
  <r>
    <x v="2"/>
    <x v="2"/>
    <s v="September"/>
    <n v="124.6"/>
    <n v="130.4"/>
    <n v="118.7"/>
    <n v="128.9"/>
    <n v="111.9"/>
    <n v="128.4"/>
    <n v="162.19999999999999"/>
    <n v="150"/>
    <n v="90.4"/>
    <n v="128.4"/>
    <n v="120.7"/>
    <n v="132.5"/>
    <n v="132"/>
    <n v="127.9"/>
    <n v="123.4"/>
    <n v="121.6"/>
    <n v="120.4"/>
    <n v="122.6"/>
    <n v="119.8"/>
    <n v="111.3"/>
    <n v="118.3"/>
    <n v="125.7"/>
    <n v="113.4"/>
    <n v="117.5"/>
    <n v="124.20833333333336"/>
    <n v="125.4"/>
  </r>
  <r>
    <x v="0"/>
    <x v="2"/>
    <s v="October"/>
    <n v="125.6"/>
    <n v="130.4"/>
    <n v="120.8"/>
    <n v="129.4"/>
    <n v="115.8"/>
    <n v="133.19999999999999"/>
    <n v="157.69999999999999"/>
    <n v="154.19999999999999"/>
    <n v="93.7"/>
    <n v="126.6"/>
    <n v="122.3"/>
    <n v="133.1"/>
    <n v="131.5"/>
    <n v="131.1"/>
    <n v="127.3"/>
    <s v="NA"/>
    <n v="124.4"/>
    <n v="125.1"/>
    <n v="122"/>
    <n v="113.8"/>
    <n v="120.1"/>
    <n v="125.1"/>
    <n v="114.2"/>
    <n v="119.2"/>
    <n v="125.93913043478258"/>
    <n v="127.7"/>
  </r>
  <r>
    <x v="1"/>
    <x v="2"/>
    <s v="October"/>
    <n v="123.6"/>
    <n v="128.6"/>
    <n v="115.9"/>
    <n v="128.5"/>
    <n v="109"/>
    <n v="124.1"/>
    <n v="165.8"/>
    <n v="187.2"/>
    <n v="89.4"/>
    <n v="135.80000000000001"/>
    <n v="119.4"/>
    <n v="132.9"/>
    <n v="135.30000000000001"/>
    <n v="124.4"/>
    <n v="118.8"/>
    <n v="122.4"/>
    <n v="114.9"/>
    <n v="120.7"/>
    <n v="117.7"/>
    <n v="109.3"/>
    <n v="117.7"/>
    <n v="126.5"/>
    <n v="113.5"/>
    <n v="116.5"/>
    <n v="124.91250000000001"/>
    <n v="124.2"/>
  </r>
  <r>
    <x v="2"/>
    <x v="2"/>
    <s v="October"/>
    <n v="125"/>
    <n v="129.80000000000001"/>
    <n v="118.9"/>
    <n v="129.1"/>
    <n v="113.3"/>
    <n v="129"/>
    <n v="160.4"/>
    <n v="165.3"/>
    <n v="92.3"/>
    <n v="129.69999999999999"/>
    <n v="121.1"/>
    <n v="133"/>
    <n v="132.5"/>
    <n v="128.5"/>
    <n v="123.8"/>
    <n v="122.4"/>
    <n v="120.8"/>
    <n v="123"/>
    <n v="120.4"/>
    <n v="111.4"/>
    <n v="118.7"/>
    <n v="125.9"/>
    <n v="113.9"/>
    <n v="117.9"/>
    <n v="125.25416666666668"/>
    <n v="126.1"/>
  </r>
  <r>
    <x v="0"/>
    <x v="2"/>
    <s v="November"/>
    <n v="126.1"/>
    <n v="130.6"/>
    <n v="121.7"/>
    <n v="129.5"/>
    <n v="117.8"/>
    <n v="132.1"/>
    <n v="155.19999999999999"/>
    <n v="160.80000000000001"/>
    <n v="94.5"/>
    <n v="128.30000000000001"/>
    <n v="123.1"/>
    <n v="134.19999999999999"/>
    <n v="132.19999999999999"/>
    <n v="132.1"/>
    <n v="128.19999999999999"/>
    <s v="NA"/>
    <n v="125.6"/>
    <n v="125.6"/>
    <n v="122.6"/>
    <n v="114"/>
    <n v="120.9"/>
    <n v="125.8"/>
    <n v="114.2"/>
    <n v="119.6"/>
    <n v="126.72608695652173"/>
    <n v="128.30000000000001"/>
  </r>
  <r>
    <x v="1"/>
    <x v="2"/>
    <s v="November"/>
    <n v="124"/>
    <n v="129.80000000000001"/>
    <n v="121.5"/>
    <n v="128.6"/>
    <n v="110"/>
    <n v="123.7"/>
    <n v="164.6"/>
    <n v="191.6"/>
    <n v="90.8"/>
    <n v="137.1"/>
    <n v="119.8"/>
    <n v="133.69999999999999"/>
    <n v="137.6"/>
    <n v="125"/>
    <n v="119.3"/>
    <n v="122.9"/>
    <n v="115.1"/>
    <n v="121"/>
    <n v="118.1"/>
    <n v="109.3"/>
    <n v="117.9"/>
    <n v="126.6"/>
    <n v="113.3"/>
    <n v="116.6"/>
    <n v="125.74583333333332"/>
    <n v="124.6"/>
  </r>
  <r>
    <x v="2"/>
    <x v="2"/>
    <s v="November"/>
    <n v="125.4"/>
    <n v="130.30000000000001"/>
    <n v="121.6"/>
    <n v="129.19999999999999"/>
    <n v="114.9"/>
    <n v="128.19999999999999"/>
    <n v="158.4"/>
    <n v="171.2"/>
    <n v="93.3"/>
    <n v="131.19999999999999"/>
    <n v="121.7"/>
    <n v="134"/>
    <n v="133.6"/>
    <n v="129.30000000000001"/>
    <n v="124.5"/>
    <n v="122.9"/>
    <n v="121.6"/>
    <n v="123.4"/>
    <n v="120.9"/>
    <n v="111.5"/>
    <n v="119.2"/>
    <n v="126.3"/>
    <n v="113.8"/>
    <n v="118.1"/>
    <n v="126.02083333333333"/>
    <n v="126.6"/>
  </r>
  <r>
    <x v="0"/>
    <x v="2"/>
    <s v="December"/>
    <n v="126.3"/>
    <n v="131.30000000000001"/>
    <n v="123.3"/>
    <n v="129.80000000000001"/>
    <n v="118.3"/>
    <n v="131.6"/>
    <n v="145.5"/>
    <n v="162.1"/>
    <n v="95.4"/>
    <n v="128.9"/>
    <n v="123.3"/>
    <n v="135.1"/>
    <n v="133.1"/>
    <n v="132.5"/>
    <n v="128.5"/>
    <s v="NA"/>
    <n v="125.7"/>
    <n v="126"/>
    <n v="123.1"/>
    <n v="114"/>
    <n v="121.6"/>
    <n v="125.6"/>
    <n v="114.1"/>
    <n v="119.8"/>
    <n v="126.73478260869564"/>
    <n v="127.9"/>
  </r>
  <r>
    <x v="1"/>
    <x v="2"/>
    <s v="December"/>
    <n v="124.3"/>
    <n v="131.69999999999999"/>
    <n v="127.1"/>
    <n v="128.6"/>
    <n v="110"/>
    <n v="120.8"/>
    <n v="149"/>
    <n v="190.1"/>
    <n v="92.7"/>
    <n v="138.6"/>
    <n v="120.2"/>
    <n v="134.19999999999999"/>
    <n v="138.19999999999999"/>
    <n v="125.4"/>
    <n v="119.5"/>
    <n v="122.4"/>
    <n v="116"/>
    <n v="121"/>
    <n v="118.6"/>
    <n v="109.3"/>
    <n v="118.1"/>
    <n v="126.6"/>
    <n v="113.2"/>
    <n v="116.7"/>
    <n v="125.51249999999999"/>
    <n v="124"/>
  </r>
  <r>
    <x v="2"/>
    <x v="2"/>
    <s v="December"/>
    <n v="125.7"/>
    <n v="131.4"/>
    <n v="124.8"/>
    <n v="129.4"/>
    <n v="115.3"/>
    <n v="126.6"/>
    <n v="146.69999999999999"/>
    <n v="171.5"/>
    <n v="94.5"/>
    <n v="132.1"/>
    <n v="122"/>
    <n v="134.69999999999999"/>
    <n v="134.5"/>
    <n v="129.69999999999999"/>
    <n v="124.8"/>
    <n v="122.4"/>
    <n v="122"/>
    <n v="123.6"/>
    <n v="121.4"/>
    <n v="111.5"/>
    <n v="119.6"/>
    <n v="126.2"/>
    <n v="113.7"/>
    <n v="118.3"/>
    <n v="125.93333333333332"/>
    <n v="126.1"/>
  </r>
  <r>
    <x v="0"/>
    <x v="3"/>
    <s v="January"/>
    <n v="126.8"/>
    <n v="133.19999999999999"/>
    <n v="126.5"/>
    <n v="130.30000000000001"/>
    <n v="118.9"/>
    <n v="131.6"/>
    <n v="140.1"/>
    <n v="163.80000000000001"/>
    <n v="97.7"/>
    <n v="129.6"/>
    <n v="124.3"/>
    <n v="135.9"/>
    <n v="133.6"/>
    <n v="133.19999999999999"/>
    <n v="128.9"/>
    <s v="NA"/>
    <n v="126.2"/>
    <n v="126.6"/>
    <n v="123.7"/>
    <n v="113.6"/>
    <n v="121.4"/>
    <n v="126.2"/>
    <n v="114.9"/>
    <n v="120.1"/>
    <n v="127.26521739130432"/>
    <n v="128.1"/>
  </r>
  <r>
    <x v="1"/>
    <x v="3"/>
    <s v="January"/>
    <n v="124.7"/>
    <n v="135.9"/>
    <n v="132"/>
    <n v="129.19999999999999"/>
    <n v="109.7"/>
    <n v="119"/>
    <n v="144.1"/>
    <n v="184.2"/>
    <n v="96.7"/>
    <n v="139.5"/>
    <n v="120.5"/>
    <n v="134.69999999999999"/>
    <n v="139.5"/>
    <n v="125.8"/>
    <n v="119.8"/>
    <n v="123.4"/>
    <n v="116.9"/>
    <n v="121.6"/>
    <n v="119.1"/>
    <n v="108.9"/>
    <n v="118.5"/>
    <n v="126.4"/>
    <n v="114"/>
    <n v="116.8"/>
    <n v="125.87083333333334"/>
    <n v="124.2"/>
  </r>
  <r>
    <x v="2"/>
    <x v="3"/>
    <s v="January"/>
    <n v="126.1"/>
    <n v="134.1"/>
    <n v="128.6"/>
    <n v="129.9"/>
    <n v="115.5"/>
    <n v="125.7"/>
    <n v="141.5"/>
    <n v="170.7"/>
    <n v="97.4"/>
    <n v="132.9"/>
    <n v="122.7"/>
    <n v="135.30000000000001"/>
    <n v="135.19999999999999"/>
    <n v="130.30000000000001"/>
    <n v="125.1"/>
    <n v="123.4"/>
    <n v="122.7"/>
    <n v="124.2"/>
    <n v="122"/>
    <n v="111.1"/>
    <n v="119.8"/>
    <n v="126.3"/>
    <n v="114.5"/>
    <n v="118.5"/>
    <n v="126.39583333333333"/>
    <n v="126.3"/>
  </r>
  <r>
    <x v="0"/>
    <x v="3"/>
    <s v="February"/>
    <n v="127.1"/>
    <n v="133.69999999999999"/>
    <n v="127.7"/>
    <n v="130.69999999999999"/>
    <n v="118.5"/>
    <n v="130.4"/>
    <n v="130.9"/>
    <n v="162.80000000000001"/>
    <n v="98.7"/>
    <n v="130.6"/>
    <n v="124.8"/>
    <n v="136.4"/>
    <n v="134.4"/>
    <n v="133.9"/>
    <n v="129.80000000000001"/>
    <s v="NA"/>
    <n v="127.5"/>
    <n v="127.1"/>
    <n v="124.3"/>
    <n v="113.9"/>
    <n v="122.3"/>
    <n v="127.1"/>
    <n v="116.8"/>
    <n v="120.9"/>
    <n v="127.40434782608699"/>
    <n v="127.9"/>
  </r>
  <r>
    <x v="1"/>
    <x v="3"/>
    <s v="February"/>
    <n v="124.8"/>
    <n v="135.1"/>
    <n v="130.30000000000001"/>
    <n v="129.6"/>
    <n v="108.4"/>
    <n v="118.6"/>
    <n v="129.19999999999999"/>
    <n v="176.4"/>
    <n v="99.1"/>
    <n v="139.69999999999999"/>
    <n v="120.6"/>
    <n v="135.19999999999999"/>
    <n v="140"/>
    <n v="126.2"/>
    <n v="120.1"/>
    <n v="124.4"/>
    <n v="116"/>
    <n v="121.8"/>
    <n v="119.5"/>
    <n v="109.1"/>
    <n v="118.8"/>
    <n v="126.3"/>
    <n v="116.2"/>
    <n v="117.2"/>
    <n v="125.10833333333333"/>
    <n v="123.8"/>
  </r>
  <r>
    <x v="2"/>
    <x v="3"/>
    <s v="February"/>
    <n v="126.4"/>
    <n v="134.19999999999999"/>
    <n v="128.69999999999999"/>
    <n v="130.30000000000001"/>
    <n v="114.8"/>
    <n v="124.9"/>
    <n v="130.30000000000001"/>
    <n v="167.4"/>
    <n v="98.8"/>
    <n v="133.6"/>
    <n v="123"/>
    <n v="135.80000000000001"/>
    <n v="135.9"/>
    <n v="130.9"/>
    <n v="125.8"/>
    <n v="124.4"/>
    <n v="123.1"/>
    <n v="124.6"/>
    <n v="122.5"/>
    <n v="111.4"/>
    <n v="120.3"/>
    <n v="126.6"/>
    <n v="116.6"/>
    <n v="119.1"/>
    <n v="126.22499999999998"/>
    <n v="126"/>
  </r>
  <r>
    <x v="0"/>
    <x v="3"/>
    <s v="March"/>
    <n v="127.3"/>
    <n v="134.4"/>
    <n v="125.1"/>
    <n v="130.5"/>
    <n v="118.3"/>
    <n v="131.69999999999999"/>
    <n v="130.69999999999999"/>
    <n v="161.19999999999999"/>
    <n v="100.4"/>
    <n v="130.80000000000001"/>
    <n v="124.9"/>
    <n v="137"/>
    <n v="135"/>
    <n v="134.4"/>
    <n v="130.19999999999999"/>
    <s v="NA"/>
    <n v="127"/>
    <n v="127.7"/>
    <n v="124.8"/>
    <n v="113.6"/>
    <n v="122.5"/>
    <n v="127.5"/>
    <n v="117.4"/>
    <n v="121.1"/>
    <n v="127.54347826086959"/>
    <n v="128"/>
  </r>
  <r>
    <x v="1"/>
    <x v="3"/>
    <s v="March"/>
    <n v="124.8"/>
    <n v="136.30000000000001"/>
    <n v="123.7"/>
    <n v="129.69999999999999"/>
    <n v="107.9"/>
    <n v="119.9"/>
    <n v="128.1"/>
    <n v="170.3"/>
    <n v="101.8"/>
    <n v="140.1"/>
    <n v="120.7"/>
    <n v="135.4"/>
    <n v="140.6"/>
    <n v="126.4"/>
    <n v="120.3"/>
    <n v="124.9"/>
    <n v="114.8"/>
    <n v="122.3"/>
    <n v="119.7"/>
    <n v="108.5"/>
    <n v="119.1"/>
    <n v="126.4"/>
    <n v="117.1"/>
    <n v="117.3"/>
    <n v="124.83750000000002"/>
    <n v="123.8"/>
  </r>
  <r>
    <x v="2"/>
    <x v="3"/>
    <s v="March"/>
    <n v="126.5"/>
    <n v="135.1"/>
    <n v="124.6"/>
    <n v="130.19999999999999"/>
    <n v="114.5"/>
    <n v="126.2"/>
    <n v="129.80000000000001"/>
    <n v="164.3"/>
    <n v="100.9"/>
    <n v="133.9"/>
    <n v="123.1"/>
    <n v="136.30000000000001"/>
    <n v="136.5"/>
    <n v="131.30000000000001"/>
    <n v="126.1"/>
    <n v="124.9"/>
    <n v="122.4"/>
    <n v="125.1"/>
    <n v="122.9"/>
    <n v="110.9"/>
    <n v="120.6"/>
    <n v="126.9"/>
    <n v="117.3"/>
    <n v="119.3"/>
    <n v="126.23333333333335"/>
    <n v="126"/>
  </r>
  <r>
    <x v="0"/>
    <x v="3"/>
    <s v="April"/>
    <n v="127.4"/>
    <n v="135.4"/>
    <n v="123.4"/>
    <n v="131.30000000000001"/>
    <n v="118.2"/>
    <n v="138.1"/>
    <n v="134.1"/>
    <n v="162.69999999999999"/>
    <n v="105"/>
    <n v="131.4"/>
    <n v="125.4"/>
    <n v="137.4"/>
    <n v="135.5"/>
    <n v="135"/>
    <n v="130.6"/>
    <s v="NA"/>
    <n v="127"/>
    <n v="128"/>
    <n v="125.2"/>
    <n v="114.4"/>
    <n v="123.2"/>
    <n v="127.9"/>
    <n v="118.4"/>
    <n v="121.7"/>
    <n v="128.5521739130435"/>
    <n v="129"/>
  </r>
  <r>
    <x v="1"/>
    <x v="3"/>
    <s v="April"/>
    <n v="124.9"/>
    <n v="139.30000000000001"/>
    <n v="119.9"/>
    <n v="130.19999999999999"/>
    <n v="108.9"/>
    <n v="131.1"/>
    <n v="136.80000000000001"/>
    <n v="176.9"/>
    <n v="109.1"/>
    <n v="140.4"/>
    <n v="121.1"/>
    <n v="135.9"/>
    <n v="141.5"/>
    <n v="126.8"/>
    <n v="120.5"/>
    <n v="125.6"/>
    <n v="114.6"/>
    <n v="122.8"/>
    <n v="120"/>
    <n v="110"/>
    <n v="119.5"/>
    <n v="127.6"/>
    <n v="117.6"/>
    <n v="118.2"/>
    <n v="126.63333333333333"/>
    <n v="125.3"/>
  </r>
  <r>
    <x v="2"/>
    <x v="3"/>
    <s v="April"/>
    <n v="126.6"/>
    <n v="136.80000000000001"/>
    <n v="122"/>
    <n v="130.9"/>
    <n v="114.8"/>
    <n v="134.80000000000001"/>
    <n v="135"/>
    <n v="167.5"/>
    <n v="106.4"/>
    <n v="134.4"/>
    <n v="123.6"/>
    <n v="136.69999999999999"/>
    <n v="137.1"/>
    <n v="131.80000000000001"/>
    <n v="126.4"/>
    <n v="125.6"/>
    <n v="122.3"/>
    <n v="125.5"/>
    <n v="123.2"/>
    <n v="112.1"/>
    <n v="121.1"/>
    <n v="127.7"/>
    <n v="118.1"/>
    <n v="120"/>
    <n v="127.51666666666665"/>
    <n v="127.3"/>
  </r>
  <r>
    <x v="0"/>
    <x v="3"/>
    <s v="May"/>
    <n v="127.6"/>
    <n v="137.5"/>
    <n v="124.4"/>
    <n v="132.4"/>
    <n v="118.2"/>
    <n v="138.1"/>
    <n v="141.80000000000001"/>
    <n v="166"/>
    <n v="107.5"/>
    <n v="132.19999999999999"/>
    <n v="126.1"/>
    <n v="138.30000000000001"/>
    <n v="136"/>
    <n v="135.4"/>
    <n v="131.1"/>
    <s v="NA"/>
    <n v="127.4"/>
    <n v="128.5"/>
    <n v="125.8"/>
    <n v="115.1"/>
    <n v="123.6"/>
    <n v="129.1"/>
    <n v="119.7"/>
    <n v="122.5"/>
    <n v="129.75217391304346"/>
    <n v="130.30000000000001"/>
  </r>
  <r>
    <x v="1"/>
    <x v="3"/>
    <s v="May"/>
    <n v="125"/>
    <n v="142.1"/>
    <n v="127"/>
    <n v="130.4"/>
    <n v="109.6"/>
    <n v="133.5"/>
    <n v="151.4"/>
    <n v="182.8"/>
    <n v="111.1"/>
    <n v="141.5"/>
    <n v="121.5"/>
    <n v="136.30000000000001"/>
    <n v="142.19999999999999"/>
    <n v="127.2"/>
    <n v="120.7"/>
    <n v="126"/>
    <n v="115"/>
    <n v="123.2"/>
    <n v="120.3"/>
    <n v="110.7"/>
    <n v="119.8"/>
    <n v="128"/>
    <n v="118.5"/>
    <n v="118.7"/>
    <n v="128.4375"/>
    <n v="126.6"/>
  </r>
  <r>
    <x v="2"/>
    <x v="3"/>
    <s v="May"/>
    <n v="126.8"/>
    <n v="139.1"/>
    <n v="125.4"/>
    <n v="131.69999999999999"/>
    <n v="115"/>
    <n v="136"/>
    <n v="145.1"/>
    <n v="171.7"/>
    <n v="108.7"/>
    <n v="135.30000000000001"/>
    <n v="124.2"/>
    <n v="137.4"/>
    <n v="137.69999999999999"/>
    <n v="132.19999999999999"/>
    <n v="126.8"/>
    <n v="126"/>
    <n v="122.7"/>
    <n v="126"/>
    <n v="123.7"/>
    <n v="112.8"/>
    <n v="121.5"/>
    <n v="128.5"/>
    <n v="119.2"/>
    <n v="120.7"/>
    <n v="128.92499999999998"/>
    <n v="128.6"/>
  </r>
  <r>
    <x v="0"/>
    <x v="3"/>
    <s v="June"/>
    <n v="128.6"/>
    <n v="138.6"/>
    <n v="126.6"/>
    <n v="133.6"/>
    <n v="118.6"/>
    <n v="137.4"/>
    <n v="152.5"/>
    <n v="169.2"/>
    <n v="108.8"/>
    <n v="133.1"/>
    <n v="126.4"/>
    <n v="139.19999999999999"/>
    <n v="137.19999999999999"/>
    <n v="136.30000000000001"/>
    <n v="131.6"/>
    <s v="NA"/>
    <n v="128"/>
    <n v="129.30000000000001"/>
    <n v="126.2"/>
    <n v="116.3"/>
    <n v="124.1"/>
    <n v="130.19999999999999"/>
    <n v="119.9"/>
    <n v="123.3"/>
    <n v="131.08695652173913"/>
    <n v="131.9"/>
  </r>
  <r>
    <x v="1"/>
    <x v="3"/>
    <s v="June"/>
    <n v="125.9"/>
    <n v="143.9"/>
    <n v="130.9"/>
    <n v="131"/>
    <n v="110.2"/>
    <n v="135.5"/>
    <n v="173.7"/>
    <n v="184.4"/>
    <n v="112"/>
    <n v="142.80000000000001"/>
    <n v="121.6"/>
    <n v="136.9"/>
    <n v="142.69999999999999"/>
    <n v="127.6"/>
    <n v="121.1"/>
    <n v="125.5"/>
    <n v="115.5"/>
    <n v="123.2"/>
    <n v="120.6"/>
    <n v="112.3"/>
    <n v="119.9"/>
    <n v="129.30000000000001"/>
    <n v="118.8"/>
    <n v="119.6"/>
    <n v="130.20416666666668"/>
    <n v="128.1"/>
  </r>
  <r>
    <x v="2"/>
    <x v="3"/>
    <s v="June"/>
    <n v="127.7"/>
    <n v="140.5"/>
    <n v="128.30000000000001"/>
    <n v="132.6"/>
    <n v="115.5"/>
    <n v="136.5"/>
    <n v="159.69999999999999"/>
    <n v="174.3"/>
    <n v="109.9"/>
    <n v="136.30000000000001"/>
    <n v="124.4"/>
    <n v="138.1"/>
    <n v="138.69999999999999"/>
    <n v="132.9"/>
    <n v="127.2"/>
    <n v="125.5"/>
    <n v="123.3"/>
    <n v="126.4"/>
    <n v="124.1"/>
    <n v="114.2"/>
    <n v="121.7"/>
    <n v="129.69999999999999"/>
    <n v="119.4"/>
    <n v="121.5"/>
    <n v="130.35"/>
    <n v="130.1"/>
  </r>
  <r>
    <x v="0"/>
    <x v="3"/>
    <s v="July"/>
    <n v="129.30000000000001"/>
    <n v="139.5"/>
    <n v="129.6"/>
    <n v="134.5"/>
    <n v="119.5"/>
    <n v="138.5"/>
    <n v="158.19999999999999"/>
    <n v="171.8"/>
    <n v="110.3"/>
    <n v="134.30000000000001"/>
    <n v="127.3"/>
    <n v="139.9"/>
    <n v="138"/>
    <n v="137.19999999999999"/>
    <n v="132.19999999999999"/>
    <s v="NA"/>
    <n v="128.19999999999999"/>
    <n v="130"/>
    <n v="126.7"/>
    <n v="116.4"/>
    <n v="125.2"/>
    <n v="130.80000000000001"/>
    <n v="120.9"/>
    <n v="123.8"/>
    <n v="132.26521739130433"/>
    <n v="133"/>
  </r>
  <r>
    <x v="1"/>
    <x v="3"/>
    <s v="July"/>
    <n v="126.8"/>
    <n v="144.19999999999999"/>
    <n v="136.6"/>
    <n v="131.80000000000001"/>
    <n v="111"/>
    <n v="137"/>
    <n v="179.5"/>
    <n v="188.4"/>
    <n v="113.3"/>
    <n v="143.9"/>
    <n v="121.7"/>
    <n v="137.5"/>
    <n v="142.9"/>
    <n v="127.9"/>
    <n v="121.1"/>
    <n v="126.4"/>
    <n v="115.5"/>
    <n v="123.5"/>
    <n v="120.9"/>
    <n v="111.7"/>
    <n v="120.3"/>
    <n v="130.80000000000001"/>
    <n v="120"/>
    <n v="119.9"/>
    <n v="131.35833333333338"/>
    <n v="129"/>
  </r>
  <r>
    <x v="2"/>
    <x v="3"/>
    <s v="July"/>
    <n v="128.5"/>
    <n v="141.19999999999999"/>
    <n v="132.30000000000001"/>
    <n v="133.5"/>
    <n v="116.4"/>
    <n v="137.80000000000001"/>
    <n v="165.4"/>
    <n v="177.4"/>
    <n v="111.3"/>
    <n v="137.5"/>
    <n v="125"/>
    <n v="138.80000000000001"/>
    <n v="139.30000000000001"/>
    <n v="133.5"/>
    <n v="127.6"/>
    <n v="126.4"/>
    <n v="123.4"/>
    <n v="126.9"/>
    <n v="124.5"/>
    <n v="113.9"/>
    <n v="122.4"/>
    <n v="130.80000000000001"/>
    <n v="120.5"/>
    <n v="121.9"/>
    <n v="131.50833333333335"/>
    <n v="131.1"/>
  </r>
  <r>
    <x v="0"/>
    <x v="3"/>
    <s v="August"/>
    <n v="130.1"/>
    <n v="138.80000000000001"/>
    <n v="130.30000000000001"/>
    <n v="135.30000000000001"/>
    <n v="119.9"/>
    <n v="140.19999999999999"/>
    <n v="156.9"/>
    <n v="172.2"/>
    <n v="112.1"/>
    <n v="134.9"/>
    <n v="128.1"/>
    <n v="140.69999999999999"/>
    <n v="138.9"/>
    <n v="137.80000000000001"/>
    <n v="133"/>
    <s v="NA"/>
    <n v="129.1"/>
    <n v="130.6"/>
    <n v="127"/>
    <n v="116"/>
    <n v="125.5"/>
    <n v="131.9"/>
    <n v="122"/>
    <n v="124.2"/>
    <n v="132.8478260869565"/>
    <n v="133.5"/>
  </r>
  <r>
    <x v="1"/>
    <x v="3"/>
    <s v="August"/>
    <n v="127.6"/>
    <n v="140.30000000000001"/>
    <n v="133.69999999999999"/>
    <n v="132.19999999999999"/>
    <n v="111.8"/>
    <n v="135.80000000000001"/>
    <n v="163.5"/>
    <n v="182.3"/>
    <n v="114.6"/>
    <n v="144.6"/>
    <n v="121.9"/>
    <n v="138.1"/>
    <n v="143.6"/>
    <n v="128.30000000000001"/>
    <n v="121.4"/>
    <n v="127.3"/>
    <n v="114.7"/>
    <n v="123.9"/>
    <n v="121.2"/>
    <n v="110.4"/>
    <n v="120.6"/>
    <n v="131.5"/>
    <n v="120.9"/>
    <n v="119.9"/>
    <n v="130.42083333333332"/>
    <n v="128.4"/>
  </r>
  <r>
    <x v="2"/>
    <x v="3"/>
    <s v="August"/>
    <n v="129.30000000000001"/>
    <n v="139.30000000000001"/>
    <n v="131.6"/>
    <n v="134.1"/>
    <n v="116.9"/>
    <n v="138.1"/>
    <n v="159.1"/>
    <n v="175.6"/>
    <n v="112.9"/>
    <n v="138.1"/>
    <n v="125.5"/>
    <n v="139.5"/>
    <n v="140.19999999999999"/>
    <n v="134.1"/>
    <n v="128.19999999999999"/>
    <n v="127.3"/>
    <n v="123.6"/>
    <n v="127.4"/>
    <n v="124.8"/>
    <n v="113.1"/>
    <n v="122.7"/>
    <n v="131.69999999999999"/>
    <n v="121.5"/>
    <n v="122.1"/>
    <n v="131.52916666666667"/>
    <n v="131.1"/>
  </r>
  <r>
    <x v="0"/>
    <x v="3"/>
    <s v="September"/>
    <n v="130.80000000000001"/>
    <n v="138.19999999999999"/>
    <n v="130.5"/>
    <n v="135.5"/>
    <n v="120.2"/>
    <n v="139.19999999999999"/>
    <n v="149.5"/>
    <n v="170.4"/>
    <n v="113.1"/>
    <n v="135.80000000000001"/>
    <n v="128.80000000000001"/>
    <n v="141.5"/>
    <n v="139.9"/>
    <n v="138.5"/>
    <n v="133.5"/>
    <s v="NA"/>
    <n v="129.69999999999999"/>
    <n v="131.1"/>
    <n v="127.8"/>
    <n v="117"/>
    <n v="125.7"/>
    <n v="132.19999999999999"/>
    <n v="122.8"/>
    <n v="124.9"/>
    <n v="132.89565217391305"/>
    <n v="133.4"/>
  </r>
  <r>
    <x v="1"/>
    <x v="3"/>
    <s v="September"/>
    <n v="128.1"/>
    <n v="137.69999999999999"/>
    <n v="130.6"/>
    <n v="132.6"/>
    <n v="111.9"/>
    <n v="132.5"/>
    <n v="152.9"/>
    <n v="173.6"/>
    <n v="115.1"/>
    <n v="144.80000000000001"/>
    <n v="122.1"/>
    <n v="138.80000000000001"/>
    <n v="143.9"/>
    <n v="128.69999999999999"/>
    <n v="121.6"/>
    <n v="127.9"/>
    <n v="114.8"/>
    <n v="124.3"/>
    <n v="121.4"/>
    <n v="111.8"/>
    <n v="120.8"/>
    <n v="131.6"/>
    <n v="121.2"/>
    <n v="120.5"/>
    <n v="129.55000000000001"/>
    <n v="128"/>
  </r>
  <r>
    <x v="2"/>
    <x v="3"/>
    <s v="September"/>
    <n v="129.9"/>
    <n v="138"/>
    <n v="130.5"/>
    <n v="134.4"/>
    <n v="117.2"/>
    <n v="136.1"/>
    <n v="150.69999999999999"/>
    <n v="171.5"/>
    <n v="113.8"/>
    <n v="138.80000000000001"/>
    <n v="126"/>
    <n v="140.19999999999999"/>
    <n v="141"/>
    <n v="134.6"/>
    <n v="128.6"/>
    <n v="127.9"/>
    <n v="124.1"/>
    <n v="127.9"/>
    <n v="125.4"/>
    <n v="114.3"/>
    <n v="122.9"/>
    <n v="131.80000000000001"/>
    <n v="122.1"/>
    <n v="122.8"/>
    <n v="131.27083333333334"/>
    <n v="130.9"/>
  </r>
  <r>
    <x v="0"/>
    <x v="3"/>
    <s v="October"/>
    <n v="131.30000000000001"/>
    <n v="137.6"/>
    <n v="130.1"/>
    <n v="136"/>
    <n v="120.8"/>
    <n v="138.4"/>
    <n v="149.19999999999999"/>
    <n v="170.2"/>
    <n v="113.4"/>
    <n v="136.30000000000001"/>
    <n v="128.69999999999999"/>
    <n v="142.4"/>
    <n v="140.9"/>
    <n v="139.6"/>
    <n v="134.30000000000001"/>
    <s v="NA"/>
    <n v="129.80000000000001"/>
    <n v="131.80000000000001"/>
    <n v="128.69999999999999"/>
    <n v="117.8"/>
    <n v="126.5"/>
    <n v="133"/>
    <n v="123"/>
    <n v="125.7"/>
    <n v="133.28260869565219"/>
    <n v="133.80000000000001"/>
  </r>
  <r>
    <x v="1"/>
    <x v="3"/>
    <s v="October"/>
    <n v="128.69999999999999"/>
    <n v="138.4"/>
    <n v="130.30000000000001"/>
    <n v="132.69999999999999"/>
    <n v="112.5"/>
    <n v="130.4"/>
    <n v="155.1"/>
    <n v="175.7"/>
    <n v="115.4"/>
    <n v="145.30000000000001"/>
    <n v="122.5"/>
    <n v="139.6"/>
    <n v="144.30000000000001"/>
    <n v="129.1"/>
    <n v="121.9"/>
    <n v="128.69999999999999"/>
    <n v="115.2"/>
    <n v="124.5"/>
    <n v="121.8"/>
    <n v="112.8"/>
    <n v="121.2"/>
    <n v="131.9"/>
    <n v="120.8"/>
    <n v="120.9"/>
    <n v="129.98750000000001"/>
    <n v="128.6"/>
  </r>
  <r>
    <x v="2"/>
    <x v="3"/>
    <s v="October"/>
    <n v="130.5"/>
    <n v="137.9"/>
    <n v="130.19999999999999"/>
    <n v="134.80000000000001"/>
    <n v="117.8"/>
    <n v="134.69999999999999"/>
    <n v="151.19999999999999"/>
    <n v="172.1"/>
    <n v="114.1"/>
    <n v="139.30000000000001"/>
    <n v="126.1"/>
    <n v="141.1"/>
    <n v="141.80000000000001"/>
    <n v="135.5"/>
    <n v="129.1"/>
    <n v="128.69999999999999"/>
    <n v="124.3"/>
    <n v="128.4"/>
    <n v="126.1"/>
    <n v="115.2"/>
    <n v="123.5"/>
    <n v="132.4"/>
    <n v="122.1"/>
    <n v="123.4"/>
    <n v="131.67916666666665"/>
    <n v="131.4"/>
  </r>
  <r>
    <x v="0"/>
    <x v="3"/>
    <s v="November"/>
    <n v="132"/>
    <n v="137.4"/>
    <n v="130.6"/>
    <n v="136.19999999999999"/>
    <n v="121.1"/>
    <n v="136.9"/>
    <n v="141.80000000000001"/>
    <n v="170"/>
    <n v="113.4"/>
    <n v="136.80000000000001"/>
    <n v="128.69999999999999"/>
    <n v="143.1"/>
    <n v="141.19999999999999"/>
    <n v="139.9"/>
    <n v="134.5"/>
    <s v="NA"/>
    <n v="130.30000000000001"/>
    <n v="132.1"/>
    <n v="129.1"/>
    <n v="118.2"/>
    <n v="126.9"/>
    <n v="133.69999999999999"/>
    <n v="123.5"/>
    <n v="126.1"/>
    <n v="133.19565217391303"/>
    <n v="133.6"/>
  </r>
  <r>
    <x v="1"/>
    <x v="3"/>
    <s v="November"/>
    <n v="130.19999999999999"/>
    <n v="138.5"/>
    <n v="134.1"/>
    <n v="132.9"/>
    <n v="112.6"/>
    <n v="130.80000000000001"/>
    <n v="142"/>
    <n v="174.9"/>
    <n v="115.6"/>
    <n v="145.4"/>
    <n v="122.7"/>
    <n v="140.30000000000001"/>
    <n v="144.30000000000001"/>
    <n v="129.6"/>
    <n v="122.1"/>
    <n v="129.1"/>
    <n v="116.2"/>
    <n v="124.7"/>
    <n v="122.1"/>
    <n v="113.4"/>
    <n v="121.7"/>
    <n v="132.1"/>
    <n v="121.3"/>
    <n v="121.3"/>
    <n v="129.91249999999999"/>
    <n v="128.5"/>
  </r>
  <r>
    <x v="2"/>
    <x v="3"/>
    <s v="November"/>
    <n v="131.4"/>
    <n v="137.80000000000001"/>
    <n v="132"/>
    <n v="135"/>
    <n v="118"/>
    <n v="134.1"/>
    <n v="141.9"/>
    <n v="171.7"/>
    <n v="114.1"/>
    <n v="139.69999999999999"/>
    <n v="126.2"/>
    <n v="141.80000000000001"/>
    <n v="142"/>
    <n v="135.80000000000001"/>
    <n v="129.30000000000001"/>
    <n v="129.1"/>
    <n v="125"/>
    <n v="128.6"/>
    <n v="126.4"/>
    <n v="115.7"/>
    <n v="124"/>
    <n v="132.80000000000001"/>
    <n v="122.6"/>
    <n v="123.8"/>
    <n v="131.61666666666667"/>
    <n v="131.19999999999999"/>
  </r>
  <r>
    <x v="0"/>
    <x v="3"/>
    <s v="December"/>
    <n v="132.6"/>
    <n v="137.30000000000001"/>
    <n v="131.6"/>
    <n v="136.30000000000001"/>
    <n v="121.6"/>
    <n v="135.6"/>
    <n v="127.5"/>
    <n v="167.9"/>
    <n v="113.8"/>
    <n v="137.5"/>
    <n v="129.1"/>
    <n v="143.6"/>
    <n v="142.4"/>
    <n v="140.4"/>
    <n v="135.19999999999999"/>
    <s v="NA"/>
    <n v="132"/>
    <n v="132.9"/>
    <n v="129.69999999999999"/>
    <n v="118.6"/>
    <n v="127.3"/>
    <n v="134.19999999999999"/>
    <n v="121.9"/>
    <n v="126.3"/>
    <n v="132.83913043478262"/>
    <n v="132.80000000000001"/>
  </r>
  <r>
    <x v="1"/>
    <x v="3"/>
    <s v="December"/>
    <n v="131.6"/>
    <n v="138.19999999999999"/>
    <n v="134.9"/>
    <n v="133.1"/>
    <n v="113.5"/>
    <n v="129.30000000000001"/>
    <n v="121.1"/>
    <n v="170.3"/>
    <n v="115.5"/>
    <n v="145.5"/>
    <n v="123.1"/>
    <n v="140.9"/>
    <n v="145"/>
    <n v="130"/>
    <n v="122.2"/>
    <n v="128.5"/>
    <n v="117.8"/>
    <n v="125"/>
    <n v="122.3"/>
    <n v="113.7"/>
    <n v="121.8"/>
    <n v="132.30000000000001"/>
    <n v="119.9"/>
    <n v="121.4"/>
    <n v="129.03750000000002"/>
    <n v="127.6"/>
  </r>
  <r>
    <x v="2"/>
    <x v="3"/>
    <s v="December"/>
    <n v="132.30000000000001"/>
    <n v="137.6"/>
    <n v="132.9"/>
    <n v="135.1"/>
    <n v="118.6"/>
    <n v="132.69999999999999"/>
    <n v="125.3"/>
    <n v="168.7"/>
    <n v="114.4"/>
    <n v="140.19999999999999"/>
    <n v="126.6"/>
    <n v="142.30000000000001"/>
    <n v="143.1"/>
    <n v="136.30000000000001"/>
    <n v="129.80000000000001"/>
    <n v="128.5"/>
    <n v="126.6"/>
    <n v="129.19999999999999"/>
    <n v="126.9"/>
    <n v="116"/>
    <n v="124.2"/>
    <n v="133.1"/>
    <n v="121.1"/>
    <n v="123.9"/>
    <n v="131.05833333333331"/>
    <n v="130.4"/>
  </r>
  <r>
    <x v="0"/>
    <x v="4"/>
    <s v="January"/>
    <n v="133.1"/>
    <n v="137.80000000000001"/>
    <n v="131.9"/>
    <n v="136.69999999999999"/>
    <n v="122"/>
    <n v="136"/>
    <n v="119.8"/>
    <n v="161.69999999999999"/>
    <n v="114.8"/>
    <n v="136.9"/>
    <n v="129"/>
    <n v="143.9"/>
    <n v="143.1"/>
    <n v="140.69999999999999"/>
    <n v="135.80000000000001"/>
    <s v="NA"/>
    <n v="132.1"/>
    <n v="133.19999999999999"/>
    <n v="129.9"/>
    <n v="119.1"/>
    <n v="127"/>
    <n v="134.6"/>
    <n v="122.3"/>
    <n v="126.6"/>
    <n v="132.52173913043478"/>
    <n v="132.4"/>
  </r>
  <r>
    <x v="1"/>
    <x v="4"/>
    <s v="January"/>
    <n v="132.19999999999999"/>
    <n v="138.9"/>
    <n v="132.6"/>
    <n v="133.1"/>
    <n v="114"/>
    <n v="129.6"/>
    <n v="118.7"/>
    <n v="155.1"/>
    <n v="117.3"/>
    <n v="144.9"/>
    <n v="123.2"/>
    <n v="141.6"/>
    <n v="145.6"/>
    <n v="130.19999999999999"/>
    <n v="122.3"/>
    <n v="129.6"/>
    <n v="118"/>
    <n v="125.1"/>
    <n v="122.6"/>
    <n v="115.2"/>
    <n v="122"/>
    <n v="132.4"/>
    <n v="120.9"/>
    <n v="122.1"/>
    <n v="128.63333333333333"/>
    <n v="127.8"/>
  </r>
  <r>
    <x v="2"/>
    <x v="4"/>
    <s v="January"/>
    <n v="132.80000000000001"/>
    <n v="138.19999999999999"/>
    <n v="132.19999999999999"/>
    <n v="135.4"/>
    <n v="119.1"/>
    <n v="133"/>
    <n v="119.4"/>
    <n v="159.5"/>
    <n v="115.6"/>
    <n v="139.6"/>
    <n v="126.6"/>
    <n v="142.80000000000001"/>
    <n v="143.80000000000001"/>
    <n v="136.6"/>
    <n v="130.19999999999999"/>
    <n v="129.6"/>
    <n v="126.8"/>
    <n v="129.4"/>
    <n v="127.1"/>
    <n v="117"/>
    <n v="124.2"/>
    <n v="133.30000000000001"/>
    <n v="121.7"/>
    <n v="124.4"/>
    <n v="130.76249999999999"/>
    <n v="130.30000000000001"/>
  </r>
  <r>
    <x v="0"/>
    <x v="4"/>
    <s v="February"/>
    <n v="133.30000000000001"/>
    <n v="138.30000000000001"/>
    <n v="129.30000000000001"/>
    <n v="137.19999999999999"/>
    <n v="122.1"/>
    <n v="138.69999999999999"/>
    <n v="119.1"/>
    <n v="156.9"/>
    <n v="116.2"/>
    <n v="136"/>
    <n v="129.4"/>
    <n v="144.4"/>
    <n v="143.69999999999999"/>
    <n v="140.9"/>
    <n v="135.80000000000001"/>
    <s v="NA"/>
    <n v="133.19999999999999"/>
    <n v="133.6"/>
    <n v="130.1"/>
    <n v="119.5"/>
    <n v="127.7"/>
    <n v="134.9"/>
    <n v="123.2"/>
    <n v="127"/>
    <n v="132.63043478260869"/>
    <n v="132.6"/>
  </r>
  <r>
    <x v="1"/>
    <x v="4"/>
    <s v="February"/>
    <n v="132.80000000000001"/>
    <n v="139.80000000000001"/>
    <n v="129.30000000000001"/>
    <n v="133.5"/>
    <n v="114.3"/>
    <n v="131.4"/>
    <n v="120.2"/>
    <n v="143.1"/>
    <n v="119.5"/>
    <n v="144"/>
    <n v="123.4"/>
    <n v="141.9"/>
    <n v="146.30000000000001"/>
    <n v="130.5"/>
    <n v="122.5"/>
    <n v="130.5"/>
    <n v="119.2"/>
    <n v="125.3"/>
    <n v="122.9"/>
    <n v="115.5"/>
    <n v="122.2"/>
    <n v="132.4"/>
    <n v="121.7"/>
    <n v="122.4"/>
    <n v="128.52500000000001"/>
    <n v="128.19999999999999"/>
  </r>
  <r>
    <x v="2"/>
    <x v="4"/>
    <s v="February"/>
    <n v="133.1"/>
    <n v="138.80000000000001"/>
    <n v="129.30000000000001"/>
    <n v="135.80000000000001"/>
    <n v="119.2"/>
    <n v="135.30000000000001"/>
    <n v="119.5"/>
    <n v="152.19999999999999"/>
    <n v="117.3"/>
    <n v="138.69999999999999"/>
    <n v="126.9"/>
    <n v="143.19999999999999"/>
    <n v="144.4"/>
    <n v="136.80000000000001"/>
    <n v="130.30000000000001"/>
    <n v="130.5"/>
    <n v="127.9"/>
    <n v="129.69999999999999"/>
    <n v="127.4"/>
    <n v="117.4"/>
    <n v="124.6"/>
    <n v="133.4"/>
    <n v="122.6"/>
    <n v="124.8"/>
    <n v="130.79583333333335"/>
    <n v="130.6"/>
  </r>
  <r>
    <x v="0"/>
    <x v="4"/>
    <s v="March"/>
    <n v="133.6"/>
    <n v="138.80000000000001"/>
    <n v="128.80000000000001"/>
    <n v="137.19999999999999"/>
    <n v="121.6"/>
    <n v="139.69999999999999"/>
    <n v="119.7"/>
    <n v="148"/>
    <n v="116.9"/>
    <n v="135.6"/>
    <n v="129.80000000000001"/>
    <n v="145.4"/>
    <n v="144.19999999999999"/>
    <n v="141.6"/>
    <n v="136.19999999999999"/>
    <s v="NA"/>
    <n v="134.19999999999999"/>
    <n v="134.1"/>
    <n v="130.6"/>
    <n v="119.8"/>
    <n v="128.30000000000001"/>
    <n v="135.19999999999999"/>
    <n v="123.3"/>
    <n v="127.4"/>
    <n v="132.60869565217394"/>
    <n v="132.80000000000001"/>
  </r>
  <r>
    <x v="1"/>
    <x v="4"/>
    <s v="March"/>
    <n v="132.69999999999999"/>
    <n v="139.4"/>
    <n v="128.4"/>
    <n v="134.9"/>
    <n v="114"/>
    <n v="136.80000000000001"/>
    <n v="122.2"/>
    <n v="135.80000000000001"/>
    <n v="120.3"/>
    <n v="142.6"/>
    <n v="123.6"/>
    <n v="142.4"/>
    <n v="147.5"/>
    <n v="130.80000000000001"/>
    <n v="122.8"/>
    <n v="131.1"/>
    <n v="120.8"/>
    <n v="125.6"/>
    <n v="123.1"/>
    <n v="115.6"/>
    <n v="122.4"/>
    <n v="132.80000000000001"/>
    <n v="121.7"/>
    <n v="122.6"/>
    <n v="128.74583333333331"/>
    <n v="128.69999999999999"/>
  </r>
  <r>
    <x v="2"/>
    <x v="4"/>
    <s v="March"/>
    <n v="133.30000000000001"/>
    <n v="139"/>
    <n v="128.6"/>
    <n v="136.30000000000001"/>
    <n v="118.8"/>
    <n v="138.30000000000001"/>
    <n v="120.5"/>
    <n v="143.9"/>
    <n v="118"/>
    <n v="137.9"/>
    <n v="127.2"/>
    <n v="144"/>
    <n v="145.1"/>
    <n v="137.30000000000001"/>
    <n v="130.6"/>
    <n v="131.1"/>
    <n v="129.1"/>
    <n v="130.1"/>
    <n v="127.8"/>
    <n v="117.6"/>
    <n v="125"/>
    <n v="133.80000000000001"/>
    <n v="122.6"/>
    <n v="125.1"/>
    <n v="130.875"/>
    <n v="130.9"/>
  </r>
  <r>
    <x v="0"/>
    <x v="4"/>
    <s v="April"/>
    <n v="133.19999999999999"/>
    <n v="138.69999999999999"/>
    <n v="127.1"/>
    <n v="137.69999999999999"/>
    <n v="121.3"/>
    <n v="141.80000000000001"/>
    <n v="121.5"/>
    <n v="144.5"/>
    <n v="117.4"/>
    <n v="134.1"/>
    <n v="130"/>
    <n v="145.5"/>
    <n v="144.4"/>
    <n v="142.4"/>
    <n v="136.80000000000001"/>
    <s v="NA"/>
    <n v="135"/>
    <n v="134.30000000000001"/>
    <n v="131"/>
    <n v="119.2"/>
    <n v="128.30000000000001"/>
    <n v="135.69999999999999"/>
    <n v="123.7"/>
    <n v="127.5"/>
    <n v="132.65652173913043"/>
    <n v="132.9"/>
  </r>
  <r>
    <x v="1"/>
    <x v="4"/>
    <s v="April"/>
    <n v="132.69999999999999"/>
    <n v="140.6"/>
    <n v="124.5"/>
    <n v="136.30000000000001"/>
    <n v="113.5"/>
    <n v="137.69999999999999"/>
    <n v="127.1"/>
    <n v="133.80000000000001"/>
    <n v="120.8"/>
    <n v="141.30000000000001"/>
    <n v="123.8"/>
    <n v="142.6"/>
    <n v="148"/>
    <n v="131.19999999999999"/>
    <n v="123"/>
    <n v="131.69999999999999"/>
    <n v="121.4"/>
    <n v="126"/>
    <n v="123.4"/>
    <n v="114.3"/>
    <n v="122.6"/>
    <n v="133.6"/>
    <n v="122.2"/>
    <n v="122.5"/>
    <n v="128.94166666666666"/>
    <n v="129.1"/>
  </r>
  <r>
    <x v="2"/>
    <x v="4"/>
    <s v="April"/>
    <n v="133"/>
    <n v="139.4"/>
    <n v="126.1"/>
    <n v="137.19999999999999"/>
    <n v="118.4"/>
    <n v="139.9"/>
    <n v="123.4"/>
    <n v="140.9"/>
    <n v="118.5"/>
    <n v="136.5"/>
    <n v="127.4"/>
    <n v="144.19999999999999"/>
    <n v="145.4"/>
    <n v="138"/>
    <n v="131.1"/>
    <n v="131.69999999999999"/>
    <n v="129.80000000000001"/>
    <n v="130.4"/>
    <n v="128.1"/>
    <n v="116.6"/>
    <n v="125.1"/>
    <n v="134.5"/>
    <n v="123.1"/>
    <n v="125.1"/>
    <n v="130.99166666666665"/>
    <n v="131.1"/>
  </r>
  <r>
    <x v="0"/>
    <x v="4"/>
    <s v="May"/>
    <n v="133.1"/>
    <n v="140.30000000000001"/>
    <n v="126.8"/>
    <n v="138.19999999999999"/>
    <n v="120.8"/>
    <n v="140.19999999999999"/>
    <n v="123.8"/>
    <n v="141.80000000000001"/>
    <n v="118.6"/>
    <n v="134"/>
    <n v="130.30000000000001"/>
    <n v="145.80000000000001"/>
    <n v="145.5"/>
    <n v="142.5"/>
    <n v="137.30000000000001"/>
    <s v="NA"/>
    <n v="135"/>
    <n v="134.9"/>
    <n v="131.4"/>
    <n v="119.4"/>
    <n v="129.4"/>
    <n v="136.30000000000001"/>
    <n v="123.7"/>
    <n v="127.9"/>
    <n v="132.91304347826087"/>
    <n v="133.30000000000001"/>
  </r>
  <r>
    <x v="1"/>
    <x v="4"/>
    <s v="May"/>
    <n v="132.6"/>
    <n v="144.1"/>
    <n v="125.6"/>
    <n v="136.80000000000001"/>
    <n v="113.4"/>
    <n v="135.19999999999999"/>
    <n v="129.19999999999999"/>
    <n v="131.5"/>
    <n v="121"/>
    <n v="139.9"/>
    <n v="123.8"/>
    <n v="142.9"/>
    <n v="148.30000000000001"/>
    <n v="131.5"/>
    <n v="123.2"/>
    <n v="132.1"/>
    <n v="120.1"/>
    <n v="126.5"/>
    <n v="123.6"/>
    <n v="114.3"/>
    <n v="122.8"/>
    <n v="133.80000000000001"/>
    <n v="122"/>
    <n v="122.6"/>
    <n v="129.03333333333333"/>
    <n v="129.30000000000001"/>
  </r>
  <r>
    <x v="2"/>
    <x v="4"/>
    <s v="May"/>
    <n v="132.9"/>
    <n v="141.6"/>
    <n v="126.3"/>
    <n v="137.69999999999999"/>
    <n v="118.1"/>
    <n v="137.9"/>
    <n v="125.6"/>
    <n v="138.30000000000001"/>
    <n v="119.4"/>
    <n v="136"/>
    <n v="127.6"/>
    <n v="144.5"/>
    <n v="146.19999999999999"/>
    <n v="138.19999999999999"/>
    <n v="131.4"/>
    <n v="132.1"/>
    <n v="129.4"/>
    <n v="130.9"/>
    <n v="128.4"/>
    <n v="116.7"/>
    <n v="125.7"/>
    <n v="134.80000000000001"/>
    <n v="123"/>
    <n v="125.3"/>
    <n v="131.16666666666669"/>
    <n v="131.4"/>
  </r>
  <r>
    <x v="0"/>
    <x v="4"/>
    <s v="June"/>
    <n v="133.5"/>
    <n v="143.69999999999999"/>
    <n v="128"/>
    <n v="138.6"/>
    <n v="120.9"/>
    <n v="140.9"/>
    <n v="128.80000000000001"/>
    <n v="140.19999999999999"/>
    <n v="118.9"/>
    <n v="133.5"/>
    <n v="130.4"/>
    <n v="146.5"/>
    <n v="145.80000000000001"/>
    <n v="143.1"/>
    <n v="137.69999999999999"/>
    <s v="NA"/>
    <n v="134.80000000000001"/>
    <n v="135.19999999999999"/>
    <n v="131.30000000000001"/>
    <n v="119.4"/>
    <n v="129.80000000000001"/>
    <n v="136.9"/>
    <n v="124.1"/>
    <n v="128.1"/>
    <n v="133.4826086956522"/>
    <n v="133.9"/>
  </r>
  <r>
    <x v="1"/>
    <x v="4"/>
    <s v="June"/>
    <n v="132.9"/>
    <n v="148.69999999999999"/>
    <n v="128.30000000000001"/>
    <n v="137.30000000000001"/>
    <n v="113.5"/>
    <n v="137.19999999999999"/>
    <n v="142.19999999999999"/>
    <n v="128.19999999999999"/>
    <n v="120.9"/>
    <n v="138.80000000000001"/>
    <n v="124.2"/>
    <n v="143.1"/>
    <n v="148.6"/>
    <n v="131.5"/>
    <n v="123.2"/>
    <n v="131.4"/>
    <n v="119"/>
    <n v="126.8"/>
    <n v="123.8"/>
    <n v="113.9"/>
    <n v="122.9"/>
    <n v="134.30000000000001"/>
    <n v="122.5"/>
    <n v="122.7"/>
    <n v="129.82916666666668"/>
    <n v="129.9"/>
  </r>
  <r>
    <x v="2"/>
    <x v="4"/>
    <s v="June"/>
    <n v="133.30000000000001"/>
    <n v="145.5"/>
    <n v="128.1"/>
    <n v="138.1"/>
    <n v="118.2"/>
    <n v="139.19999999999999"/>
    <n v="133.30000000000001"/>
    <n v="136.19999999999999"/>
    <n v="119.6"/>
    <n v="135.30000000000001"/>
    <n v="127.8"/>
    <n v="144.9"/>
    <n v="146.5"/>
    <n v="138.5"/>
    <n v="131.69999999999999"/>
    <n v="131.4"/>
    <n v="128.80000000000001"/>
    <n v="131.19999999999999"/>
    <n v="128.5"/>
    <n v="116.5"/>
    <n v="125.9"/>
    <n v="135.4"/>
    <n v="123.4"/>
    <n v="125.5"/>
    <n v="131.78333333333333"/>
    <n v="132"/>
  </r>
  <r>
    <x v="0"/>
    <x v="4"/>
    <s v="July"/>
    <n v="134"/>
    <n v="144.19999999999999"/>
    <n v="129.80000000000001"/>
    <n v="139"/>
    <n v="120.9"/>
    <n v="143.9"/>
    <n v="151.5"/>
    <n v="138.1"/>
    <n v="120"/>
    <n v="133.9"/>
    <n v="131.4"/>
    <n v="147.69999999999999"/>
    <n v="147.4"/>
    <n v="144.30000000000001"/>
    <n v="138.1"/>
    <s v="NA"/>
    <n v="135.30000000000001"/>
    <n v="136.1"/>
    <n v="132.1"/>
    <n v="119.1"/>
    <n v="130.6"/>
    <n v="138.6"/>
    <n v="124.4"/>
    <n v="128.6"/>
    <n v="135.17391304347825"/>
    <n v="136.19999999999999"/>
  </r>
  <r>
    <x v="1"/>
    <x v="4"/>
    <s v="July"/>
    <n v="132.80000000000001"/>
    <n v="148.4"/>
    <n v="129.4"/>
    <n v="137.69999999999999"/>
    <n v="113.4"/>
    <n v="139.4"/>
    <n v="175.1"/>
    <n v="124.7"/>
    <n v="121.5"/>
    <n v="137.80000000000001"/>
    <n v="124.4"/>
    <n v="143.69999999999999"/>
    <n v="150.5"/>
    <n v="131.6"/>
    <n v="123.7"/>
    <n v="132.6"/>
    <n v="119.7"/>
    <n v="127.2"/>
    <n v="125"/>
    <n v="113.2"/>
    <n v="123.5"/>
    <n v="135.5"/>
    <n v="122.4"/>
    <n v="123"/>
    <n v="131.5083333333333"/>
    <n v="131.80000000000001"/>
  </r>
  <r>
    <x v="2"/>
    <x v="4"/>
    <s v="July"/>
    <n v="133.6"/>
    <n v="145.69999999999999"/>
    <n v="129.6"/>
    <n v="138.5"/>
    <n v="118.1"/>
    <n v="141.80000000000001"/>
    <n v="159.5"/>
    <n v="133.6"/>
    <n v="120.5"/>
    <n v="135.19999999999999"/>
    <n v="128.5"/>
    <n v="145.80000000000001"/>
    <n v="148.19999999999999"/>
    <n v="139.30000000000001"/>
    <n v="132.1"/>
    <n v="132.6"/>
    <n v="129.4"/>
    <n v="131.9"/>
    <n v="129.4"/>
    <n v="116"/>
    <n v="126.6"/>
    <n v="136.80000000000001"/>
    <n v="123.6"/>
    <n v="125.9"/>
    <n v="133.42500000000001"/>
    <n v="134.19999999999999"/>
  </r>
  <r>
    <x v="0"/>
    <x v="4"/>
    <s v="August"/>
    <n v="134.80000000000001"/>
    <n v="143.1"/>
    <n v="130"/>
    <n v="139.4"/>
    <n v="120.5"/>
    <n v="148"/>
    <n v="162.9"/>
    <n v="137.4"/>
    <n v="120.8"/>
    <n v="134.69999999999999"/>
    <n v="131.6"/>
    <n v="148.69999999999999"/>
    <n v="149"/>
    <n v="145.30000000000001"/>
    <n v="139.19999999999999"/>
    <s v="NA"/>
    <n v="136.4"/>
    <n v="137.30000000000001"/>
    <n v="133"/>
    <n v="120.3"/>
    <n v="131.5"/>
    <n v="140.19999999999999"/>
    <n v="125.4"/>
    <n v="129.69999999999999"/>
    <n v="136.48695652173913"/>
    <n v="137.80000000000001"/>
  </r>
  <r>
    <x v="1"/>
    <x v="4"/>
    <s v="August"/>
    <n v="133.19999999999999"/>
    <n v="143.9"/>
    <n v="128.30000000000001"/>
    <n v="138.30000000000001"/>
    <n v="114.1"/>
    <n v="142.69999999999999"/>
    <n v="179.8"/>
    <n v="123.5"/>
    <n v="122.1"/>
    <n v="137.5"/>
    <n v="124.6"/>
    <n v="144.5"/>
    <n v="152.1"/>
    <n v="132.69999999999999"/>
    <n v="124.3"/>
    <n v="134.4"/>
    <n v="118.9"/>
    <n v="127.7"/>
    <n v="125.7"/>
    <n v="114.6"/>
    <n v="124.1"/>
    <n v="135.69999999999999"/>
    <n v="123.3"/>
    <n v="123.8"/>
    <n v="132.07499999999996"/>
    <n v="132.69999999999999"/>
  </r>
  <r>
    <x v="2"/>
    <x v="4"/>
    <s v="August"/>
    <n v="134.30000000000001"/>
    <n v="143.4"/>
    <n v="129.30000000000001"/>
    <n v="139"/>
    <n v="118.1"/>
    <n v="145.5"/>
    <n v="168.6"/>
    <n v="132.69999999999999"/>
    <n v="121.2"/>
    <n v="135.6"/>
    <n v="128.69999999999999"/>
    <n v="146.80000000000001"/>
    <n v="149.80000000000001"/>
    <n v="140.30000000000001"/>
    <n v="133"/>
    <n v="134.4"/>
    <n v="129.80000000000001"/>
    <n v="132.80000000000001"/>
    <n v="130.19999999999999"/>
    <n v="117.3"/>
    <n v="127.3"/>
    <n v="137.6"/>
    <n v="124.5"/>
    <n v="126.8"/>
    <n v="134.45833333333337"/>
    <n v="135.4"/>
  </r>
  <r>
    <x v="0"/>
    <x v="4"/>
    <s v="September"/>
    <n v="135.19999999999999"/>
    <n v="142"/>
    <n v="130.5"/>
    <n v="140.19999999999999"/>
    <n v="120.7"/>
    <n v="147.80000000000001"/>
    <n v="154.5"/>
    <n v="137.1"/>
    <n v="121"/>
    <n v="134.69999999999999"/>
    <n v="131.69999999999999"/>
    <n v="149.30000000000001"/>
    <n v="149.80000000000001"/>
    <n v="146.1"/>
    <n v="139.69999999999999"/>
    <s v="NA"/>
    <n v="137.4"/>
    <n v="137.9"/>
    <n v="133.4"/>
    <n v="121.2"/>
    <n v="132.30000000000001"/>
    <n v="139.6"/>
    <n v="126.7"/>
    <n v="130.30000000000001"/>
    <n v="136.48260869565217"/>
    <n v="137.6"/>
  </r>
  <r>
    <x v="1"/>
    <x v="4"/>
    <s v="September"/>
    <n v="133.6"/>
    <n v="143"/>
    <n v="129.69999999999999"/>
    <n v="138.69999999999999"/>
    <n v="114.5"/>
    <n v="137.5"/>
    <n v="160.69999999999999"/>
    <n v="124.5"/>
    <n v="122.4"/>
    <n v="137.30000000000001"/>
    <n v="124.8"/>
    <n v="145"/>
    <n v="153.6"/>
    <n v="133.30000000000001"/>
    <n v="124.6"/>
    <n v="135.69999999999999"/>
    <n v="120.6"/>
    <n v="128.1"/>
    <n v="126.1"/>
    <n v="115.7"/>
    <n v="124.5"/>
    <n v="135.9"/>
    <n v="124.4"/>
    <n v="124.5"/>
    <n v="131.61249999999998"/>
    <n v="132.4"/>
  </r>
  <r>
    <x v="2"/>
    <x v="4"/>
    <s v="September"/>
    <n v="134.69999999999999"/>
    <n v="142.4"/>
    <n v="130.19999999999999"/>
    <n v="139.6"/>
    <n v="118.4"/>
    <n v="143"/>
    <n v="156.6"/>
    <n v="132.9"/>
    <n v="121.5"/>
    <n v="135.6"/>
    <n v="128.80000000000001"/>
    <n v="147.30000000000001"/>
    <n v="150.80000000000001"/>
    <n v="141.1"/>
    <n v="133.4"/>
    <n v="135.69999999999999"/>
    <n v="131"/>
    <n v="133.30000000000001"/>
    <n v="130.6"/>
    <n v="118.3"/>
    <n v="127.9"/>
    <n v="137.4"/>
    <n v="125.7"/>
    <n v="127.5"/>
    <n v="134.32083333333333"/>
    <n v="135.19999999999999"/>
  </r>
  <r>
    <x v="0"/>
    <x v="4"/>
    <s v="October"/>
    <n v="135.9"/>
    <n v="141.9"/>
    <n v="131"/>
    <n v="141.5"/>
    <n v="121.4"/>
    <n v="146.69999999999999"/>
    <n v="157.1"/>
    <n v="136.4"/>
    <n v="121.4"/>
    <n v="135.6"/>
    <n v="131.30000000000001"/>
    <n v="150.30000000000001"/>
    <n v="150.5"/>
    <n v="147.19999999999999"/>
    <n v="140.6"/>
    <s v="NA"/>
    <n v="138.1"/>
    <n v="138.4"/>
    <n v="134.19999999999999"/>
    <n v="121"/>
    <n v="133"/>
    <n v="140.1"/>
    <n v="127.4"/>
    <n v="130.69999999999999"/>
    <n v="137.03043478260867"/>
    <n v="138.30000000000001"/>
  </r>
  <r>
    <x v="1"/>
    <x v="4"/>
    <s v="October"/>
    <n v="133.9"/>
    <n v="142.80000000000001"/>
    <n v="131.4"/>
    <n v="139.1"/>
    <n v="114.9"/>
    <n v="135.6"/>
    <n v="173.2"/>
    <n v="124.1"/>
    <n v="122.6"/>
    <n v="137.80000000000001"/>
    <n v="125.1"/>
    <n v="145.5"/>
    <n v="154.6"/>
    <n v="134"/>
    <n v="124.9"/>
    <n v="137.30000000000001"/>
    <n v="122.6"/>
    <n v="128.30000000000001"/>
    <n v="126.6"/>
    <n v="115"/>
    <n v="124.8"/>
    <n v="136.30000000000001"/>
    <n v="124.6"/>
    <n v="124.5"/>
    <n v="132.47916666666666"/>
    <n v="133.5"/>
  </r>
  <r>
    <x v="2"/>
    <x v="4"/>
    <s v="October"/>
    <n v="135.30000000000001"/>
    <n v="142.19999999999999"/>
    <n v="131.19999999999999"/>
    <n v="140.6"/>
    <n v="119"/>
    <n v="141.5"/>
    <n v="162.6"/>
    <n v="132.30000000000001"/>
    <n v="121.8"/>
    <n v="136.30000000000001"/>
    <n v="128.69999999999999"/>
    <n v="148.1"/>
    <n v="151.6"/>
    <n v="142"/>
    <n v="134.1"/>
    <n v="137.30000000000001"/>
    <n v="132.19999999999999"/>
    <n v="133.6"/>
    <n v="131.30000000000001"/>
    <n v="117.8"/>
    <n v="128.4"/>
    <n v="137.9"/>
    <n v="126.2"/>
    <n v="127.7"/>
    <n v="134.98749999999998"/>
    <n v="136.1"/>
  </r>
  <r>
    <x v="0"/>
    <x v="4"/>
    <s v="November"/>
    <n v="136.30000000000001"/>
    <n v="142.5"/>
    <n v="140.5"/>
    <n v="141.5"/>
    <n v="121.6"/>
    <n v="147.30000000000001"/>
    <n v="168"/>
    <n v="135.80000000000001"/>
    <n v="122.5"/>
    <n v="136"/>
    <n v="131.9"/>
    <n v="151.4"/>
    <n v="152.1"/>
    <n v="148.19999999999999"/>
    <n v="141.5"/>
    <s v="NA"/>
    <n v="141.1"/>
    <n v="139.4"/>
    <n v="135.80000000000001"/>
    <n v="121.6"/>
    <n v="133.69999999999999"/>
    <n v="141.5"/>
    <n v="128.1"/>
    <n v="131.69999999999999"/>
    <n v="138.69565217391303"/>
    <n v="140"/>
  </r>
  <r>
    <x v="1"/>
    <x v="4"/>
    <s v="November"/>
    <n v="134.30000000000001"/>
    <n v="142.1"/>
    <n v="146.69999999999999"/>
    <n v="139.5"/>
    <n v="115.2"/>
    <n v="136.4"/>
    <n v="185.2"/>
    <n v="122.2"/>
    <n v="123.9"/>
    <n v="138.30000000000001"/>
    <n v="125.4"/>
    <n v="146"/>
    <n v="156.19999999999999"/>
    <n v="135"/>
    <n v="125.4"/>
    <n v="138.6"/>
    <n v="125.7"/>
    <n v="128.80000000000001"/>
    <n v="127.4"/>
    <n v="115.3"/>
    <n v="125.1"/>
    <n v="136.6"/>
    <n v="124.9"/>
    <n v="124.9"/>
    <n v="134.12916666666669"/>
    <n v="134.80000000000001"/>
  </r>
  <r>
    <x v="2"/>
    <x v="4"/>
    <s v="November"/>
    <n v="135.69999999999999"/>
    <n v="142.4"/>
    <n v="142.9"/>
    <n v="140.80000000000001"/>
    <n v="119.2"/>
    <n v="142.19999999999999"/>
    <n v="173.8"/>
    <n v="131.19999999999999"/>
    <n v="123"/>
    <n v="136.80000000000001"/>
    <n v="129.19999999999999"/>
    <n v="148.9"/>
    <n v="153.19999999999999"/>
    <n v="143"/>
    <n v="134.80000000000001"/>
    <n v="138.6"/>
    <n v="135.30000000000001"/>
    <n v="134.4"/>
    <n v="132.6"/>
    <n v="118.3"/>
    <n v="128.9"/>
    <n v="138.6"/>
    <n v="126.8"/>
    <n v="128.4"/>
    <n v="136.62500000000003"/>
    <n v="137.6"/>
  </r>
  <r>
    <x v="0"/>
    <x v="4"/>
    <s v="December"/>
    <n v="136.4"/>
    <n v="143.69999999999999"/>
    <n v="144.80000000000001"/>
    <n v="141.9"/>
    <n v="123.1"/>
    <n v="147.19999999999999"/>
    <n v="161"/>
    <n v="133.80000000000001"/>
    <n v="121.9"/>
    <n v="135.80000000000001"/>
    <n v="131.1"/>
    <n v="151.4"/>
    <n v="153.19999999999999"/>
    <n v="148"/>
    <n v="141.9"/>
    <s v="NA"/>
    <n v="142.6"/>
    <n v="139.5"/>
    <n v="136.1"/>
    <n v="122"/>
    <n v="133.4"/>
    <n v="141.1"/>
    <n v="127.8"/>
    <n v="131.9"/>
    <n v="138.67826086956524"/>
    <n v="139.80000000000001"/>
  </r>
  <r>
    <x v="1"/>
    <x v="4"/>
    <s v="December"/>
    <n v="134.4"/>
    <n v="142.6"/>
    <n v="145.9"/>
    <n v="139.5"/>
    <n v="115.9"/>
    <n v="135"/>
    <n v="163.19999999999999"/>
    <n v="119.8"/>
    <n v="120.7"/>
    <n v="139.69999999999999"/>
    <n v="125.7"/>
    <n v="146.30000000000001"/>
    <n v="157"/>
    <n v="135.6"/>
    <n v="125.6"/>
    <n v="139.1"/>
    <n v="126.8"/>
    <n v="129.30000000000001"/>
    <n v="128.19999999999999"/>
    <n v="115.3"/>
    <n v="125.6"/>
    <n v="136.69999999999999"/>
    <n v="124.6"/>
    <n v="125.1"/>
    <n v="133.23333333333332"/>
    <n v="134.1"/>
  </r>
  <r>
    <x v="2"/>
    <x v="4"/>
    <s v="December"/>
    <n v="135.80000000000001"/>
    <n v="143.30000000000001"/>
    <n v="145.19999999999999"/>
    <n v="141"/>
    <n v="120.5"/>
    <n v="141.5"/>
    <n v="161.69999999999999"/>
    <n v="129.1"/>
    <n v="121.5"/>
    <n v="137.1"/>
    <n v="128.80000000000001"/>
    <n v="149"/>
    <n v="154.19999999999999"/>
    <n v="143.1"/>
    <n v="135.1"/>
    <n v="139.1"/>
    <n v="136.6"/>
    <n v="134.69999999999999"/>
    <n v="133.1"/>
    <n v="118.5"/>
    <n v="129"/>
    <n v="138.5"/>
    <n v="126.5"/>
    <n v="128.6"/>
    <n v="136.31249999999997"/>
    <n v="137.19999999999999"/>
  </r>
  <r>
    <x v="0"/>
    <x v="5"/>
    <s v="January"/>
    <n v="136.6"/>
    <n v="144.4"/>
    <n v="143.80000000000001"/>
    <n v="142"/>
    <n v="123.2"/>
    <n v="147.9"/>
    <n v="152.1"/>
    <n v="131.80000000000001"/>
    <n v="119.5"/>
    <n v="136"/>
    <n v="131.19999999999999"/>
    <n v="151.80000000000001"/>
    <n v="153.6"/>
    <n v="148.30000000000001"/>
    <n v="142.30000000000001"/>
    <s v="NA"/>
    <n v="142.30000000000001"/>
    <n v="139.80000000000001"/>
    <n v="136"/>
    <n v="122.7"/>
    <n v="134.30000000000001"/>
    <n v="141.6"/>
    <n v="128.6"/>
    <n v="132.30000000000001"/>
    <n v="138.35217391304349"/>
    <n v="139.30000000000001"/>
  </r>
  <r>
    <x v="1"/>
    <x v="5"/>
    <s v="January"/>
    <n v="134.6"/>
    <n v="143.69999999999999"/>
    <n v="143.6"/>
    <n v="139.6"/>
    <n v="116.4"/>
    <n v="133.80000000000001"/>
    <n v="150.5"/>
    <n v="118.4"/>
    <n v="117.3"/>
    <n v="140.5"/>
    <n v="125.9"/>
    <n v="146.80000000000001"/>
    <n v="157.69999999999999"/>
    <n v="136"/>
    <n v="125.9"/>
    <n v="140.4"/>
    <n v="127.3"/>
    <n v="129.5"/>
    <n v="129"/>
    <n v="116.3"/>
    <n v="126.2"/>
    <n v="137.1"/>
    <n v="125.5"/>
    <n v="125.8"/>
    <n v="132.82500000000002"/>
    <n v="134.1"/>
  </r>
  <r>
    <x v="2"/>
    <x v="5"/>
    <s v="January"/>
    <n v="136"/>
    <n v="144.19999999999999"/>
    <n v="143.69999999999999"/>
    <n v="141.1"/>
    <n v="120.7"/>
    <n v="141.30000000000001"/>
    <n v="151.6"/>
    <n v="127.3"/>
    <n v="118.8"/>
    <n v="137.5"/>
    <n v="129"/>
    <n v="149.5"/>
    <n v="154.69999999999999"/>
    <n v="143.5"/>
    <n v="135.5"/>
    <n v="140.4"/>
    <n v="136.6"/>
    <n v="134.9"/>
    <n v="133.30000000000001"/>
    <n v="119.3"/>
    <n v="129.69999999999999"/>
    <n v="139"/>
    <n v="127.3"/>
    <n v="129.1"/>
    <n v="136.00000000000003"/>
    <n v="136.9"/>
  </r>
  <r>
    <x v="0"/>
    <x v="5"/>
    <s v="February"/>
    <n v="136.4"/>
    <n v="143.69999999999999"/>
    <n v="140.6"/>
    <n v="141.5"/>
    <n v="122.9"/>
    <n v="149.4"/>
    <n v="142.4"/>
    <n v="130.19999999999999"/>
    <n v="117.9"/>
    <n v="135.6"/>
    <n v="130.5"/>
    <n v="151.69999999999999"/>
    <n v="153.30000000000001"/>
    <n v="148.69999999999999"/>
    <n v="142.4"/>
    <s v="NA"/>
    <n v="142.4"/>
    <n v="139.9"/>
    <n v="136.19999999999999"/>
    <n v="123.3"/>
    <n v="134.30000000000001"/>
    <n v="141.5"/>
    <n v="128.80000000000001"/>
    <n v="132.5"/>
    <n v="137.65652173913045"/>
    <n v="138.5"/>
  </r>
  <r>
    <x v="1"/>
    <x v="5"/>
    <s v="February"/>
    <n v="134.80000000000001"/>
    <n v="143"/>
    <n v="139.9"/>
    <n v="139.9"/>
    <n v="116.2"/>
    <n v="135.5"/>
    <n v="136.9"/>
    <n v="117"/>
    <n v="115.4"/>
    <n v="140.69999999999999"/>
    <n v="125.9"/>
    <n v="147.1"/>
    <n v="159.30000000000001"/>
    <n v="136.30000000000001"/>
    <n v="126.1"/>
    <n v="141.30000000000001"/>
    <n v="127.3"/>
    <n v="129.9"/>
    <n v="129.80000000000001"/>
    <n v="117.4"/>
    <n v="126.5"/>
    <n v="137.19999999999999"/>
    <n v="126.2"/>
    <n v="126.5"/>
    <n v="132.33750000000001"/>
    <n v="134"/>
  </r>
  <r>
    <x v="2"/>
    <x v="5"/>
    <s v="February"/>
    <n v="135.9"/>
    <n v="143.5"/>
    <n v="140.30000000000001"/>
    <n v="140.9"/>
    <n v="120.4"/>
    <n v="142.9"/>
    <n v="140.5"/>
    <n v="125.8"/>
    <n v="117.1"/>
    <n v="137.30000000000001"/>
    <n v="128.6"/>
    <n v="149.6"/>
    <n v="154.9"/>
    <n v="143.80000000000001"/>
    <n v="135.6"/>
    <n v="141.30000000000001"/>
    <n v="136.69999999999999"/>
    <n v="135.19999999999999"/>
    <n v="133.80000000000001"/>
    <n v="120.2"/>
    <n v="129.9"/>
    <n v="139"/>
    <n v="127.7"/>
    <n v="129.6"/>
    <n v="135.43749999999997"/>
    <n v="136.4"/>
  </r>
  <r>
    <x v="0"/>
    <x v="5"/>
    <s v="March"/>
    <n v="136.80000000000001"/>
    <n v="143.80000000000001"/>
    <n v="140"/>
    <n v="142"/>
    <n v="123.2"/>
    <n v="152.9"/>
    <n v="138"/>
    <n v="129.30000000000001"/>
    <n v="117.1"/>
    <n v="136.30000000000001"/>
    <n v="131.19999999999999"/>
    <n v="152.80000000000001"/>
    <n v="155.1"/>
    <n v="149.19999999999999"/>
    <n v="143"/>
    <s v="NA"/>
    <n v="142.6"/>
    <n v="139.9"/>
    <n v="136.69999999999999"/>
    <n v="124.6"/>
    <n v="135.1"/>
    <n v="142.69999999999999"/>
    <n v="129.30000000000001"/>
    <n v="133.30000000000001"/>
    <n v="138.03913043478261"/>
    <n v="138.69999999999999"/>
  </r>
  <r>
    <x v="1"/>
    <x v="5"/>
    <s v="March"/>
    <n v="135"/>
    <n v="143.1"/>
    <n v="135.5"/>
    <n v="139.9"/>
    <n v="116.5"/>
    <n v="138.5"/>
    <n v="128"/>
    <n v="115.5"/>
    <n v="114.2"/>
    <n v="140.69999999999999"/>
    <n v="126.2"/>
    <n v="147.6"/>
    <n v="159.69999999999999"/>
    <n v="136.69999999999999"/>
    <n v="126.7"/>
    <n v="142"/>
    <n v="126.4"/>
    <n v="130.80000000000001"/>
    <n v="130.5"/>
    <n v="117.8"/>
    <n v="126.8"/>
    <n v="137.80000000000001"/>
    <n v="126.7"/>
    <n v="127.1"/>
    <n v="132.07083333333335"/>
    <n v="134"/>
  </r>
  <r>
    <x v="2"/>
    <x v="5"/>
    <s v="March"/>
    <n v="136.19999999999999"/>
    <n v="143.6"/>
    <n v="138.30000000000001"/>
    <n v="141.19999999999999"/>
    <n v="120.7"/>
    <n v="146.19999999999999"/>
    <n v="134.6"/>
    <n v="124.6"/>
    <n v="116.1"/>
    <n v="137.80000000000001"/>
    <n v="129.1"/>
    <n v="150.4"/>
    <n v="156.30000000000001"/>
    <n v="144.30000000000001"/>
    <n v="136.19999999999999"/>
    <n v="142"/>
    <n v="136.5"/>
    <n v="135.6"/>
    <n v="134.30000000000001"/>
    <n v="121"/>
    <n v="130.4"/>
    <n v="139.80000000000001"/>
    <n v="128.19999999999999"/>
    <n v="130.30000000000001"/>
    <n v="135.57083333333335"/>
    <n v="136.5"/>
  </r>
  <r>
    <x v="0"/>
    <x v="5"/>
    <s v="April"/>
    <n v="137.1"/>
    <n v="144.5"/>
    <n v="135.9"/>
    <n v="142.4"/>
    <n v="123.5"/>
    <n v="156.4"/>
    <n v="135.1"/>
    <n v="128.4"/>
    <n v="115.2"/>
    <n v="137.19999999999999"/>
    <n v="131.9"/>
    <n v="153.80000000000001"/>
    <n v="156.1"/>
    <n v="150.1"/>
    <n v="143.30000000000001"/>
    <s v="NA"/>
    <n v="143.80000000000001"/>
    <n v="140.9"/>
    <n v="137.6"/>
    <n v="125.3"/>
    <n v="136"/>
    <n v="143.69999999999999"/>
    <n v="130.4"/>
    <n v="134.19999999999999"/>
    <n v="138.38260869565218"/>
    <n v="139.1"/>
  </r>
  <r>
    <x v="1"/>
    <x v="5"/>
    <s v="April"/>
    <n v="135"/>
    <n v="144.30000000000001"/>
    <n v="130.80000000000001"/>
    <n v="140.30000000000001"/>
    <n v="116.6"/>
    <n v="150.1"/>
    <n v="127.6"/>
    <n v="114"/>
    <n v="110.6"/>
    <n v="140.19999999999999"/>
    <n v="126.5"/>
    <n v="148.30000000000001"/>
    <n v="159.19999999999999"/>
    <n v="137.80000000000001"/>
    <n v="127.4"/>
    <n v="142.9"/>
    <n v="124.6"/>
    <n v="131.80000000000001"/>
    <n v="131.30000000000001"/>
    <n v="118.9"/>
    <n v="127.6"/>
    <n v="139.69999999999999"/>
    <n v="127.6"/>
    <n v="128.19999999999999"/>
    <n v="132.55416666666667"/>
    <n v="134.80000000000001"/>
  </r>
  <r>
    <x v="2"/>
    <x v="5"/>
    <s v="April"/>
    <n v="136.4"/>
    <n v="144.4"/>
    <n v="133.9"/>
    <n v="141.6"/>
    <n v="121"/>
    <n v="153.5"/>
    <n v="132.6"/>
    <n v="123.5"/>
    <n v="113.7"/>
    <n v="138.19999999999999"/>
    <n v="129.6"/>
    <n v="151.19999999999999"/>
    <n v="156.9"/>
    <n v="145.30000000000001"/>
    <n v="136.69999999999999"/>
    <n v="142.9"/>
    <n v="136.5"/>
    <n v="136.6"/>
    <n v="135.19999999999999"/>
    <n v="121.9"/>
    <n v="131.30000000000001"/>
    <n v="141.4"/>
    <n v="129.19999999999999"/>
    <n v="131.30000000000001"/>
    <n v="136.03333333333333"/>
    <n v="137.1"/>
  </r>
  <r>
    <x v="0"/>
    <x v="5"/>
    <s v="May"/>
    <n v="137.4"/>
    <n v="145.69999999999999"/>
    <n v="135.5"/>
    <n v="142.9"/>
    <n v="123.6"/>
    <n v="157.5"/>
    <n v="137.80000000000001"/>
    <n v="127.2"/>
    <n v="111.8"/>
    <n v="137.4"/>
    <n v="132.19999999999999"/>
    <n v="154.30000000000001"/>
    <n v="157"/>
    <n v="150.80000000000001"/>
    <n v="144.1"/>
    <s v="NA"/>
    <n v="144.30000000000001"/>
    <n v="141.80000000000001"/>
    <n v="138.4"/>
    <n v="126.4"/>
    <n v="136.80000000000001"/>
    <n v="144.4"/>
    <n v="131.19999999999999"/>
    <n v="135.1"/>
    <n v="138.85217391304352"/>
    <n v="139.80000000000001"/>
  </r>
  <r>
    <x v="1"/>
    <x v="5"/>
    <s v="May"/>
    <n v="135"/>
    <n v="148.19999999999999"/>
    <n v="130.5"/>
    <n v="140.69999999999999"/>
    <n v="116.4"/>
    <n v="151.30000000000001"/>
    <n v="131.4"/>
    <n v="112.8"/>
    <n v="105.3"/>
    <n v="139.6"/>
    <n v="126.6"/>
    <n v="148.69999999999999"/>
    <n v="160.30000000000001"/>
    <n v="138.6"/>
    <n v="127.9"/>
    <n v="143.19999999999999"/>
    <n v="124.7"/>
    <n v="132.5"/>
    <n v="132"/>
    <n v="119.8"/>
    <n v="128"/>
    <n v="140.4"/>
    <n v="128.1"/>
    <n v="128.9"/>
    <n v="132.95416666666665"/>
    <n v="135.4"/>
  </r>
  <r>
    <x v="2"/>
    <x v="5"/>
    <s v="May"/>
    <n v="136.6"/>
    <n v="146.6"/>
    <n v="133.6"/>
    <n v="142.1"/>
    <n v="121"/>
    <n v="154.6"/>
    <n v="135.6"/>
    <n v="122.3"/>
    <n v="109.6"/>
    <n v="138.1"/>
    <n v="129.9"/>
    <n v="151.69999999999999"/>
    <n v="157.9"/>
    <n v="146"/>
    <n v="137.4"/>
    <n v="143.19999999999999"/>
    <n v="136.9"/>
    <n v="137.4"/>
    <n v="136"/>
    <n v="122.9"/>
    <n v="131.80000000000001"/>
    <n v="142.1"/>
    <n v="129.9"/>
    <n v="132.1"/>
    <n v="136.47083333333333"/>
    <n v="137.80000000000001"/>
  </r>
  <r>
    <x v="0"/>
    <x v="5"/>
    <s v="June"/>
    <n v="137.6"/>
    <n v="148.1"/>
    <n v="136.69999999999999"/>
    <n v="143.19999999999999"/>
    <n v="124"/>
    <n v="154.1"/>
    <n v="143.5"/>
    <n v="126"/>
    <n v="112.4"/>
    <n v="137.6"/>
    <n v="132.80000000000001"/>
    <n v="154.30000000000001"/>
    <n v="157.30000000000001"/>
    <n v="151.30000000000001"/>
    <n v="144.69999999999999"/>
    <s v="NA"/>
    <n v="145.1"/>
    <n v="142.19999999999999"/>
    <n v="138.4"/>
    <n v="127.4"/>
    <n v="137.80000000000001"/>
    <n v="145.1"/>
    <n v="131.4"/>
    <n v="135.6"/>
    <n v="139.4173913043478"/>
    <n v="140.5"/>
  </r>
  <r>
    <x v="1"/>
    <x v="5"/>
    <s v="June"/>
    <n v="135.30000000000001"/>
    <n v="149.69999999999999"/>
    <n v="133.9"/>
    <n v="140.80000000000001"/>
    <n v="116.6"/>
    <n v="152.19999999999999"/>
    <n v="144"/>
    <n v="112.3"/>
    <n v="108.4"/>
    <n v="140"/>
    <n v="126.7"/>
    <n v="149"/>
    <n v="161"/>
    <n v="138.9"/>
    <n v="128.69999999999999"/>
    <n v="142.5"/>
    <n v="126.5"/>
    <n v="133.1"/>
    <n v="132.6"/>
    <n v="120.4"/>
    <n v="128.5"/>
    <n v="141.19999999999999"/>
    <n v="128.19999999999999"/>
    <n v="129.5"/>
    <n v="134.16666666666666"/>
    <n v="136.19999999999999"/>
  </r>
  <r>
    <x v="2"/>
    <x v="5"/>
    <s v="June"/>
    <n v="136.9"/>
    <n v="148.69999999999999"/>
    <n v="135.6"/>
    <n v="142.30000000000001"/>
    <n v="121.3"/>
    <n v="153.19999999999999"/>
    <n v="143.69999999999999"/>
    <n v="121.4"/>
    <n v="111.1"/>
    <n v="138.4"/>
    <n v="130.30000000000001"/>
    <n v="151.80000000000001"/>
    <n v="158.30000000000001"/>
    <n v="146.4"/>
    <n v="138.1"/>
    <n v="142.5"/>
    <n v="138.1"/>
    <n v="137.9"/>
    <n v="136.19999999999999"/>
    <n v="123.7"/>
    <n v="132.6"/>
    <n v="142.80000000000001"/>
    <n v="130.1"/>
    <n v="132.6"/>
    <n v="137.24999999999997"/>
    <n v="138.5"/>
  </r>
  <r>
    <x v="0"/>
    <x v="5"/>
    <s v="July"/>
    <n v="138.4"/>
    <n v="149.30000000000001"/>
    <n v="139.30000000000001"/>
    <n v="143.4"/>
    <n v="124.1"/>
    <n v="153.30000000000001"/>
    <n v="154.19999999999999"/>
    <n v="126.4"/>
    <n v="114.3"/>
    <n v="138.19999999999999"/>
    <n v="132.80000000000001"/>
    <n v="154.80000000000001"/>
    <n v="156.1"/>
    <n v="151.5"/>
    <n v="145.1"/>
    <s v="NA"/>
    <n v="146.80000000000001"/>
    <n v="143.1"/>
    <n v="139"/>
    <n v="127.5"/>
    <n v="138.4"/>
    <n v="145.80000000000001"/>
    <n v="131.4"/>
    <n v="136"/>
    <n v="140.40000000000003"/>
    <n v="141.80000000000001"/>
  </r>
  <r>
    <x v="1"/>
    <x v="5"/>
    <s v="July"/>
    <n v="135.6"/>
    <n v="148.6"/>
    <n v="139.1"/>
    <n v="141"/>
    <n v="116.7"/>
    <n v="149.69999999999999"/>
    <n v="159.19999999999999"/>
    <n v="112.6"/>
    <n v="111.8"/>
    <n v="140.30000000000001"/>
    <n v="126.8"/>
    <n v="149.4"/>
    <n v="161.4"/>
    <n v="139.6"/>
    <n v="128.9"/>
    <n v="143.6"/>
    <n v="128.1"/>
    <n v="133.6"/>
    <n v="133.6"/>
    <n v="120.1"/>
    <n v="129"/>
    <n v="144"/>
    <n v="128.19999999999999"/>
    <n v="130.19999999999999"/>
    <n v="135.46249999999995"/>
    <n v="137.5"/>
  </r>
  <r>
    <x v="2"/>
    <x v="5"/>
    <s v="July"/>
    <n v="137.5"/>
    <n v="149.1"/>
    <n v="139.19999999999999"/>
    <n v="142.5"/>
    <n v="121.4"/>
    <n v="151.6"/>
    <n v="155.9"/>
    <n v="121.7"/>
    <n v="113.5"/>
    <n v="138.9"/>
    <n v="130.30000000000001"/>
    <n v="152.30000000000001"/>
    <n v="157.5"/>
    <n v="146.80000000000001"/>
    <n v="138.4"/>
    <n v="143.6"/>
    <n v="139.69999999999999"/>
    <n v="138.6"/>
    <n v="137"/>
    <n v="123.6"/>
    <n v="133.1"/>
    <n v="144.69999999999999"/>
    <n v="130.1"/>
    <n v="133.19999999999999"/>
    <n v="138.34166666666661"/>
    <n v="139.80000000000001"/>
  </r>
  <r>
    <x v="0"/>
    <x v="5"/>
    <s v="August"/>
    <n v="139.19999999999999"/>
    <n v="148.80000000000001"/>
    <n v="139.1"/>
    <n v="143.5"/>
    <n v="125"/>
    <n v="154.4"/>
    <n v="156.30000000000001"/>
    <n v="126.8"/>
    <n v="115.4"/>
    <n v="138.6"/>
    <n v="133.80000000000001"/>
    <n v="155.19999999999999"/>
    <n v="156.4"/>
    <n v="152.1"/>
    <n v="145.80000000000001"/>
    <s v="NA"/>
    <n v="147.69999999999999"/>
    <n v="143.80000000000001"/>
    <n v="139.4"/>
    <n v="128.30000000000001"/>
    <n v="138.6"/>
    <n v="146.9"/>
    <n v="131.30000000000001"/>
    <n v="136.6"/>
    <n v="141.00000000000003"/>
    <n v="142.5"/>
  </r>
  <r>
    <x v="1"/>
    <x v="5"/>
    <s v="August"/>
    <n v="136.5"/>
    <n v="146.4"/>
    <n v="136.6"/>
    <n v="141.19999999999999"/>
    <n v="117.4"/>
    <n v="146.30000000000001"/>
    <n v="157.30000000000001"/>
    <n v="113.6"/>
    <n v="113.3"/>
    <n v="141.1"/>
    <n v="127.4"/>
    <n v="150.4"/>
    <n v="162.1"/>
    <n v="140"/>
    <n v="129"/>
    <n v="144.6"/>
    <n v="129.80000000000001"/>
    <n v="134.4"/>
    <n v="134.9"/>
    <n v="120.7"/>
    <n v="129.80000000000001"/>
    <n v="145.30000000000001"/>
    <n v="128.30000000000001"/>
    <n v="131"/>
    <n v="135.72500000000002"/>
    <n v="138"/>
  </r>
  <r>
    <x v="2"/>
    <x v="5"/>
    <s v="August"/>
    <n v="138.30000000000001"/>
    <n v="148"/>
    <n v="138.1"/>
    <n v="142.6"/>
    <n v="122.2"/>
    <n v="150.6"/>
    <n v="156.6"/>
    <n v="122.4"/>
    <n v="114.7"/>
    <n v="139.4"/>
    <n v="131.1"/>
    <n v="153"/>
    <n v="157.9"/>
    <n v="147.30000000000001"/>
    <n v="138.80000000000001"/>
    <n v="144.6"/>
    <n v="140.9"/>
    <n v="139.4"/>
    <n v="137.69999999999999"/>
    <n v="124.3"/>
    <n v="133.6"/>
    <n v="146"/>
    <n v="130.1"/>
    <n v="133.9"/>
    <n v="138.81250000000003"/>
    <n v="140.4"/>
  </r>
  <r>
    <x v="0"/>
    <x v="5"/>
    <s v="September"/>
    <n v="139.4"/>
    <n v="147.19999999999999"/>
    <n v="136.6"/>
    <n v="143.69999999999999"/>
    <n v="124.6"/>
    <n v="150.1"/>
    <n v="149.4"/>
    <n v="125.4"/>
    <n v="114.4"/>
    <n v="138.69999999999999"/>
    <n v="133.1"/>
    <n v="155.9"/>
    <n v="157.69999999999999"/>
    <n v="152.1"/>
    <n v="146.1"/>
    <s v="NA"/>
    <n v="149"/>
    <n v="144"/>
    <n v="140"/>
    <n v="129.9"/>
    <n v="140"/>
    <n v="147.6"/>
    <n v="132"/>
    <n v="137.4"/>
    <n v="140.6217391304348"/>
    <n v="142.1"/>
  </r>
  <r>
    <x v="1"/>
    <x v="5"/>
    <s v="September"/>
    <n v="137"/>
    <n v="143.1"/>
    <n v="132.80000000000001"/>
    <n v="141.5"/>
    <n v="117.8"/>
    <n v="140"/>
    <n v="151.30000000000001"/>
    <n v="113.5"/>
    <n v="112.3"/>
    <n v="141.19999999999999"/>
    <n v="127.7"/>
    <n v="151.30000000000001"/>
    <n v="163.30000000000001"/>
    <n v="140.80000000000001"/>
    <n v="129.30000000000001"/>
    <n v="145.30000000000001"/>
    <n v="131.19999999999999"/>
    <n v="134.9"/>
    <n v="135.69999999999999"/>
    <n v="122.5"/>
    <n v="130.19999999999999"/>
    <n v="145.19999999999999"/>
    <n v="129.30000000000001"/>
    <n v="131.9"/>
    <n v="135.37916666666663"/>
    <n v="138.1"/>
  </r>
  <r>
    <x v="2"/>
    <x v="5"/>
    <s v="September"/>
    <n v="138.6"/>
    <n v="145.80000000000001"/>
    <n v="135.1"/>
    <n v="142.9"/>
    <n v="122.1"/>
    <n v="145.4"/>
    <n v="150"/>
    <n v="121.4"/>
    <n v="113.7"/>
    <n v="139.5"/>
    <n v="130.80000000000001"/>
    <n v="153.80000000000001"/>
    <n v="159.19999999999999"/>
    <n v="147.69999999999999"/>
    <n v="139.1"/>
    <n v="145.30000000000001"/>
    <n v="142.30000000000001"/>
    <n v="139.69999999999999"/>
    <n v="138.4"/>
    <n v="126"/>
    <n v="134.5"/>
    <n v="146.19999999999999"/>
    <n v="130.9"/>
    <n v="134.69999999999999"/>
    <n v="138.46250000000001"/>
    <n v="140.19999999999999"/>
  </r>
  <r>
    <x v="0"/>
    <x v="5"/>
    <s v="October"/>
    <n v="139.30000000000001"/>
    <n v="147.6"/>
    <n v="134.6"/>
    <n v="141.9"/>
    <n v="123.5"/>
    <n v="144.5"/>
    <n v="147.6"/>
    <n v="121.4"/>
    <n v="112.3"/>
    <n v="139.5"/>
    <n v="134.6"/>
    <n v="155.19999999999999"/>
    <n v="159.6"/>
    <n v="150.69999999999999"/>
    <n v="144.5"/>
    <s v="NA"/>
    <n v="149.69999999999999"/>
    <n v="147.5"/>
    <n v="144.80000000000001"/>
    <n v="130.80000000000001"/>
    <n v="140.1"/>
    <n v="148"/>
    <n v="134.4"/>
    <n v="139.80000000000001"/>
    <n v="140.51739130434785"/>
    <n v="142.19999999999999"/>
  </r>
  <r>
    <x v="1"/>
    <x v="5"/>
    <s v="October"/>
    <n v="137.6"/>
    <n v="144.9"/>
    <n v="133.5"/>
    <n v="141.5"/>
    <n v="118"/>
    <n v="139.5"/>
    <n v="153"/>
    <n v="113.2"/>
    <n v="112.8"/>
    <n v="141.1"/>
    <n v="127.6"/>
    <n v="152"/>
    <n v="164"/>
    <n v="141.5"/>
    <n v="129.80000000000001"/>
    <n v="146.30000000000001"/>
    <n v="133.4"/>
    <n v="135.1"/>
    <n v="136.19999999999999"/>
    <n v="123.3"/>
    <n v="130.69999999999999"/>
    <n v="145.5"/>
    <n v="130.4"/>
    <n v="132.5"/>
    <n v="135.97499999999999"/>
    <n v="138.9"/>
  </r>
  <r>
    <x v="2"/>
    <x v="5"/>
    <s v="October"/>
    <n v="137.4"/>
    <n v="149.5"/>
    <n v="137.30000000000001"/>
    <n v="141.9"/>
    <n v="121.1"/>
    <n v="142.5"/>
    <n v="146.69999999999999"/>
    <n v="119.1"/>
    <n v="111.9"/>
    <n v="141"/>
    <n v="133.6"/>
    <n v="154.5"/>
    <n v="162.6"/>
    <n v="148"/>
    <n v="139.19999999999999"/>
    <n v="146.9"/>
    <n v="145.30000000000001"/>
    <n v="142.19999999999999"/>
    <n v="142.1"/>
    <n v="125.5"/>
    <n v="136.5"/>
    <n v="147.80000000000001"/>
    <n v="132"/>
    <n v="136.30000000000001"/>
    <n v="139.20416666666668"/>
    <n v="140.80000000000001"/>
  </r>
  <r>
    <x v="0"/>
    <x v="5"/>
    <s v="November"/>
    <n v="137.1"/>
    <n v="150.80000000000001"/>
    <n v="136.69999999999999"/>
    <n v="141.9"/>
    <n v="122.8"/>
    <n v="143.9"/>
    <n v="147.5"/>
    <n v="121"/>
    <n v="111.6"/>
    <n v="140.6"/>
    <n v="137.5"/>
    <n v="156.1"/>
    <n v="161.9"/>
    <n v="151.69999999999999"/>
    <n v="145.5"/>
    <s v="NA"/>
    <n v="150.30000000000001"/>
    <n v="148"/>
    <n v="145.4"/>
    <n v="130.30000000000001"/>
    <n v="143.1"/>
    <n v="150.19999999999999"/>
    <n v="133.1"/>
    <n v="140.1"/>
    <n v="141.17826086956521"/>
    <n v="142.4"/>
  </r>
  <r>
    <x v="1"/>
    <x v="5"/>
    <s v="November"/>
    <n v="138.1"/>
    <n v="146.30000000000001"/>
    <n v="137.80000000000001"/>
    <n v="141.6"/>
    <n v="118.1"/>
    <n v="141.5"/>
    <n v="145.19999999999999"/>
    <n v="115.3"/>
    <n v="112.5"/>
    <n v="141.4"/>
    <n v="128"/>
    <n v="152.6"/>
    <n v="164.4"/>
    <n v="142.4"/>
    <n v="130.19999999999999"/>
    <n v="146.9"/>
    <n v="136.69999999999999"/>
    <n v="135.80000000000001"/>
    <n v="136.80000000000001"/>
    <n v="121.2"/>
    <n v="131.30000000000001"/>
    <n v="146.1"/>
    <n v="130.5"/>
    <n v="132.19999999999999"/>
    <n v="136.37083333333334"/>
    <n v="139"/>
  </r>
  <r>
    <x v="2"/>
    <x v="5"/>
    <s v="November"/>
    <n v="137.4"/>
    <n v="149.19999999999999"/>
    <n v="137.1"/>
    <n v="141.80000000000001"/>
    <n v="121.1"/>
    <n v="142.80000000000001"/>
    <n v="146.69999999999999"/>
    <n v="119.1"/>
    <n v="111.9"/>
    <n v="140.9"/>
    <n v="133.5"/>
    <n v="154.5"/>
    <n v="162.6"/>
    <n v="148"/>
    <n v="139.1"/>
    <n v="146.9"/>
    <n v="145.1"/>
    <n v="142.19999999999999"/>
    <n v="142.1"/>
    <n v="125.5"/>
    <n v="136.5"/>
    <n v="147.80000000000001"/>
    <n v="132"/>
    <n v="136.30000000000001"/>
    <n v="139.17083333333335"/>
    <n v="140.80000000000001"/>
  </r>
  <r>
    <x v="0"/>
    <x v="5"/>
    <s v="December"/>
    <n v="137.1"/>
    <n v="151.9"/>
    <n v="137.4"/>
    <n v="142.4"/>
    <n v="124.2"/>
    <n v="140.19999999999999"/>
    <n v="136.6"/>
    <n v="120.9"/>
    <n v="109.9"/>
    <n v="140.19999999999999"/>
    <n v="137.80000000000001"/>
    <n v="156"/>
    <n v="162.4"/>
    <n v="151.6"/>
    <n v="145.9"/>
    <s v="NA"/>
    <n v="149"/>
    <n v="149.5"/>
    <n v="149.6"/>
    <n v="128.9"/>
    <n v="143.30000000000001"/>
    <n v="155.1"/>
    <n v="133.19999999999999"/>
    <n v="141.6"/>
    <n v="141.07391304347826"/>
    <n v="141.9"/>
  </r>
  <r>
    <x v="1"/>
    <x v="5"/>
    <s v="December"/>
    <n v="138.5"/>
    <n v="147.80000000000001"/>
    <n v="141.1"/>
    <n v="141.6"/>
    <n v="118.1"/>
    <n v="138.5"/>
    <n v="132.4"/>
    <n v="117.5"/>
    <n v="111"/>
    <n v="141.5"/>
    <n v="128.1"/>
    <n v="152.9"/>
    <n v="164.6"/>
    <n v="142.69999999999999"/>
    <n v="130.30000000000001"/>
    <n v="146.5"/>
    <n v="132.4"/>
    <n v="136.19999999999999"/>
    <n v="137.30000000000001"/>
    <n v="118.8"/>
    <n v="131.69999999999999"/>
    <n v="146.5"/>
    <n v="130.80000000000001"/>
    <n v="131.69999999999999"/>
    <n v="135.77083333333334"/>
    <n v="138"/>
  </r>
  <r>
    <x v="2"/>
    <x v="5"/>
    <s v="December"/>
    <n v="137.5"/>
    <n v="150.5"/>
    <n v="138.80000000000001"/>
    <n v="142.1"/>
    <n v="122"/>
    <n v="139.4"/>
    <n v="135.19999999999999"/>
    <n v="119.8"/>
    <n v="110.3"/>
    <n v="140.6"/>
    <n v="133.80000000000001"/>
    <n v="154.6"/>
    <n v="163"/>
    <n v="148.1"/>
    <n v="139.4"/>
    <n v="146.5"/>
    <n v="142.69999999999999"/>
    <n v="143.19999999999999"/>
    <n v="144.9"/>
    <n v="123.6"/>
    <n v="136.80000000000001"/>
    <n v="150.1"/>
    <n v="132.19999999999999"/>
    <n v="136.80000000000001"/>
    <n v="138.82916666666662"/>
    <n v="140.1"/>
  </r>
  <r>
    <x v="0"/>
    <x v="6"/>
    <s v="January"/>
    <n v="136.6"/>
    <n v="152.5"/>
    <n v="138.19999999999999"/>
    <n v="142.4"/>
    <n v="123.9"/>
    <n v="135.5"/>
    <n v="131.69999999999999"/>
    <n v="121.3"/>
    <n v="108.4"/>
    <n v="138.9"/>
    <n v="137"/>
    <n v="155.80000000000001"/>
    <n v="162.69999999999999"/>
    <n v="150.6"/>
    <n v="145.1"/>
    <s v="NA"/>
    <n v="146.19999999999999"/>
    <n v="150.1"/>
    <n v="149.6"/>
    <n v="128.6"/>
    <n v="142.9"/>
    <n v="155.19999999999999"/>
    <n v="133.5"/>
    <n v="141.69999999999999"/>
    <n v="140.3652173913043"/>
    <n v="141"/>
  </r>
  <r>
    <x v="1"/>
    <x v="6"/>
    <s v="January"/>
    <n v="138.30000000000001"/>
    <n v="149.4"/>
    <n v="143.5"/>
    <n v="141.69999999999999"/>
    <n v="118.1"/>
    <n v="135.19999999999999"/>
    <n v="130.5"/>
    <n v="118.2"/>
    <n v="110.4"/>
    <n v="140.4"/>
    <n v="128.1"/>
    <n v="153.19999999999999"/>
    <n v="164.7"/>
    <n v="143"/>
    <n v="130.4"/>
    <n v="147.69999999999999"/>
    <n v="128.6"/>
    <n v="136.30000000000001"/>
    <n v="137.80000000000001"/>
    <n v="118.6"/>
    <n v="131.9"/>
    <n v="146.6"/>
    <n v="131.69999999999999"/>
    <n v="131.80000000000001"/>
    <n v="135.67083333333335"/>
    <n v="138"/>
  </r>
  <r>
    <x v="2"/>
    <x v="6"/>
    <s v="January"/>
    <n v="137.1"/>
    <n v="151.4"/>
    <n v="140.19999999999999"/>
    <n v="142.1"/>
    <n v="121.8"/>
    <n v="135.4"/>
    <n v="131.30000000000001"/>
    <n v="120.3"/>
    <n v="109.1"/>
    <n v="139.4"/>
    <n v="133.30000000000001"/>
    <n v="154.6"/>
    <n v="163.19999999999999"/>
    <n v="147.6"/>
    <n v="139"/>
    <n v="147.69999999999999"/>
    <n v="139.5"/>
    <n v="143.6"/>
    <n v="145.1"/>
    <n v="123.3"/>
    <n v="136.69999999999999"/>
    <n v="150.19999999999999"/>
    <n v="132.80000000000001"/>
    <n v="136.9"/>
    <n v="138.39999999999998"/>
    <n v="139.6"/>
  </r>
  <r>
    <x v="0"/>
    <x v="6"/>
    <s v="February"/>
    <n v="136.80000000000001"/>
    <n v="153"/>
    <n v="139.1"/>
    <n v="142.5"/>
    <n v="124.1"/>
    <n v="135.80000000000001"/>
    <n v="128.69999999999999"/>
    <n v="121.5"/>
    <n v="108.3"/>
    <n v="139.19999999999999"/>
    <n v="137.4"/>
    <n v="156.19999999999999"/>
    <n v="162.80000000000001"/>
    <n v="150.5"/>
    <n v="146.1"/>
    <s v="NA"/>
    <n v="145.30000000000001"/>
    <n v="150.1"/>
    <n v="149.9"/>
    <n v="129.19999999999999"/>
    <n v="143.4"/>
    <n v="155.5"/>
    <n v="134.9"/>
    <n v="142.19999999999999"/>
    <n v="140.54347826086956"/>
    <n v="141"/>
  </r>
  <r>
    <x v="1"/>
    <x v="6"/>
    <s v="February"/>
    <n v="139.4"/>
    <n v="150.1"/>
    <n v="145.30000000000001"/>
    <n v="141.69999999999999"/>
    <n v="118.4"/>
    <n v="137"/>
    <n v="131.6"/>
    <n v="119.9"/>
    <n v="110.4"/>
    <n v="140.80000000000001"/>
    <n v="128.30000000000001"/>
    <n v="153.5"/>
    <n v="164.9"/>
    <n v="143.30000000000001"/>
    <n v="130.80000000000001"/>
    <n v="148.5"/>
    <n v="127.1"/>
    <n v="136.6"/>
    <n v="138.5"/>
    <n v="119.2"/>
    <n v="132.19999999999999"/>
    <n v="146.6"/>
    <n v="133"/>
    <n v="132.4"/>
    <n v="136.22916666666666"/>
    <n v="138.6"/>
  </r>
  <r>
    <x v="2"/>
    <x v="6"/>
    <s v="February"/>
    <n v="137.6"/>
    <n v="152"/>
    <n v="141.5"/>
    <n v="142.19999999999999"/>
    <n v="122"/>
    <n v="136.4"/>
    <n v="129.69999999999999"/>
    <n v="121"/>
    <n v="109"/>
    <n v="139.69999999999999"/>
    <n v="133.6"/>
    <n v="154.9"/>
    <n v="163.4"/>
    <n v="147.69999999999999"/>
    <n v="139.69999999999999"/>
    <n v="148.5"/>
    <n v="138.4"/>
    <n v="143.69999999999999"/>
    <n v="145.6"/>
    <n v="123.9"/>
    <n v="137.1"/>
    <n v="150.30000000000001"/>
    <n v="134.1"/>
    <n v="137.4"/>
    <n v="138.72499999999999"/>
    <n v="139.9"/>
  </r>
  <r>
    <x v="0"/>
    <x v="6"/>
    <s v="March"/>
    <n v="136.9"/>
    <n v="154.1"/>
    <n v="138.69999999999999"/>
    <n v="142.5"/>
    <n v="124.1"/>
    <n v="136.1"/>
    <n v="128.19999999999999"/>
    <n v="122.3"/>
    <n v="108.3"/>
    <n v="138.9"/>
    <n v="137.4"/>
    <n v="156.4"/>
    <n v="162.9"/>
    <n v="150.80000000000001"/>
    <n v="146.1"/>
    <s v="NA"/>
    <n v="146.4"/>
    <n v="150"/>
    <n v="150.4"/>
    <n v="129.9"/>
    <n v="143.80000000000001"/>
    <n v="155.5"/>
    <n v="134"/>
    <n v="142.4"/>
    <n v="140.70000000000005"/>
    <n v="141.19999999999999"/>
  </r>
  <r>
    <x v="1"/>
    <x v="6"/>
    <s v="March"/>
    <n v="139.69999999999999"/>
    <n v="151.1"/>
    <n v="142.9"/>
    <n v="141.9"/>
    <n v="118.4"/>
    <n v="139.4"/>
    <n v="141.19999999999999"/>
    <n v="120.7"/>
    <n v="110.4"/>
    <n v="140.69999999999999"/>
    <n v="128.5"/>
    <n v="153.9"/>
    <n v="165.3"/>
    <n v="143.5"/>
    <n v="131.19999999999999"/>
    <n v="149"/>
    <n v="128.80000000000001"/>
    <n v="136.80000000000001"/>
    <n v="139.19999999999999"/>
    <n v="119.9"/>
    <n v="133"/>
    <n v="146.69999999999999"/>
    <n v="132.5"/>
    <n v="132.80000000000001"/>
    <n v="136.97916666666669"/>
    <n v="139.5"/>
  </r>
  <r>
    <x v="2"/>
    <x v="6"/>
    <s v="March"/>
    <n v="137.80000000000001"/>
    <n v="153"/>
    <n v="140.30000000000001"/>
    <n v="142.30000000000001"/>
    <n v="122"/>
    <n v="137.6"/>
    <n v="132.6"/>
    <n v="121.8"/>
    <n v="109"/>
    <n v="139.5"/>
    <n v="133.69999999999999"/>
    <n v="155.19999999999999"/>
    <n v="163.5"/>
    <n v="147.9"/>
    <n v="139.9"/>
    <n v="149"/>
    <n v="139.69999999999999"/>
    <n v="143.80000000000001"/>
    <n v="146.19999999999999"/>
    <n v="124.6"/>
    <n v="137.69999999999999"/>
    <n v="150.30000000000001"/>
    <n v="133.4"/>
    <n v="137.69999999999999"/>
    <n v="139.10416666666666"/>
    <n v="140.4"/>
  </r>
  <r>
    <x v="0"/>
    <x v="6"/>
    <s v="May"/>
    <n v="137.4"/>
    <n v="159.5"/>
    <n v="134.5"/>
    <n v="142.6"/>
    <n v="124"/>
    <n v="143.69999999999999"/>
    <n v="133.4"/>
    <n v="125.1"/>
    <n v="109.3"/>
    <n v="139.30000000000001"/>
    <n v="137.69999999999999"/>
    <n v="156.4"/>
    <n v="163.30000000000001"/>
    <n v="151.30000000000001"/>
    <n v="146.6"/>
    <s v="NA"/>
    <n v="146.9"/>
    <n v="149.5"/>
    <n v="151.30000000000001"/>
    <n v="130.19999999999999"/>
    <n v="145.9"/>
    <n v="156.69999999999999"/>
    <n v="133.9"/>
    <n v="142.9"/>
    <n v="141.80000000000001"/>
    <n v="142.4"/>
  </r>
  <r>
    <x v="1"/>
    <x v="6"/>
    <s v="May"/>
    <n v="140.4"/>
    <n v="156.69999999999999"/>
    <n v="138.30000000000001"/>
    <n v="142.4"/>
    <n v="118.6"/>
    <n v="149.69999999999999"/>
    <n v="161.6"/>
    <n v="124.4"/>
    <n v="111.2"/>
    <n v="141"/>
    <n v="128.9"/>
    <n v="154.5"/>
    <n v="166.2"/>
    <n v="144"/>
    <n v="131.69999999999999"/>
    <n v="150.1"/>
    <n v="129.4"/>
    <n v="137.19999999999999"/>
    <n v="139.80000000000001"/>
    <n v="120.1"/>
    <n v="134"/>
    <n v="148"/>
    <n v="132.6"/>
    <n v="133.30000000000001"/>
    <n v="138.92083333333335"/>
    <n v="141.5"/>
  </r>
  <r>
    <x v="2"/>
    <x v="6"/>
    <s v="May"/>
    <n v="138.30000000000001"/>
    <n v="158.5"/>
    <n v="136"/>
    <n v="142.5"/>
    <n v="122"/>
    <n v="146.5"/>
    <n v="143"/>
    <n v="124.9"/>
    <n v="109.9"/>
    <n v="139.9"/>
    <n v="134"/>
    <n v="155.5"/>
    <n v="164.1"/>
    <n v="148.4"/>
    <n v="140.4"/>
    <n v="150.1"/>
    <n v="140.30000000000001"/>
    <n v="143.69999999999999"/>
    <n v="146.9"/>
    <n v="124.9"/>
    <n v="139.19999999999999"/>
    <n v="151.6"/>
    <n v="133.4"/>
    <n v="138.19999999999999"/>
    <n v="140.50833333333333"/>
    <n v="142"/>
  </r>
  <r>
    <x v="0"/>
    <x v="6"/>
    <s v="June"/>
    <n v="137.80000000000001"/>
    <n v="163.5"/>
    <n v="136.19999999999999"/>
    <n v="143.19999999999999"/>
    <n v="124.3"/>
    <n v="143.30000000000001"/>
    <n v="140.6"/>
    <n v="128.69999999999999"/>
    <n v="110.6"/>
    <n v="140.4"/>
    <n v="138"/>
    <n v="156.6"/>
    <n v="164.2"/>
    <n v="151.4"/>
    <n v="146.5"/>
    <s v="NA"/>
    <n v="147.80000000000001"/>
    <n v="149.6"/>
    <n v="151.69999999999999"/>
    <n v="130.19999999999999"/>
    <n v="146.4"/>
    <n v="157.69999999999999"/>
    <n v="134.80000000000001"/>
    <n v="143.30000000000001"/>
    <n v="142.90434782608696"/>
    <n v="143.6"/>
  </r>
  <r>
    <x v="1"/>
    <x v="6"/>
    <s v="June"/>
    <n v="140.69999999999999"/>
    <n v="159.6"/>
    <n v="140.4"/>
    <n v="143.4"/>
    <n v="118.6"/>
    <n v="150.9"/>
    <n v="169.8"/>
    <n v="127.4"/>
    <n v="111.8"/>
    <n v="141"/>
    <n v="129"/>
    <n v="155.1"/>
    <n v="166.7"/>
    <n v="144.30000000000001"/>
    <n v="131.69999999999999"/>
    <n v="149.4"/>
    <n v="130.5"/>
    <n v="137.4"/>
    <n v="140.30000000000001"/>
    <n v="119.6"/>
    <n v="134.30000000000001"/>
    <n v="148.9"/>
    <n v="133.69999999999999"/>
    <n v="133.6"/>
    <n v="139.92083333333332"/>
    <n v="142.1"/>
  </r>
  <r>
    <x v="2"/>
    <x v="6"/>
    <s v="June"/>
    <n v="138.69999999999999"/>
    <n v="162.1"/>
    <n v="137.80000000000001"/>
    <n v="143.30000000000001"/>
    <n v="122.2"/>
    <n v="146.80000000000001"/>
    <n v="150.5"/>
    <n v="128.30000000000001"/>
    <n v="111"/>
    <n v="140.6"/>
    <n v="134.19999999999999"/>
    <n v="155.9"/>
    <n v="164.9"/>
    <n v="148.6"/>
    <n v="140.4"/>
    <n v="149.4"/>
    <n v="141.19999999999999"/>
    <n v="143.80000000000001"/>
    <n v="147.4"/>
    <n v="124.6"/>
    <n v="139.6"/>
    <n v="152.5"/>
    <n v="134.30000000000001"/>
    <n v="138.6"/>
    <n v="141.52916666666667"/>
    <n v="142.9"/>
  </r>
  <r>
    <x v="0"/>
    <x v="6"/>
    <s v="July"/>
    <n v="138.4"/>
    <n v="164"/>
    <n v="138.4"/>
    <n v="143.9"/>
    <n v="124.4"/>
    <n v="146.4"/>
    <n v="150.1"/>
    <n v="130.6"/>
    <n v="110.8"/>
    <n v="141.69999999999999"/>
    <n v="138.5"/>
    <n v="156.69999999999999"/>
    <n v="164.5"/>
    <n v="151.6"/>
    <n v="146.6"/>
    <s v="NA"/>
    <n v="146.80000000000001"/>
    <n v="150"/>
    <n v="152.19999999999999"/>
    <n v="131.19999999999999"/>
    <n v="147.5"/>
    <n v="159.1"/>
    <n v="136.1"/>
    <n v="144.19999999999999"/>
    <n v="144.07391304347823"/>
    <n v="144.9"/>
  </r>
  <r>
    <x v="1"/>
    <x v="6"/>
    <s v="July"/>
    <n v="141.4"/>
    <n v="160.19999999999999"/>
    <n v="142.5"/>
    <n v="144.1"/>
    <n v="119.3"/>
    <n v="154.69999999999999"/>
    <n v="180.1"/>
    <n v="128.9"/>
    <n v="111.8"/>
    <n v="141.6"/>
    <n v="129.5"/>
    <n v="155.6"/>
    <n v="167.2"/>
    <n v="144.69999999999999"/>
    <n v="131.9"/>
    <n v="150.6"/>
    <n v="127"/>
    <n v="137.69999999999999"/>
    <n v="140.80000000000001"/>
    <n v="120.6"/>
    <n v="135"/>
    <n v="150.4"/>
    <n v="135.1"/>
    <n v="134.5"/>
    <n v="141.04999999999998"/>
    <n v="143.30000000000001"/>
  </r>
  <r>
    <x v="2"/>
    <x v="6"/>
    <s v="July"/>
    <n v="139.30000000000001"/>
    <n v="162.69999999999999"/>
    <n v="140"/>
    <n v="144"/>
    <n v="122.5"/>
    <n v="150.30000000000001"/>
    <n v="160.30000000000001"/>
    <n v="130"/>
    <n v="111.1"/>
    <n v="141.69999999999999"/>
    <n v="134.69999999999999"/>
    <n v="156.19999999999999"/>
    <n v="165.2"/>
    <n v="148.9"/>
    <n v="140.5"/>
    <n v="150.6"/>
    <n v="139.30000000000001"/>
    <n v="144.19999999999999"/>
    <n v="147.9"/>
    <n v="125.6"/>
    <n v="140.5"/>
    <n v="154"/>
    <n v="135.69999999999999"/>
    <n v="139.5"/>
    <n v="142.69583333333333"/>
    <n v="144.19999999999999"/>
  </r>
  <r>
    <x v="0"/>
    <x v="6"/>
    <s v="August"/>
    <n v="139.19999999999999"/>
    <n v="161.9"/>
    <n v="137.1"/>
    <n v="144.6"/>
    <n v="124.7"/>
    <n v="145.5"/>
    <n v="156.19999999999999"/>
    <n v="131.5"/>
    <n v="111.7"/>
    <n v="142.69999999999999"/>
    <n v="138.5"/>
    <n v="156.9"/>
    <n v="165.1"/>
    <n v="151.80000000000001"/>
    <n v="146.6"/>
    <s v="NA"/>
    <n v="146.4"/>
    <n v="150.19999999999999"/>
    <n v="152.69999999999999"/>
    <n v="131.4"/>
    <n v="148"/>
    <n v="159.69999999999999"/>
    <n v="138.80000000000001"/>
    <n v="144.9"/>
    <n v="144.61304347826086"/>
    <n v="145.69999999999999"/>
  </r>
  <r>
    <x v="1"/>
    <x v="6"/>
    <s v="August"/>
    <n v="142.1"/>
    <n v="158.30000000000001"/>
    <n v="140.80000000000001"/>
    <n v="144.9"/>
    <n v="119.9"/>
    <n v="153.9"/>
    <n v="189.1"/>
    <n v="129.80000000000001"/>
    <n v="112.7"/>
    <n v="142.5"/>
    <n v="129.80000000000001"/>
    <n v="156.19999999999999"/>
    <n v="167.9"/>
    <n v="145"/>
    <n v="132.19999999999999"/>
    <n v="151.6"/>
    <n v="125.5"/>
    <n v="138.1"/>
    <n v="141.5"/>
    <n v="120.8"/>
    <n v="135.4"/>
    <n v="151.5"/>
    <n v="137.80000000000001"/>
    <n v="135.30000000000001"/>
    <n v="141.77500000000001"/>
    <n v="144.19999999999999"/>
  </r>
  <r>
    <x v="2"/>
    <x v="6"/>
    <s v="August"/>
    <n v="140.1"/>
    <n v="160.6"/>
    <n v="138.5"/>
    <n v="144.69999999999999"/>
    <n v="122.9"/>
    <n v="149.4"/>
    <n v="167.4"/>
    <n v="130.9"/>
    <n v="112"/>
    <n v="142.6"/>
    <n v="134.9"/>
    <n v="156.6"/>
    <n v="165.8"/>
    <n v="149.1"/>
    <n v="140.6"/>
    <n v="151.6"/>
    <n v="138.5"/>
    <n v="144.5"/>
    <n v="148.5"/>
    <n v="125.8"/>
    <n v="140.9"/>
    <n v="154.9"/>
    <n v="138.4"/>
    <n v="140.19999999999999"/>
    <n v="143.30833333333334"/>
    <n v="145"/>
  </r>
  <r>
    <x v="0"/>
    <x v="6"/>
    <s v="September"/>
    <n v="140.1"/>
    <n v="161.9"/>
    <n v="138.30000000000001"/>
    <n v="145.69999999999999"/>
    <n v="125.1"/>
    <n v="143.80000000000001"/>
    <n v="163.4"/>
    <n v="132.19999999999999"/>
    <n v="112.8"/>
    <n v="144.19999999999999"/>
    <n v="138.5"/>
    <n v="157.19999999999999"/>
    <n v="165.7"/>
    <n v="151.69999999999999"/>
    <n v="146.6"/>
    <s v="NA"/>
    <n v="146.9"/>
    <n v="150.30000000000001"/>
    <n v="153.4"/>
    <n v="131.6"/>
    <n v="148.30000000000001"/>
    <n v="160.19999999999999"/>
    <n v="140.19999999999999"/>
    <n v="145.4"/>
    <n v="145.36956521739131"/>
    <n v="146.69999999999999"/>
  </r>
  <r>
    <x v="1"/>
    <x v="6"/>
    <s v="September"/>
    <n v="142.69999999999999"/>
    <n v="158.69999999999999"/>
    <n v="141.6"/>
    <n v="144.9"/>
    <n v="120.8"/>
    <n v="149.80000000000001"/>
    <n v="192.4"/>
    <n v="130.30000000000001"/>
    <n v="114"/>
    <n v="143.80000000000001"/>
    <n v="130"/>
    <n v="156.4"/>
    <n v="168.6"/>
    <n v="145.30000000000001"/>
    <n v="132.19999999999999"/>
    <n v="152.19999999999999"/>
    <n v="126.6"/>
    <n v="138.30000000000001"/>
    <n v="141.9"/>
    <n v="121.2"/>
    <n v="135.9"/>
    <n v="151.6"/>
    <n v="139"/>
    <n v="135.69999999999999"/>
    <n v="142.24583333333331"/>
    <n v="144.69999999999999"/>
  </r>
  <r>
    <x v="2"/>
    <x v="6"/>
    <s v="September"/>
    <n v="140.9"/>
    <n v="160.80000000000001"/>
    <n v="139.6"/>
    <n v="145.4"/>
    <n v="123.5"/>
    <n v="146.6"/>
    <n v="173.2"/>
    <n v="131.6"/>
    <n v="113.2"/>
    <n v="144.1"/>
    <n v="135"/>
    <n v="156.80000000000001"/>
    <n v="166.5"/>
    <n v="149.19999999999999"/>
    <n v="140.6"/>
    <n v="152.19999999999999"/>
    <n v="139.19999999999999"/>
    <n v="144.6"/>
    <n v="149"/>
    <n v="126.1"/>
    <n v="141.30000000000001"/>
    <n v="155.19999999999999"/>
    <n v="139.69999999999999"/>
    <n v="140.69999999999999"/>
    <n v="143.95833333333329"/>
    <n v="145.80000000000001"/>
  </r>
  <r>
    <x v="0"/>
    <x v="6"/>
    <s v="October"/>
    <n v="141"/>
    <n v="161.6"/>
    <n v="141.19999999999999"/>
    <n v="146.5"/>
    <n v="125.6"/>
    <n v="145.69999999999999"/>
    <n v="178.8"/>
    <n v="133.1"/>
    <n v="113.6"/>
    <n v="145.5"/>
    <n v="138.6"/>
    <n v="157.4"/>
    <n v="166.3"/>
    <n v="151.69999999999999"/>
    <n v="146.69999999999999"/>
    <s v="NA"/>
    <n v="147.69999999999999"/>
    <n v="150.6"/>
    <n v="153.69999999999999"/>
    <n v="131.69999999999999"/>
    <n v="148.69999999999999"/>
    <n v="160.69999999999999"/>
    <n v="140.30000000000001"/>
    <n v="145.69999999999999"/>
    <n v="146.62608695652168"/>
    <n v="148.30000000000001"/>
  </r>
  <r>
    <x v="1"/>
    <x v="6"/>
    <s v="October"/>
    <n v="143.5"/>
    <n v="159.80000000000001"/>
    <n v="144.69999999999999"/>
    <n v="145.6"/>
    <n v="121.1"/>
    <n v="150.6"/>
    <n v="207.2"/>
    <n v="131.19999999999999"/>
    <n v="114.8"/>
    <n v="145.19999999999999"/>
    <n v="130.19999999999999"/>
    <n v="156.80000000000001"/>
    <n v="169.3"/>
    <n v="145.9"/>
    <n v="132.4"/>
    <n v="153"/>
    <n v="128.9"/>
    <n v="138.69999999999999"/>
    <n v="142.4"/>
    <n v="121.5"/>
    <n v="136.19999999999999"/>
    <n v="151.69999999999999"/>
    <n v="139.5"/>
    <n v="136"/>
    <n v="143.59166666666667"/>
    <n v="146"/>
  </r>
  <r>
    <x v="2"/>
    <x v="6"/>
    <s v="October"/>
    <n v="141.80000000000001"/>
    <n v="161"/>
    <n v="142.6"/>
    <n v="146.19999999999999"/>
    <n v="123.9"/>
    <n v="148"/>
    <n v="188.4"/>
    <n v="132.5"/>
    <n v="114"/>
    <n v="145.4"/>
    <n v="135.1"/>
    <n v="157.1"/>
    <n v="167.1"/>
    <n v="149.4"/>
    <n v="140.80000000000001"/>
    <n v="153"/>
    <n v="140.6"/>
    <n v="145"/>
    <n v="149.4"/>
    <n v="126.3"/>
    <n v="141.69999999999999"/>
    <n v="155.4"/>
    <n v="140"/>
    <n v="141"/>
    <n v="145.23749999999998"/>
    <n v="147.19999999999999"/>
  </r>
  <r>
    <x v="0"/>
    <x v="6"/>
    <s v="November"/>
    <n v="141.80000000000001"/>
    <n v="163.69999999999999"/>
    <n v="143.80000000000001"/>
    <n v="147.1"/>
    <n v="126"/>
    <n v="146.19999999999999"/>
    <n v="191.4"/>
    <n v="136.19999999999999"/>
    <n v="113.8"/>
    <n v="147.30000000000001"/>
    <n v="138.69999999999999"/>
    <n v="157.69999999999999"/>
    <n v="167.2"/>
    <n v="152.30000000000001"/>
    <n v="147"/>
    <s v="NA"/>
    <n v="148.4"/>
    <n v="150.9"/>
    <n v="154.30000000000001"/>
    <n v="132.1"/>
    <n v="149.1"/>
    <n v="160.80000000000001"/>
    <n v="140.6"/>
    <n v="146.1"/>
    <n v="147.93478260869568"/>
    <n v="149.9"/>
  </r>
  <r>
    <x v="1"/>
    <x v="6"/>
    <s v="November"/>
    <n v="144.1"/>
    <n v="162.4"/>
    <n v="148.4"/>
    <n v="145.9"/>
    <n v="121.5"/>
    <n v="148.80000000000001"/>
    <n v="215.7"/>
    <n v="134.6"/>
    <n v="115"/>
    <n v="146.30000000000001"/>
    <n v="130.5"/>
    <n v="157.19999999999999"/>
    <n v="169.9"/>
    <n v="146.30000000000001"/>
    <n v="132.6"/>
    <n v="153.5"/>
    <n v="132.19999999999999"/>
    <n v="139.1"/>
    <n v="142.80000000000001"/>
    <n v="121.7"/>
    <n v="136.69999999999999"/>
    <n v="151.80000000000001"/>
    <n v="139.80000000000001"/>
    <n v="136.30000000000001"/>
    <n v="144.71250000000001"/>
    <n v="147"/>
  </r>
  <r>
    <x v="2"/>
    <x v="6"/>
    <s v="November"/>
    <n v="142.5"/>
    <n v="163.19999999999999"/>
    <n v="145.6"/>
    <n v="146.69999999999999"/>
    <n v="124.3"/>
    <n v="147.4"/>
    <n v="199.6"/>
    <n v="135.69999999999999"/>
    <n v="114.2"/>
    <n v="147"/>
    <n v="135.30000000000001"/>
    <n v="157.5"/>
    <n v="167.9"/>
    <n v="149.9"/>
    <n v="141"/>
    <n v="153.5"/>
    <n v="142.30000000000001"/>
    <n v="145.30000000000001"/>
    <n v="149.9"/>
    <n v="126.6"/>
    <n v="142.1"/>
    <n v="155.5"/>
    <n v="140.30000000000001"/>
    <n v="141.30000000000001"/>
    <n v="146.44166666666669"/>
    <n v="148.6"/>
  </r>
  <r>
    <x v="0"/>
    <x v="6"/>
    <s v="December"/>
    <n v="142.80000000000001"/>
    <n v="165.3"/>
    <n v="149.5"/>
    <n v="148.69999999999999"/>
    <n v="127.5"/>
    <n v="144.30000000000001"/>
    <n v="209.5"/>
    <n v="138.80000000000001"/>
    <n v="113.6"/>
    <n v="149.1"/>
    <n v="139.30000000000001"/>
    <n v="158.30000000000001"/>
    <n v="167.8"/>
    <n v="152.6"/>
    <n v="147.30000000000001"/>
    <s v="NA"/>
    <n v="149.9"/>
    <n v="151.19999999999999"/>
    <n v="154.80000000000001"/>
    <n v="135"/>
    <n v="149.5"/>
    <n v="161.1"/>
    <n v="140.6"/>
    <n v="147.1"/>
    <n v="149.72173913043477"/>
    <n v="152.30000000000001"/>
  </r>
  <r>
    <x v="1"/>
    <x v="6"/>
    <s v="December"/>
    <n v="144.9"/>
    <n v="164.5"/>
    <n v="153.69999999999999"/>
    <n v="147.5"/>
    <n v="122.7"/>
    <n v="147.19999999999999"/>
    <n v="231.5"/>
    <n v="137.19999999999999"/>
    <n v="114.7"/>
    <n v="148"/>
    <n v="130.80000000000001"/>
    <n v="157.69999999999999"/>
    <n v="170.4"/>
    <n v="146.80000000000001"/>
    <n v="132.80000000000001"/>
    <n v="152.80000000000001"/>
    <n v="133.6"/>
    <n v="139.80000000000001"/>
    <n v="143.19999999999999"/>
    <n v="125.2"/>
    <n v="136.80000000000001"/>
    <n v="151.9"/>
    <n v="140.19999999999999"/>
    <n v="137.69999999999999"/>
    <n v="146.31666666666669"/>
    <n v="148.30000000000001"/>
  </r>
  <r>
    <x v="2"/>
    <x v="6"/>
    <s v="December"/>
    <n v="143.5"/>
    <n v="165"/>
    <n v="151.1"/>
    <n v="148.30000000000001"/>
    <n v="125.7"/>
    <n v="145.69999999999999"/>
    <n v="217"/>
    <n v="138.30000000000001"/>
    <n v="114"/>
    <n v="148.69999999999999"/>
    <n v="135.80000000000001"/>
    <n v="158"/>
    <n v="168.5"/>
    <n v="150.30000000000001"/>
    <n v="141.30000000000001"/>
    <n v="152.80000000000001"/>
    <n v="143.69999999999999"/>
    <n v="145.80000000000001"/>
    <n v="150.4"/>
    <n v="129.80000000000001"/>
    <n v="142.30000000000001"/>
    <n v="155.69999999999999"/>
    <n v="140.4"/>
    <n v="142.5"/>
    <n v="148.10833333333338"/>
    <n v="150.4"/>
  </r>
  <r>
    <x v="0"/>
    <x v="7"/>
    <s v="January"/>
    <n v="143.69999999999999"/>
    <n v="167.3"/>
    <n v="153.5"/>
    <n v="150.5"/>
    <n v="132"/>
    <n v="142.19999999999999"/>
    <n v="191.5"/>
    <n v="141.1"/>
    <n v="113.8"/>
    <n v="151.6"/>
    <n v="139.69999999999999"/>
    <n v="158.69999999999999"/>
    <n v="168.6"/>
    <n v="152.80000000000001"/>
    <n v="147.4"/>
    <s v="NA"/>
    <n v="150.4"/>
    <n v="151.69999999999999"/>
    <n v="155.69999999999999"/>
    <n v="136.30000000000001"/>
    <n v="150.1"/>
    <n v="161.69999999999999"/>
    <n v="142.5"/>
    <n v="148.1"/>
    <n v="150.03913043478261"/>
    <n v="151.9"/>
  </r>
  <r>
    <x v="1"/>
    <x v="7"/>
    <s v="January"/>
    <n v="145.6"/>
    <n v="167.6"/>
    <n v="157"/>
    <n v="149.30000000000001"/>
    <n v="126.3"/>
    <n v="144.4"/>
    <n v="207.8"/>
    <n v="139.1"/>
    <n v="114.8"/>
    <n v="149.5"/>
    <n v="131.1"/>
    <n v="158.5"/>
    <n v="170.8"/>
    <n v="147"/>
    <n v="133.19999999999999"/>
    <n v="153.9"/>
    <n v="135.1"/>
    <n v="140.1"/>
    <n v="143.80000000000001"/>
    <n v="126.1"/>
    <n v="137.19999999999999"/>
    <n v="152.1"/>
    <n v="142.1"/>
    <n v="138.4"/>
    <n v="146.2833333333333"/>
    <n v="148.19999999999999"/>
  </r>
  <r>
    <x v="2"/>
    <x v="7"/>
    <s v="January"/>
    <n v="144.30000000000001"/>
    <n v="167.4"/>
    <n v="154.9"/>
    <n v="150.1"/>
    <n v="129.9"/>
    <n v="143.19999999999999"/>
    <n v="197"/>
    <n v="140.4"/>
    <n v="114.1"/>
    <n v="150.9"/>
    <n v="136.1"/>
    <n v="158.6"/>
    <n v="169.2"/>
    <n v="150.5"/>
    <n v="141.5"/>
    <n v="153.9"/>
    <n v="144.6"/>
    <n v="146.19999999999999"/>
    <n v="151.19999999999999"/>
    <n v="130.9"/>
    <n v="142.80000000000001"/>
    <n v="156.1"/>
    <n v="142.30000000000001"/>
    <n v="143.4"/>
    <n v="148.3125"/>
    <n v="150.19999999999999"/>
  </r>
  <r>
    <x v="0"/>
    <x v="7"/>
    <s v="February"/>
    <n v="144.19999999999999"/>
    <n v="167.5"/>
    <n v="150.9"/>
    <n v="150.9"/>
    <n v="133.69999999999999"/>
    <n v="140.69999999999999"/>
    <n v="165.1"/>
    <n v="141.80000000000001"/>
    <n v="113.1"/>
    <n v="152.80000000000001"/>
    <n v="140.1"/>
    <n v="159.19999999999999"/>
    <n v="169.4"/>
    <n v="153"/>
    <n v="147.5"/>
    <s v="NA"/>
    <n v="152.30000000000001"/>
    <n v="151.80000000000001"/>
    <n v="156.19999999999999"/>
    <n v="136"/>
    <n v="150.4"/>
    <n v="161.9"/>
    <n v="143.4"/>
    <n v="148.4"/>
    <n v="149.14347826086959"/>
    <n v="150.4"/>
  </r>
  <r>
    <x v="1"/>
    <x v="7"/>
    <s v="February"/>
    <n v="146.19999999999999"/>
    <n v="167.6"/>
    <n v="153.1"/>
    <n v="150.69999999999999"/>
    <n v="127.4"/>
    <n v="143.1"/>
    <n v="181.7"/>
    <n v="139.6"/>
    <n v="114.6"/>
    <n v="150.4"/>
    <n v="131.5"/>
    <n v="159"/>
    <n v="172"/>
    <n v="147.30000000000001"/>
    <n v="133.5"/>
    <n v="154.80000000000001"/>
    <n v="138.9"/>
    <n v="140.4"/>
    <n v="144.4"/>
    <n v="125.2"/>
    <n v="137.69999999999999"/>
    <n v="152.19999999999999"/>
    <n v="143.5"/>
    <n v="138.4"/>
    <n v="145.54999999999998"/>
    <n v="147.69999999999999"/>
  </r>
  <r>
    <x v="2"/>
    <x v="7"/>
    <s v="February"/>
    <n v="144.80000000000001"/>
    <n v="167.5"/>
    <n v="151.80000000000001"/>
    <n v="150.80000000000001"/>
    <n v="131.4"/>
    <n v="141.80000000000001"/>
    <n v="170.7"/>
    <n v="141.1"/>
    <n v="113.6"/>
    <n v="152"/>
    <n v="136.5"/>
    <n v="159.1"/>
    <n v="170.1"/>
    <n v="150.80000000000001"/>
    <n v="141.69999999999999"/>
    <n v="154.80000000000001"/>
    <n v="147.19999999999999"/>
    <n v="146.4"/>
    <n v="151.69999999999999"/>
    <n v="130.30000000000001"/>
    <n v="143.19999999999999"/>
    <n v="156.19999999999999"/>
    <n v="143.4"/>
    <n v="143.6"/>
    <n v="147.52083333333331"/>
    <n v="149.1"/>
  </r>
  <r>
    <x v="0"/>
    <x v="7"/>
    <s v="March"/>
    <n v="144.4"/>
    <n v="166.8"/>
    <n v="147.6"/>
    <n v="151.69999999999999"/>
    <n v="133.30000000000001"/>
    <n v="141.80000000000001"/>
    <n v="152.30000000000001"/>
    <n v="141.80000000000001"/>
    <n v="112.6"/>
    <n v="154"/>
    <n v="140.1"/>
    <n v="160"/>
    <n v="170.5"/>
    <n v="153.4"/>
    <n v="147.6"/>
    <s v="NA"/>
    <n v="153.4"/>
    <n v="151.5"/>
    <n v="156.69999999999999"/>
    <n v="135.80000000000001"/>
    <n v="151.19999999999999"/>
    <n v="161.19999999999999"/>
    <n v="145.1"/>
    <n v="148.6"/>
    <n v="148.75652173913039"/>
    <n v="149.80000000000001"/>
  </r>
  <r>
    <x v="1"/>
    <x v="7"/>
    <s v="March"/>
    <n v="146.5"/>
    <n v="167.5"/>
    <n v="148.9"/>
    <n v="151.1"/>
    <n v="127.5"/>
    <n v="143.30000000000001"/>
    <n v="167"/>
    <n v="139.69999999999999"/>
    <n v="114.4"/>
    <n v="151.5"/>
    <n v="131.9"/>
    <n v="159.1"/>
    <n v="173.3"/>
    <n v="147.69999999999999"/>
    <n v="133.80000000000001"/>
    <n v="154.5"/>
    <n v="141.4"/>
    <n v="140.80000000000001"/>
    <n v="145"/>
    <n v="124.6"/>
    <n v="137.9"/>
    <n v="152.5"/>
    <n v="145.30000000000001"/>
    <n v="138.69999999999999"/>
    <n v="145.16250000000002"/>
    <n v="147.30000000000001"/>
  </r>
  <r>
    <x v="2"/>
    <x v="7"/>
    <s v="March"/>
    <n v="145.1"/>
    <n v="167"/>
    <n v="148.1"/>
    <n v="151.5"/>
    <n v="131.19999999999999"/>
    <n v="142.5"/>
    <n v="157.30000000000001"/>
    <n v="141.1"/>
    <n v="113.2"/>
    <n v="153.19999999999999"/>
    <n v="136.69999999999999"/>
    <n v="159.6"/>
    <n v="171.2"/>
    <n v="151.19999999999999"/>
    <n v="141.9"/>
    <n v="154.5"/>
    <n v="148.9"/>
    <n v="146.4"/>
    <n v="152.30000000000001"/>
    <n v="129.9"/>
    <n v="143.69999999999999"/>
    <n v="156.1"/>
    <n v="145.19999999999999"/>
    <n v="143.80000000000001"/>
    <n v="147.15"/>
    <n v="148.6"/>
  </r>
  <r>
    <x v="0"/>
    <x v="7"/>
    <s v="April"/>
    <n v="147.19999999999999"/>
    <n v="167.15"/>
    <n v="146.9"/>
    <n v="155.6"/>
    <n v="137.1"/>
    <n v="147.30000000000001"/>
    <n v="162.69999999999999"/>
    <n v="150.19999999999999"/>
    <n v="119.8"/>
    <n v="158.69999999999999"/>
    <n v="139.19999999999999"/>
    <n v="159.6"/>
    <n v="169.95"/>
    <n v="153.19999999999999"/>
    <n v="147.55000000000001"/>
    <s v="NA"/>
    <n v="148.4"/>
    <n v="151.6"/>
    <n v="154.30000000000001"/>
    <n v="135.9"/>
    <n v="150.80000000000001"/>
    <n v="161.55000000000001"/>
    <n v="144.25"/>
    <n v="148.5"/>
    <n v="150.32391304347829"/>
    <n v="150.10000000000002"/>
  </r>
  <r>
    <x v="1"/>
    <x v="7"/>
    <s v="April"/>
    <n v="151.80000000000001"/>
    <n v="167.55"/>
    <n v="151.9"/>
    <n v="155.5"/>
    <n v="131.6"/>
    <n v="152.9"/>
    <n v="180"/>
    <n v="150.80000000000001"/>
    <n v="121.2"/>
    <n v="154"/>
    <n v="133.5"/>
    <n v="159.05000000000001"/>
    <n v="172.65"/>
    <n v="147.5"/>
    <n v="133.65"/>
    <n v="155.6"/>
    <n v="137.1"/>
    <n v="140.6"/>
    <n v="144.80000000000001"/>
    <n v="124.9"/>
    <n v="137.80000000000001"/>
    <n v="152.35"/>
    <n v="144.4"/>
    <n v="138.55000000000001"/>
    <n v="147.48750000000001"/>
    <n v="147.5"/>
  </r>
  <r>
    <x v="2"/>
    <x v="7"/>
    <s v="April"/>
    <n v="148.69999999999999"/>
    <n v="167.3"/>
    <n v="148.80000000000001"/>
    <n v="155.6"/>
    <n v="135.1"/>
    <n v="149.9"/>
    <n v="168.6"/>
    <n v="150.4"/>
    <n v="120.3"/>
    <n v="157.1"/>
    <n v="136.80000000000001"/>
    <n v="159.35"/>
    <n v="170.65"/>
    <n v="151"/>
    <n v="141.80000000000001"/>
    <n v="155.6"/>
    <n v="144.1"/>
    <n v="146.4"/>
    <n v="150.69999999999999"/>
    <n v="130.1"/>
    <n v="143.44999999999999"/>
    <n v="156.15"/>
    <n v="144.30000000000001"/>
    <n v="143.69999999999999"/>
    <n v="148.99583333333331"/>
    <n v="148.85"/>
  </r>
  <r>
    <x v="0"/>
    <x v="7"/>
    <s v="May"/>
    <n v="145.80000000000001"/>
    <n v="166.8"/>
    <n v="147.25"/>
    <n v="153.64999999999998"/>
    <n v="135.19999999999999"/>
    <n v="144.55000000000001"/>
    <n v="157.5"/>
    <n v="146"/>
    <n v="116.19999999999999"/>
    <n v="156.35"/>
    <n v="139.64999999999998"/>
    <n v="160"/>
    <n v="170.5"/>
    <n v="153.4"/>
    <n v="147.6"/>
    <s v="NA"/>
    <n v="150.9"/>
    <n v="151.5"/>
    <n v="155.5"/>
    <n v="135.80000000000001"/>
    <n v="151.19999999999999"/>
    <n v="161.19999999999999"/>
    <n v="145.1"/>
    <n v="148.6"/>
    <n v="149.57608695652172"/>
    <n v="149.80000000000001"/>
  </r>
  <r>
    <x v="1"/>
    <x v="7"/>
    <s v="May"/>
    <n v="149.15"/>
    <n v="167.5"/>
    <n v="150.4"/>
    <n v="153.30000000000001"/>
    <n v="129.55000000000001"/>
    <n v="148.10000000000002"/>
    <n v="173.5"/>
    <n v="145.25"/>
    <n v="117.80000000000001"/>
    <n v="152.75"/>
    <n v="132.69999999999999"/>
    <n v="159.1"/>
    <n v="173.3"/>
    <n v="147.69999999999999"/>
    <n v="133.80000000000001"/>
    <n v="155.05000000000001"/>
    <n v="139.25"/>
    <n v="140.80000000000001"/>
    <n v="144.9"/>
    <n v="124.6"/>
    <n v="137.9"/>
    <n v="152.5"/>
    <n v="145.30000000000001"/>
    <n v="138.69999999999999"/>
    <n v="146.37083333333337"/>
    <n v="147.30000000000001"/>
  </r>
  <r>
    <x v="2"/>
    <x v="7"/>
    <s v="May"/>
    <n v="146.89999999999998"/>
    <n v="167"/>
    <n v="148.44999999999999"/>
    <n v="153.55000000000001"/>
    <n v="133.14999999999998"/>
    <n v="146.19999999999999"/>
    <n v="162.94999999999999"/>
    <n v="145.75"/>
    <n v="116.75"/>
    <n v="155.14999999999998"/>
    <n v="136.75"/>
    <n v="159.6"/>
    <n v="171.2"/>
    <n v="151.19999999999999"/>
    <n v="141.9"/>
    <n v="155.05000000000001"/>
    <n v="146.5"/>
    <n v="146.4"/>
    <n v="151.5"/>
    <n v="129.9"/>
    <n v="143.69999999999999"/>
    <n v="156.1"/>
    <n v="145.19999999999999"/>
    <n v="143.80000000000001"/>
    <n v="148.11041666666668"/>
    <n v="148.6"/>
  </r>
  <r>
    <x v="0"/>
    <x v="7"/>
    <s v="June"/>
    <n v="148.19999999999999"/>
    <n v="190.3"/>
    <n v="149.4"/>
    <n v="153.30000000000001"/>
    <n v="138.19999999999999"/>
    <n v="143.19999999999999"/>
    <n v="148.9"/>
    <n v="150.30000000000001"/>
    <n v="113.2"/>
    <n v="159.80000000000001"/>
    <n v="142.1"/>
    <n v="161.80000000000001"/>
    <n v="182.4"/>
    <n v="154.69999999999999"/>
    <n v="150"/>
    <s v="NA"/>
    <n v="144.9"/>
    <n v="151.69999999999999"/>
    <n v="158.19999999999999"/>
    <n v="141.4"/>
    <n v="153.19999999999999"/>
    <n v="161.80000000000001"/>
    <n v="151.19999999999999"/>
    <n v="151.69999999999999"/>
    <n v="152.16956521739129"/>
    <n v="152.69999999999999"/>
  </r>
  <r>
    <x v="1"/>
    <x v="7"/>
    <s v="June"/>
    <n v="152.69999999999999"/>
    <n v="197"/>
    <n v="154.6"/>
    <n v="153.4"/>
    <n v="132.9"/>
    <n v="151.80000000000001"/>
    <n v="171.2"/>
    <n v="152"/>
    <n v="116.3"/>
    <n v="158.80000000000001"/>
    <n v="135.6"/>
    <n v="161.69999999999999"/>
    <n v="186.7"/>
    <n v="149.1"/>
    <n v="136.6"/>
    <n v="154.69999999999999"/>
    <n v="137.1"/>
    <n v="140.4"/>
    <n v="148.1"/>
    <n v="129.30000000000001"/>
    <n v="144.5"/>
    <n v="152.5"/>
    <n v="152.19999999999999"/>
    <n v="142"/>
    <n v="150.46666666666664"/>
    <n v="150.80000000000001"/>
  </r>
  <r>
    <x v="2"/>
    <x v="7"/>
    <s v="June"/>
    <n v="149.6"/>
    <n v="192.7"/>
    <n v="151.4"/>
    <n v="153.30000000000001"/>
    <n v="136.30000000000001"/>
    <n v="147.19999999999999"/>
    <n v="156.5"/>
    <n v="150.9"/>
    <n v="114.2"/>
    <n v="159.5"/>
    <n v="139.4"/>
    <n v="161.80000000000001"/>
    <n v="183.5"/>
    <n v="152.5"/>
    <n v="144.4"/>
    <n v="154.69999999999999"/>
    <n v="141.9"/>
    <n v="146.4"/>
    <n v="154.4"/>
    <n v="135"/>
    <n v="148.30000000000001"/>
    <n v="156.4"/>
    <n v="151.6"/>
    <n v="147"/>
    <n v="151.20416666666668"/>
    <n v="151.80000000000001"/>
  </r>
  <r>
    <x v="0"/>
    <x v="7"/>
    <s v="July"/>
    <n v="148.19999999999999"/>
    <n v="190.3"/>
    <n v="149.4"/>
    <n v="153.30000000000001"/>
    <n v="138.19999999999999"/>
    <n v="143.19999999999999"/>
    <n v="148.9"/>
    <n v="150.30000000000001"/>
    <n v="113.2"/>
    <n v="159.80000000000001"/>
    <n v="142.1"/>
    <n v="161.80000000000001"/>
    <n v="182.4"/>
    <n v="154.69999999999999"/>
    <n v="150"/>
    <s v="NA"/>
    <n v="144.9"/>
    <n v="151.69999999999999"/>
    <n v="158.19999999999999"/>
    <n v="141.4"/>
    <n v="153.19999999999999"/>
    <n v="161.80000000000001"/>
    <n v="151.19999999999999"/>
    <n v="151.69999999999999"/>
    <n v="152.16956521739129"/>
    <n v="152.69999999999999"/>
  </r>
  <r>
    <x v="1"/>
    <x v="7"/>
    <s v="July"/>
    <n v="152.69999999999999"/>
    <n v="197"/>
    <n v="154.6"/>
    <n v="153.4"/>
    <n v="132.9"/>
    <n v="151.80000000000001"/>
    <n v="171.2"/>
    <n v="152"/>
    <n v="116.3"/>
    <n v="158.80000000000001"/>
    <n v="135.6"/>
    <n v="161.69999999999999"/>
    <n v="186.7"/>
    <n v="149.1"/>
    <n v="136.6"/>
    <n v="154.69999999999999"/>
    <n v="137.1"/>
    <n v="140.4"/>
    <n v="148.1"/>
    <n v="129.30000000000001"/>
    <n v="144.5"/>
    <n v="152.5"/>
    <n v="152.19999999999999"/>
    <n v="142"/>
    <n v="150.46666666666664"/>
    <n v="150.80000000000001"/>
  </r>
  <r>
    <x v="2"/>
    <x v="7"/>
    <s v="July"/>
    <n v="149.6"/>
    <n v="192.7"/>
    <n v="151.4"/>
    <n v="153.30000000000001"/>
    <n v="136.30000000000001"/>
    <n v="147.19999999999999"/>
    <n v="156.5"/>
    <n v="150.9"/>
    <n v="114.2"/>
    <n v="159.5"/>
    <n v="139.4"/>
    <n v="161.80000000000001"/>
    <n v="183.5"/>
    <n v="152.5"/>
    <n v="144.4"/>
    <n v="154.69999999999999"/>
    <n v="141.9"/>
    <n v="146.4"/>
    <n v="154.4"/>
    <n v="135"/>
    <n v="148.30000000000001"/>
    <n v="156.4"/>
    <n v="151.6"/>
    <n v="147"/>
    <n v="151.20416666666668"/>
    <n v="151.80000000000001"/>
  </r>
  <r>
    <x v="0"/>
    <x v="7"/>
    <s v="August"/>
    <n v="147.6"/>
    <n v="187.2"/>
    <n v="148.4"/>
    <n v="153.30000000000001"/>
    <n v="139.80000000000001"/>
    <n v="146.9"/>
    <n v="171"/>
    <n v="149.9"/>
    <n v="114.2"/>
    <n v="160"/>
    <n v="143.5"/>
    <n v="161.5"/>
    <n v="180.9"/>
    <n v="155.1"/>
    <n v="149.30000000000001"/>
    <s v="NA"/>
    <n v="145.80000000000001"/>
    <n v="151.9"/>
    <n v="158.80000000000001"/>
    <n v="143.6"/>
    <n v="152.19999999999999"/>
    <n v="162.69999999999999"/>
    <n v="153.6"/>
    <n v="153"/>
    <n v="153.48695652173913"/>
    <n v="154.69999999999999"/>
  </r>
  <r>
    <x v="1"/>
    <x v="7"/>
    <s v="August"/>
    <n v="151.6"/>
    <n v="197.8"/>
    <n v="154.5"/>
    <n v="153.4"/>
    <n v="133.4"/>
    <n v="154.5"/>
    <n v="191.9"/>
    <n v="151.30000000000001"/>
    <n v="116.8"/>
    <n v="160"/>
    <n v="136.5"/>
    <n v="163.30000000000001"/>
    <n v="187.2"/>
    <n v="150"/>
    <n v="135.19999999999999"/>
    <n v="155.5"/>
    <n v="138.30000000000001"/>
    <n v="144.5"/>
    <n v="148.69999999999999"/>
    <n v="133.9"/>
    <n v="141.19999999999999"/>
    <n v="155.5"/>
    <n v="155.19999999999999"/>
    <n v="144.80000000000001"/>
    <n v="152.29166666666666"/>
    <n v="152.9"/>
  </r>
  <r>
    <x v="2"/>
    <x v="7"/>
    <s v="August"/>
    <n v="148.9"/>
    <n v="190.9"/>
    <n v="150.80000000000001"/>
    <n v="153.30000000000001"/>
    <n v="137.4"/>
    <n v="150.4"/>
    <n v="178.1"/>
    <n v="150.4"/>
    <n v="115.1"/>
    <n v="160"/>
    <n v="140.6"/>
    <n v="162.30000000000001"/>
    <n v="182.6"/>
    <n v="153.1"/>
    <n v="143.4"/>
    <n v="155.5"/>
    <n v="143"/>
    <n v="148.4"/>
    <n v="155"/>
    <n v="138.5"/>
    <n v="146"/>
    <n v="158.5"/>
    <n v="154.30000000000001"/>
    <n v="149"/>
    <n v="152.72916666666666"/>
    <n v="153.9"/>
  </r>
  <r>
    <x v="0"/>
    <x v="7"/>
    <s v="September"/>
    <n v="146.9"/>
    <n v="183.9"/>
    <n v="149.5"/>
    <n v="153.4"/>
    <n v="140.4"/>
    <n v="147"/>
    <n v="178.8"/>
    <n v="149.30000000000001"/>
    <n v="115.1"/>
    <n v="160"/>
    <n v="145.4"/>
    <n v="161.6"/>
    <n v="182.9"/>
    <n v="155.4"/>
    <n v="149.9"/>
    <s v="NA"/>
    <n v="146.4"/>
    <n v="151.6"/>
    <n v="159.1"/>
    <n v="144.6"/>
    <n v="152.80000000000001"/>
    <n v="161.1"/>
    <n v="157.4"/>
    <n v="153.69999999999999"/>
    <n v="154.18260869565216"/>
    <n v="155.4"/>
  </r>
  <r>
    <x v="1"/>
    <x v="7"/>
    <s v="September"/>
    <n v="151.5"/>
    <n v="193.1"/>
    <n v="157.30000000000001"/>
    <n v="153.9"/>
    <n v="134.4"/>
    <n v="155.4"/>
    <n v="202"/>
    <n v="150.80000000000001"/>
    <n v="118.9"/>
    <n v="160.9"/>
    <n v="137.69999999999999"/>
    <n v="164.4"/>
    <n v="188.7"/>
    <n v="150.19999999999999"/>
    <n v="136.30000000000001"/>
    <n v="156.30000000000001"/>
    <n v="137.19999999999999"/>
    <n v="145.4"/>
    <n v="150"/>
    <n v="135.1"/>
    <n v="141.80000000000001"/>
    <n v="154.9"/>
    <n v="159.80000000000001"/>
    <n v="146"/>
    <n v="153.41666666666669"/>
    <n v="154"/>
  </r>
  <r>
    <x v="2"/>
    <x v="7"/>
    <s v="September"/>
    <n v="148.4"/>
    <n v="187.1"/>
    <n v="152.5"/>
    <n v="153.6"/>
    <n v="138.19999999999999"/>
    <n v="150.9"/>
    <n v="186.7"/>
    <n v="149.80000000000001"/>
    <n v="116.4"/>
    <n v="160.30000000000001"/>
    <n v="142.19999999999999"/>
    <n v="162.9"/>
    <n v="184.4"/>
    <n v="153.4"/>
    <n v="144.30000000000001"/>
    <n v="156.30000000000001"/>
    <n v="142.9"/>
    <n v="148.69999999999999"/>
    <n v="155.6"/>
    <n v="139.6"/>
    <n v="146.6"/>
    <n v="157.5"/>
    <n v="158.4"/>
    <n v="150"/>
    <n v="153.61250000000001"/>
    <n v="154.69999999999999"/>
  </r>
  <r>
    <x v="0"/>
    <x v="7"/>
    <s v="October"/>
    <n v="146"/>
    <n v="186.3"/>
    <n v="159.19999999999999"/>
    <n v="153.6"/>
    <n v="142.6"/>
    <n v="147.19999999999999"/>
    <n v="200.6"/>
    <n v="150.30000000000001"/>
    <n v="115.3"/>
    <n v="160.9"/>
    <n v="147.4"/>
    <n v="161.9"/>
    <n v="182.7"/>
    <n v="155.69999999999999"/>
    <n v="150.6"/>
    <s v="NA"/>
    <n v="146.80000000000001"/>
    <n v="152"/>
    <n v="159.5"/>
    <n v="146.4"/>
    <n v="152.4"/>
    <n v="162.5"/>
    <n v="156.19999999999999"/>
    <n v="154.30000000000001"/>
    <n v="156.10434782608695"/>
    <n v="157.5"/>
  </r>
  <r>
    <x v="1"/>
    <x v="7"/>
    <s v="October"/>
    <n v="150.6"/>
    <n v="193.7"/>
    <n v="164.8"/>
    <n v="153.69999999999999"/>
    <n v="135.69999999999999"/>
    <n v="155.69999999999999"/>
    <n v="226"/>
    <n v="152.19999999999999"/>
    <n v="118.1"/>
    <n v="161.30000000000001"/>
    <n v="139.19999999999999"/>
    <n v="164.8"/>
    <n v="188.7"/>
    <n v="150.5"/>
    <n v="136.1"/>
    <n v="156.5"/>
    <n v="137.1"/>
    <n v="145.1"/>
    <n v="151"/>
    <n v="135.4"/>
    <n v="142"/>
    <n v="155.69999999999999"/>
    <n v="158.1"/>
    <n v="146.19999999999999"/>
    <n v="154.92499999999998"/>
    <n v="155.19999999999999"/>
  </r>
  <r>
    <x v="2"/>
    <x v="7"/>
    <s v="October"/>
    <n v="147.5"/>
    <n v="188.9"/>
    <n v="161.4"/>
    <n v="153.6"/>
    <n v="140.1"/>
    <n v="151.19999999999999"/>
    <n v="209.2"/>
    <n v="150.9"/>
    <n v="116.2"/>
    <n v="161"/>
    <n v="144"/>
    <n v="163.19999999999999"/>
    <n v="184.3"/>
    <n v="153.69999999999999"/>
    <n v="144.6"/>
    <n v="156.5"/>
    <n v="143.1"/>
    <n v="148.69999999999999"/>
    <n v="156.30000000000001"/>
    <n v="140.6"/>
    <n v="146.5"/>
    <n v="158.5"/>
    <n v="157"/>
    <n v="150.4"/>
    <n v="155.30833333333334"/>
    <n v="156.4"/>
  </r>
  <r>
    <x v="0"/>
    <x v="7"/>
    <s v="November"/>
    <n v="145.4"/>
    <n v="188.6"/>
    <n v="171.6"/>
    <n v="153.80000000000001"/>
    <n v="145.4"/>
    <n v="146.5"/>
    <n v="222.2"/>
    <n v="155.9"/>
    <n v="114.9"/>
    <n v="162"/>
    <n v="150"/>
    <n v="162.69999999999999"/>
    <n v="183.4"/>
    <n v="156.30000000000001"/>
    <n v="151"/>
    <s v="NA"/>
    <n v="147.5"/>
    <n v="152.80000000000001"/>
    <n v="160.4"/>
    <n v="146.1"/>
    <n v="153.6"/>
    <n v="161.6"/>
    <n v="156.19999999999999"/>
    <n v="154.5"/>
    <n v="158.36521739130436"/>
    <n v="159.80000000000001"/>
  </r>
  <r>
    <x v="1"/>
    <x v="7"/>
    <s v="November"/>
    <n v="149.69999999999999"/>
    <n v="195.5"/>
    <n v="176.9"/>
    <n v="153.9"/>
    <n v="138"/>
    <n v="150.5"/>
    <n v="245.3"/>
    <n v="158.69999999999999"/>
    <n v="117.2"/>
    <n v="161.4"/>
    <n v="141.5"/>
    <n v="165.1"/>
    <n v="188.8"/>
    <n v="151.1"/>
    <n v="136.4"/>
    <n v="158"/>
    <n v="137.30000000000001"/>
    <n v="145.1"/>
    <n v="152"/>
    <n v="135.19999999999999"/>
    <n v="144.4"/>
    <n v="156.4"/>
    <n v="157.9"/>
    <n v="146.6"/>
    <n v="156.78749999999999"/>
    <n v="156.69999999999999"/>
  </r>
  <r>
    <x v="2"/>
    <x v="7"/>
    <s v="November"/>
    <n v="146.80000000000001"/>
    <n v="191"/>
    <n v="173.6"/>
    <n v="153.80000000000001"/>
    <n v="142.69999999999999"/>
    <n v="148.4"/>
    <n v="230"/>
    <n v="156.80000000000001"/>
    <n v="115.7"/>
    <n v="161.80000000000001"/>
    <n v="146.5"/>
    <n v="163.80000000000001"/>
    <n v="184.8"/>
    <n v="154.30000000000001"/>
    <n v="144.9"/>
    <n v="158"/>
    <n v="143.6"/>
    <n v="149.19999999999999"/>
    <n v="157.19999999999999"/>
    <n v="140.4"/>
    <n v="148.4"/>
    <n v="158.6"/>
    <n v="156.9"/>
    <n v="150.69999999999999"/>
    <n v="157.41249999999999"/>
    <n v="158.4"/>
  </r>
  <r>
    <x v="0"/>
    <x v="7"/>
    <s v="December"/>
    <n v="144.6"/>
    <n v="188.5"/>
    <n v="173.4"/>
    <n v="154"/>
    <n v="150"/>
    <n v="145.9"/>
    <n v="225.2"/>
    <n v="159.5"/>
    <n v="114.4"/>
    <n v="163.5"/>
    <n v="153.4"/>
    <n v="163.6"/>
    <n v="183.6"/>
    <n v="157"/>
    <n v="151.6"/>
    <s v="NA"/>
    <n v="148.69999999999999"/>
    <n v="153.4"/>
    <n v="161.6"/>
    <n v="146.4"/>
    <n v="153.9"/>
    <n v="162.9"/>
    <n v="156.6"/>
    <n v="155.19999999999999"/>
    <n v="159.43043478260867"/>
    <n v="160.69999999999999"/>
  </r>
  <r>
    <x v="1"/>
    <x v="7"/>
    <s v="December"/>
    <n v="149"/>
    <n v="195.7"/>
    <n v="178.3"/>
    <n v="154.19999999999999"/>
    <n v="140.69999999999999"/>
    <n v="149.69999999999999"/>
    <n v="240.9"/>
    <n v="161.5"/>
    <n v="117.1"/>
    <n v="161.9"/>
    <n v="143.30000000000001"/>
    <n v="166.1"/>
    <n v="190.2"/>
    <n v="151.9"/>
    <n v="136.69999999999999"/>
    <n v="158.4"/>
    <n v="137.9"/>
    <n v="145.5"/>
    <n v="152.9"/>
    <n v="135.5"/>
    <n v="144.30000000000001"/>
    <n v="156.9"/>
    <n v="157.9"/>
    <n v="146.9"/>
    <n v="157.22500000000002"/>
    <n v="156.9"/>
  </r>
  <r>
    <x v="2"/>
    <x v="7"/>
    <s v="December"/>
    <n v="146"/>
    <n v="191"/>
    <n v="175.3"/>
    <n v="154.1"/>
    <n v="146.6"/>
    <n v="147.69999999999999"/>
    <n v="230.5"/>
    <n v="160.19999999999999"/>
    <n v="115.3"/>
    <n v="163"/>
    <n v="149.19999999999999"/>
    <n v="164.8"/>
    <n v="185.4"/>
    <n v="155"/>
    <n v="145.4"/>
    <n v="158.4"/>
    <n v="144.6"/>
    <n v="149.69999999999999"/>
    <n v="158.30000000000001"/>
    <n v="140.69999999999999"/>
    <n v="148.5"/>
    <n v="159.4"/>
    <n v="157.1"/>
    <n v="151.19999999999999"/>
    <n v="158.22499999999999"/>
    <n v="158.9"/>
  </r>
  <r>
    <x v="0"/>
    <x v="8"/>
    <s v="January"/>
    <n v="143.4"/>
    <n v="187.5"/>
    <n v="173.4"/>
    <n v="154"/>
    <n v="154.80000000000001"/>
    <n v="147"/>
    <n v="187.8"/>
    <n v="159.5"/>
    <n v="113.8"/>
    <n v="164.5"/>
    <n v="156.1"/>
    <n v="164.3"/>
    <n v="184.6"/>
    <n v="157.5"/>
    <n v="152.4"/>
    <s v="NA"/>
    <n v="150.9"/>
    <n v="153.9"/>
    <n v="162.5"/>
    <n v="147.5"/>
    <n v="155.1"/>
    <n v="163.5"/>
    <n v="156.19999999999999"/>
    <n v="155.9"/>
    <n v="158.52608695652174"/>
    <n v="158.5"/>
  </r>
  <r>
    <x v="1"/>
    <x v="8"/>
    <s v="January"/>
    <n v="148"/>
    <n v="194.8"/>
    <n v="178.4"/>
    <n v="154.4"/>
    <n v="144.1"/>
    <n v="152.6"/>
    <n v="206.8"/>
    <n v="162.1"/>
    <n v="116.3"/>
    <n v="163"/>
    <n v="145.9"/>
    <n v="167.2"/>
    <n v="191.8"/>
    <n v="152.5"/>
    <n v="137.30000000000001"/>
    <n v="157.69999999999999"/>
    <n v="142.9"/>
    <n v="145.69999999999999"/>
    <n v="154.1"/>
    <n v="136.9"/>
    <n v="145.4"/>
    <n v="156.1"/>
    <n v="157.69999999999999"/>
    <n v="147.6"/>
    <n v="156.63749999999999"/>
    <n v="156"/>
  </r>
  <r>
    <x v="2"/>
    <x v="8"/>
    <s v="January"/>
    <n v="144.9"/>
    <n v="190.1"/>
    <n v="175.3"/>
    <n v="154.1"/>
    <n v="150.9"/>
    <n v="149.6"/>
    <n v="194.2"/>
    <n v="160.4"/>
    <n v="114.6"/>
    <n v="164"/>
    <n v="151.80000000000001"/>
    <n v="165.6"/>
    <n v="186.5"/>
    <n v="155.5"/>
    <n v="146.1"/>
    <n v="157.69999999999999"/>
    <n v="147.9"/>
    <n v="150"/>
    <n v="159.30000000000001"/>
    <n v="141.9"/>
    <n v="149.6"/>
    <n v="159.19999999999999"/>
    <n v="156.80000000000001"/>
    <n v="151.9"/>
    <n v="157.41249999999999"/>
    <n v="157.30000000000001"/>
  </r>
  <r>
    <x v="0"/>
    <x v="8"/>
    <s v="February"/>
    <n v="142.80000000000001"/>
    <n v="184"/>
    <n v="168"/>
    <n v="154.4"/>
    <n v="163"/>
    <n v="147.80000000000001"/>
    <n v="149.69999999999999"/>
    <n v="158.30000000000001"/>
    <n v="111.8"/>
    <n v="165"/>
    <n v="160"/>
    <n v="165.8"/>
    <n v="186.5"/>
    <n v="159.1"/>
    <n v="153.9"/>
    <s v="NA"/>
    <n v="154.4"/>
    <n v="154.80000000000001"/>
    <n v="164.3"/>
    <n v="150.19999999999999"/>
    <n v="157"/>
    <n v="163.6"/>
    <n v="155.19999999999999"/>
    <n v="157.19999999999999"/>
    <n v="157.68695652173912"/>
    <n v="156.69999999999999"/>
  </r>
  <r>
    <x v="1"/>
    <x v="8"/>
    <s v="February"/>
    <n v="147.6"/>
    <n v="191.2"/>
    <n v="169.9"/>
    <n v="155.1"/>
    <n v="151.4"/>
    <n v="154"/>
    <n v="180.2"/>
    <n v="159.80000000000001"/>
    <n v="114.9"/>
    <n v="162.5"/>
    <n v="149.19999999999999"/>
    <n v="169.4"/>
    <n v="193.3"/>
    <n v="154.19999999999999"/>
    <n v="138.19999999999999"/>
    <n v="159.80000000000001"/>
    <n v="149.1"/>
    <n v="146.5"/>
    <n v="156.30000000000001"/>
    <n v="140.5"/>
    <n v="147.30000000000001"/>
    <n v="156.6"/>
    <n v="156.69999999999999"/>
    <n v="149.30000000000001"/>
    <n v="156.375"/>
    <n v="156.5"/>
  </r>
  <r>
    <x v="2"/>
    <x v="8"/>
    <s v="February"/>
    <n v="144.30000000000001"/>
    <n v="186.5"/>
    <n v="168.7"/>
    <n v="154.69999999999999"/>
    <n v="158.69999999999999"/>
    <n v="150.69999999999999"/>
    <n v="160"/>
    <n v="158.80000000000001"/>
    <n v="112.8"/>
    <n v="164.2"/>
    <n v="155.5"/>
    <n v="167.5"/>
    <n v="188.3"/>
    <n v="157.19999999999999"/>
    <n v="147.4"/>
    <n v="159.80000000000001"/>
    <n v="152.4"/>
    <n v="150.9"/>
    <n v="161.30000000000001"/>
    <n v="145.1"/>
    <n v="151.5"/>
    <n v="159.5"/>
    <n v="155.80000000000001"/>
    <n v="153.4"/>
    <n v="156.87500000000003"/>
    <n v="156.6"/>
  </r>
  <r>
    <x v="0"/>
    <x v="8"/>
    <s v="March"/>
    <n v="142.5"/>
    <n v="189.4"/>
    <n v="163.19999999999999"/>
    <n v="154.5"/>
    <n v="168.2"/>
    <n v="150.5"/>
    <n v="141"/>
    <n v="159.19999999999999"/>
    <n v="111.7"/>
    <n v="164"/>
    <n v="160.6"/>
    <n v="166.4"/>
    <n v="186.1"/>
    <n v="159.6"/>
    <n v="154.4"/>
    <s v="-"/>
    <n v="156"/>
    <n v="154.80000000000001"/>
    <n v="164.6"/>
    <n v="151.30000000000001"/>
    <n v="157.80000000000001"/>
    <n v="163.80000000000001"/>
    <n v="153.1"/>
    <n v="157.30000000000001"/>
    <n v="157.82608695652178"/>
    <n v="156.69999999999999"/>
  </r>
  <r>
    <x v="1"/>
    <x v="8"/>
    <s v="March"/>
    <n v="147.5"/>
    <n v="197.5"/>
    <n v="164.7"/>
    <n v="155.6"/>
    <n v="156.4"/>
    <n v="157.30000000000001"/>
    <n v="166.1"/>
    <n v="161.1"/>
    <n v="114.3"/>
    <n v="162.6"/>
    <n v="150.69999999999999"/>
    <n v="170.3"/>
    <n v="193.5"/>
    <n v="155.1"/>
    <n v="138.69999999999999"/>
    <n v="159.9"/>
    <n v="154.80000000000001"/>
    <n v="147.19999999999999"/>
    <n v="156.9"/>
    <n v="141.69999999999999"/>
    <n v="148.6"/>
    <n v="157.6"/>
    <n v="154.9"/>
    <n v="150"/>
    <n v="156.79166666666663"/>
    <n v="156.9"/>
  </r>
  <r>
    <x v="2"/>
    <x v="8"/>
    <s v="March"/>
    <n v="144.1"/>
    <n v="192.2"/>
    <n v="163.80000000000001"/>
    <n v="154.9"/>
    <n v="163.9"/>
    <n v="153.69999999999999"/>
    <n v="149.5"/>
    <n v="159.80000000000001"/>
    <n v="112.6"/>
    <n v="163.5"/>
    <n v="156.5"/>
    <n v="168.2"/>
    <n v="188.1"/>
    <n v="157.80000000000001"/>
    <n v="147.9"/>
    <n v="159.9"/>
    <n v="155.5"/>
    <n v="151.19999999999999"/>
    <n v="161.69999999999999"/>
    <n v="146.19999999999999"/>
    <n v="152.6"/>
    <n v="160.19999999999999"/>
    <n v="153.80000000000001"/>
    <n v="153.80000000000001"/>
    <n v="157.14166666666665"/>
    <n v="156.80000000000001"/>
  </r>
  <r>
    <x v="0"/>
    <x v="8"/>
    <s v="April"/>
    <n v="142.69999999999999"/>
    <n v="195.5"/>
    <n v="163.4"/>
    <n v="155"/>
    <n v="175.2"/>
    <n v="160.6"/>
    <n v="135.1"/>
    <n v="161.1"/>
    <n v="112.2"/>
    <n v="164.4"/>
    <n v="161.9"/>
    <n v="166.8"/>
    <n v="186.8"/>
    <n v="160.69999999999999"/>
    <n v="155.1"/>
    <s v="-"/>
    <n v="156"/>
    <n v="155.5"/>
    <n v="165.3"/>
    <n v="151.69999999999999"/>
    <n v="158.6"/>
    <n v="164.1"/>
    <n v="154.6"/>
    <n v="158"/>
    <n v="159.14347826086956"/>
    <n v="157.6"/>
  </r>
  <r>
    <x v="1"/>
    <x v="8"/>
    <s v="April"/>
    <n v="147.6"/>
    <n v="202.5"/>
    <n v="166.4"/>
    <n v="156"/>
    <n v="161.4"/>
    <n v="168.8"/>
    <n v="161.6"/>
    <n v="162.80000000000001"/>
    <n v="114.8"/>
    <n v="162.80000000000001"/>
    <n v="151.5"/>
    <n v="171.4"/>
    <n v="194.4"/>
    <n v="155.9"/>
    <n v="139.30000000000001"/>
    <n v="161.4"/>
    <n v="154.9"/>
    <n v="147.6"/>
    <n v="157.5"/>
    <n v="142.1"/>
    <n v="149.1"/>
    <n v="157.6"/>
    <n v="156.6"/>
    <n v="150.5"/>
    <n v="158.10416666666666"/>
    <n v="158"/>
  </r>
  <r>
    <x v="2"/>
    <x v="8"/>
    <s v="April"/>
    <n v="144.30000000000001"/>
    <n v="198"/>
    <n v="164.6"/>
    <n v="155.4"/>
    <n v="170.1"/>
    <n v="164.4"/>
    <n v="144.1"/>
    <n v="161.69999999999999"/>
    <n v="113.1"/>
    <n v="163.9"/>
    <n v="157.6"/>
    <n v="168.9"/>
    <n v="188.8"/>
    <n v="158.80000000000001"/>
    <n v="148.5"/>
    <n v="161.4"/>
    <n v="155.6"/>
    <n v="151.80000000000001"/>
    <n v="162.30000000000001"/>
    <n v="146.6"/>
    <n v="153.19999999999999"/>
    <n v="160.30000000000001"/>
    <n v="155.4"/>
    <n v="154.4"/>
    <n v="158.4666666666667"/>
    <n v="157.80000000000001"/>
  </r>
  <r>
    <x v="0"/>
    <x v="8"/>
    <s v="May"/>
    <n v="145.1"/>
    <n v="198.5"/>
    <n v="168.6"/>
    <n v="155.80000000000001"/>
    <n v="184.4"/>
    <n v="162.30000000000001"/>
    <n v="138.4"/>
    <n v="165.1"/>
    <n v="114.3"/>
    <n v="169.7"/>
    <n v="164.6"/>
    <n v="169.8"/>
    <n v="189.6"/>
    <n v="165.3"/>
    <n v="160.6"/>
    <s v="NA"/>
    <n v="161.69999999999999"/>
    <n v="158.80000000000001"/>
    <n v="169.1"/>
    <n v="153.19999999999999"/>
    <n v="160"/>
    <n v="167.6"/>
    <n v="159.30000000000001"/>
    <n v="161.1"/>
    <n v="162.73478260869564"/>
    <n v="161.1"/>
  </r>
  <r>
    <x v="1"/>
    <x v="8"/>
    <s v="May"/>
    <n v="148.80000000000001"/>
    <n v="204.3"/>
    <n v="173"/>
    <n v="156.5"/>
    <n v="168.8"/>
    <n v="172.5"/>
    <n v="166.5"/>
    <n v="165.9"/>
    <n v="115.9"/>
    <n v="165.2"/>
    <n v="152"/>
    <n v="171.1"/>
    <n v="198.2"/>
    <n v="156.5"/>
    <n v="140.19999999999999"/>
    <n v="161.6"/>
    <n v="155.5"/>
    <n v="150.1"/>
    <n v="160.4"/>
    <n v="145"/>
    <n v="152.6"/>
    <n v="156.6"/>
    <n v="157.5"/>
    <n v="152.30000000000001"/>
    <n v="160.29166666666666"/>
    <n v="159.5"/>
  </r>
  <r>
    <x v="2"/>
    <x v="8"/>
    <s v="May"/>
    <n v="146.30000000000001"/>
    <n v="200.5"/>
    <n v="170.3"/>
    <n v="156.1"/>
    <n v="178.7"/>
    <n v="167.1"/>
    <n v="147.9"/>
    <n v="165.4"/>
    <n v="114.8"/>
    <n v="168.2"/>
    <n v="159.30000000000001"/>
    <n v="170.4"/>
    <n v="191.9"/>
    <n v="161.80000000000001"/>
    <n v="152.1"/>
    <n v="161.6"/>
    <n v="159.4"/>
    <n v="154.69999999999999"/>
    <n v="165.8"/>
    <n v="148.9"/>
    <n v="155.80000000000001"/>
    <n v="161.19999999999999"/>
    <n v="158.6"/>
    <n v="156.80000000000001"/>
    <n v="161.4"/>
    <n v="160.4"/>
  </r>
  <r>
    <x v="0"/>
    <x v="8"/>
    <s v="June"/>
    <n v="145.6"/>
    <n v="200.1"/>
    <n v="179.3"/>
    <n v="156.1"/>
    <n v="190.4"/>
    <n v="158.6"/>
    <n v="144.69999999999999"/>
    <n v="165.5"/>
    <n v="114.6"/>
    <n v="170"/>
    <n v="165.5"/>
    <n v="171.7"/>
    <n v="189.1"/>
    <n v="165.3"/>
    <n v="159.9"/>
    <s v="NA"/>
    <n v="162.1"/>
    <n v="159.19999999999999"/>
    <n v="169.7"/>
    <n v="154.19999999999999"/>
    <n v="160.4"/>
    <n v="166.8"/>
    <n v="159.4"/>
    <n v="161.5"/>
    <n v="163.9"/>
    <n v="162.1"/>
  </r>
  <r>
    <x v="1"/>
    <x v="8"/>
    <s v="June"/>
    <n v="149.19999999999999"/>
    <n v="205.5"/>
    <n v="182.8"/>
    <n v="156.5"/>
    <n v="172.2"/>
    <n v="171.5"/>
    <n v="176.2"/>
    <n v="166.9"/>
    <n v="116.1"/>
    <n v="165.5"/>
    <n v="152.30000000000001"/>
    <n v="173.3"/>
    <n v="195.6"/>
    <n v="157.30000000000001"/>
    <n v="140.5"/>
    <n v="160.5"/>
    <n v="156.1"/>
    <n v="149.80000000000001"/>
    <n v="160.80000000000001"/>
    <n v="147.5"/>
    <n v="150.69999999999999"/>
    <n v="158.1"/>
    <n v="158"/>
    <n v="153.4"/>
    <n v="161.51250000000002"/>
    <n v="160.4"/>
  </r>
  <r>
    <x v="2"/>
    <x v="8"/>
    <s v="June"/>
    <n v="146.69999999999999"/>
    <n v="202"/>
    <n v="180.7"/>
    <n v="156.19999999999999"/>
    <n v="183.7"/>
    <n v="164.6"/>
    <n v="155.4"/>
    <n v="166"/>
    <n v="115.1"/>
    <n v="168.5"/>
    <n v="160"/>
    <n v="172.4"/>
    <n v="190.8"/>
    <n v="162.19999999999999"/>
    <n v="151.80000000000001"/>
    <n v="160.5"/>
    <n v="159.80000000000001"/>
    <n v="154.80000000000001"/>
    <n v="166.3"/>
    <n v="150.69999999999999"/>
    <n v="154.9"/>
    <n v="161.69999999999999"/>
    <n v="158.80000000000001"/>
    <n v="157.6"/>
    <n v="162.55000000000001"/>
    <n v="161.30000000000001"/>
  </r>
  <r>
    <x v="0"/>
    <x v="8"/>
    <s v="July"/>
    <n v="145.1"/>
    <n v="204.5"/>
    <n v="180.4"/>
    <n v="157.1"/>
    <n v="188.7"/>
    <n v="157.69999999999999"/>
    <n v="152.80000000000001"/>
    <n v="163.6"/>
    <n v="113.9"/>
    <n v="169.7"/>
    <n v="166.2"/>
    <n v="171"/>
    <n v="189.7"/>
    <n v="166"/>
    <n v="161.1"/>
    <s v="NA"/>
    <n v="162.5"/>
    <n v="160.30000000000001"/>
    <n v="170.4"/>
    <n v="157.1"/>
    <n v="160.69999999999999"/>
    <n v="167.2"/>
    <n v="160.4"/>
    <n v="162.80000000000001"/>
    <n v="164.73478260869567"/>
    <n v="163.19999999999999"/>
  </r>
  <r>
    <x v="1"/>
    <x v="8"/>
    <s v="July"/>
    <n v="149.1"/>
    <n v="210.9"/>
    <n v="185"/>
    <n v="158.19999999999999"/>
    <n v="170.6"/>
    <n v="170.9"/>
    <n v="186.4"/>
    <n v="164.7"/>
    <n v="115.7"/>
    <n v="165.5"/>
    <n v="153.4"/>
    <n v="173.5"/>
    <n v="195.5"/>
    <n v="157.9"/>
    <n v="141.9"/>
    <n v="161.5"/>
    <n v="157.69999999999999"/>
    <n v="150.69999999999999"/>
    <n v="161.5"/>
    <n v="149.5"/>
    <n v="151.19999999999999"/>
    <n v="160.30000000000001"/>
    <n v="159.6"/>
    <n v="155"/>
    <n v="162.75833333333335"/>
    <n v="161.80000000000001"/>
  </r>
  <r>
    <x v="2"/>
    <x v="8"/>
    <s v="July"/>
    <n v="146.4"/>
    <n v="206.8"/>
    <n v="182.2"/>
    <n v="157.5"/>
    <n v="182.1"/>
    <n v="163.9"/>
    <n v="164.2"/>
    <n v="164"/>
    <n v="114.5"/>
    <n v="168.3"/>
    <n v="160.9"/>
    <n v="172.2"/>
    <n v="191.2"/>
    <n v="162.80000000000001"/>
    <n v="153.1"/>
    <n v="161.5"/>
    <n v="160.69999999999999"/>
    <n v="155.80000000000001"/>
    <n v="167"/>
    <n v="153.1"/>
    <n v="155.30000000000001"/>
    <n v="163.19999999999999"/>
    <n v="160.1"/>
    <n v="159"/>
    <n v="163.57500000000002"/>
    <n v="162.5"/>
  </r>
  <r>
    <x v="0"/>
    <x v="8"/>
    <s v="August"/>
    <n v="144.9"/>
    <n v="202.3"/>
    <n v="176.5"/>
    <n v="157.5"/>
    <n v="190.9"/>
    <n v="155.69999999999999"/>
    <n v="153.9"/>
    <n v="162.80000000000001"/>
    <n v="115.2"/>
    <n v="169.8"/>
    <n v="167.6"/>
    <n v="171.9"/>
    <n v="190.2"/>
    <n v="167"/>
    <n v="162.6"/>
    <s v="NA"/>
    <n v="163.1"/>
    <n v="160.9"/>
    <n v="171.1"/>
    <n v="157.69999999999999"/>
    <n v="161.1"/>
    <n v="167.5"/>
    <n v="160.30000000000001"/>
    <n v="163.30000000000001"/>
    <n v="164.9478260869565"/>
    <n v="163.6"/>
  </r>
  <r>
    <x v="1"/>
    <x v="8"/>
    <s v="August"/>
    <n v="149.30000000000001"/>
    <n v="207.4"/>
    <n v="174.1"/>
    <n v="159.19999999999999"/>
    <n v="175"/>
    <n v="161.30000000000001"/>
    <n v="183.3"/>
    <n v="164.5"/>
    <n v="120.4"/>
    <n v="166.2"/>
    <n v="154.80000000000001"/>
    <n v="175.1"/>
    <n v="196.5"/>
    <n v="159.80000000000001"/>
    <n v="143.6"/>
    <n v="162.1"/>
    <n v="160.69999999999999"/>
    <n v="153.19999999999999"/>
    <n v="162.80000000000001"/>
    <n v="150.4"/>
    <n v="153.69999999999999"/>
    <n v="160.4"/>
    <n v="159.6"/>
    <n v="156"/>
    <n v="162.89166666666665"/>
    <n v="162.30000000000001"/>
  </r>
  <r>
    <x v="2"/>
    <x v="8"/>
    <s v="August"/>
    <n v="146.6"/>
    <n v="204"/>
    <n v="172.8"/>
    <n v="158.4"/>
    <n v="188"/>
    <n v="156.80000000000001"/>
    <n v="162.19999999999999"/>
    <n v="164.1"/>
    <n v="119.7"/>
    <n v="168.8"/>
    <n v="162.69999999999999"/>
    <n v="173.9"/>
    <n v="192.1"/>
    <n v="164.5"/>
    <n v="155.30000000000001"/>
    <n v="162.1"/>
    <n v="162.6"/>
    <n v="157.5"/>
    <n v="168.4"/>
    <n v="154"/>
    <n v="157.6"/>
    <n v="163.80000000000001"/>
    <n v="160"/>
    <n v="160"/>
    <n v="163.99583333333337"/>
    <n v="163.19999999999999"/>
  </r>
  <r>
    <x v="0"/>
    <x v="8"/>
    <s v="September"/>
    <n v="145.4"/>
    <n v="202.1"/>
    <n v="172"/>
    <n v="158"/>
    <n v="195.5"/>
    <n v="152.69999999999999"/>
    <n v="151.4"/>
    <n v="163.9"/>
    <n v="119.3"/>
    <n v="170.1"/>
    <n v="168.3"/>
    <n v="172.8"/>
    <n v="190.5"/>
    <n v="167.7"/>
    <n v="163.6"/>
    <s v="NA"/>
    <n v="163.69999999999999"/>
    <n v="161.30000000000001"/>
    <n v="171.9"/>
    <n v="157.80000000000001"/>
    <n v="162.69999999999999"/>
    <n v="168.5"/>
    <n v="160.19999999999999"/>
    <n v="163.80000000000001"/>
    <n v="165.35652173913041"/>
    <n v="164"/>
  </r>
  <r>
    <x v="1"/>
    <x v="8"/>
    <s v="September"/>
    <n v="149.30000000000001"/>
    <n v="207.4"/>
    <n v="174.1"/>
    <n v="159.1"/>
    <n v="175"/>
    <n v="161.19999999999999"/>
    <n v="183.5"/>
    <n v="164.5"/>
    <n v="120.4"/>
    <n v="166.2"/>
    <n v="154.80000000000001"/>
    <n v="175.1"/>
    <n v="196.5"/>
    <n v="159.80000000000001"/>
    <n v="143.6"/>
    <n v="162.1"/>
    <n v="160.80000000000001"/>
    <n v="153.30000000000001"/>
    <n v="162.80000000000001"/>
    <n v="150.5"/>
    <n v="153.9"/>
    <n v="160.30000000000001"/>
    <n v="159.6"/>
    <n v="156"/>
    <n v="162.90833333333339"/>
    <n v="162.30000000000001"/>
  </r>
  <r>
    <x v="2"/>
    <x v="8"/>
    <s v="September"/>
    <n v="146.6"/>
    <n v="204"/>
    <n v="172.8"/>
    <n v="158.4"/>
    <n v="188"/>
    <n v="156.69999999999999"/>
    <n v="162.30000000000001"/>
    <n v="164.1"/>
    <n v="119.7"/>
    <n v="168.8"/>
    <n v="162.69999999999999"/>
    <n v="173.9"/>
    <n v="192.1"/>
    <n v="164.6"/>
    <n v="155.30000000000001"/>
    <n v="162.1"/>
    <n v="162.6"/>
    <n v="157.5"/>
    <n v="168.4"/>
    <n v="154"/>
    <n v="157.69999999999999"/>
    <n v="163.69999999999999"/>
    <n v="160"/>
    <n v="160"/>
    <n v="163.99999999999997"/>
    <n v="163.19999999999999"/>
  </r>
  <r>
    <x v="0"/>
    <x v="8"/>
    <s v="October"/>
    <n v="146.1"/>
    <n v="202.5"/>
    <n v="170.1"/>
    <n v="158.4"/>
    <n v="198.8"/>
    <n v="152.6"/>
    <n v="170.4"/>
    <n v="165.2"/>
    <n v="121.6"/>
    <n v="170.6"/>
    <n v="168.8"/>
    <n v="173.6"/>
    <n v="191.2"/>
    <n v="168.9"/>
    <n v="164.8"/>
    <s v="NA"/>
    <n v="165.5"/>
    <n v="162"/>
    <n v="172.5"/>
    <n v="159.5"/>
    <n v="163.19999999999999"/>
    <n v="169"/>
    <n v="161.1"/>
    <n v="164.7"/>
    <n v="167.00434782608693"/>
    <n v="166.3"/>
  </r>
  <r>
    <x v="1"/>
    <x v="8"/>
    <s v="October"/>
    <n v="150.1"/>
    <n v="208.4"/>
    <n v="173"/>
    <n v="159.19999999999999"/>
    <n v="176.6"/>
    <n v="159.30000000000001"/>
    <n v="214.4"/>
    <n v="165.3"/>
    <n v="122.5"/>
    <n v="166.8"/>
    <n v="155.4"/>
    <n v="175.9"/>
    <n v="197"/>
    <n v="160.80000000000001"/>
    <n v="144.4"/>
    <n v="163.6"/>
    <n v="162.19999999999999"/>
    <n v="154.30000000000001"/>
    <n v="163.5"/>
    <n v="152.19999999999999"/>
    <n v="155.1"/>
    <n v="160.30000000000001"/>
    <n v="160.30000000000001"/>
    <n v="157"/>
    <n v="164.90000000000003"/>
    <n v="164.6"/>
  </r>
  <r>
    <x v="2"/>
    <x v="8"/>
    <s v="October"/>
    <n v="147.4"/>
    <n v="204.6"/>
    <n v="171.2"/>
    <n v="158.69999999999999"/>
    <n v="190.6"/>
    <n v="155.69999999999999"/>
    <n v="185.3"/>
    <n v="165.2"/>
    <n v="121.9"/>
    <n v="169.3"/>
    <n v="163.19999999999999"/>
    <n v="174.7"/>
    <n v="192.7"/>
    <n v="165.7"/>
    <n v="156.30000000000001"/>
    <n v="163.6"/>
    <n v="164.2"/>
    <n v="158.4"/>
    <n v="169.1"/>
    <n v="155.69999999999999"/>
    <n v="158.6"/>
    <n v="163.9"/>
    <n v="160.80000000000001"/>
    <n v="161"/>
    <n v="165.74166666666665"/>
    <n v="165.5"/>
  </r>
  <r>
    <x v="0"/>
    <x v="8"/>
    <s v="November"/>
    <n v="146.9"/>
    <n v="199.8"/>
    <n v="171.5"/>
    <n v="159.1"/>
    <n v="198.4"/>
    <n v="153.19999999999999"/>
    <n v="183.9"/>
    <n v="165.4"/>
    <n v="122.1"/>
    <n v="170.8"/>
    <n v="169.1"/>
    <n v="174.3"/>
    <n v="191.4"/>
    <n v="170.4"/>
    <n v="166"/>
    <s v="NA"/>
    <n v="165.3"/>
    <n v="162.9"/>
    <n v="173.4"/>
    <n v="158.9"/>
    <n v="163.80000000000001"/>
    <n v="169.3"/>
    <n v="162.4"/>
    <n v="165.2"/>
    <n v="167.97826086956525"/>
    <n v="167.6"/>
  </r>
  <r>
    <x v="1"/>
    <x v="8"/>
    <s v="November"/>
    <n v="151"/>
    <n v="204.9"/>
    <n v="175.4"/>
    <n v="159.6"/>
    <n v="175.8"/>
    <n v="160.30000000000001"/>
    <n v="229.1"/>
    <n v="165.1"/>
    <n v="123.1"/>
    <n v="167.2"/>
    <n v="156.1"/>
    <n v="176.8"/>
    <n v="197"/>
    <n v="162.30000000000001"/>
    <n v="145.30000000000001"/>
    <n v="164.2"/>
    <n v="161.6"/>
    <n v="155.19999999999999"/>
    <n v="164.2"/>
    <n v="151.19999999999999"/>
    <n v="156.69999999999999"/>
    <n v="160.80000000000001"/>
    <n v="161.80000000000001"/>
    <n v="157.30000000000001"/>
    <n v="165.91666666666666"/>
    <n v="165.6"/>
  </r>
  <r>
    <x v="2"/>
    <x v="8"/>
    <s v="November"/>
    <n v="148.19999999999999"/>
    <n v="201.6"/>
    <n v="173"/>
    <n v="159.30000000000001"/>
    <n v="190.1"/>
    <n v="156.5"/>
    <n v="199.2"/>
    <n v="165.3"/>
    <n v="122.4"/>
    <n v="169.6"/>
    <n v="163.69999999999999"/>
    <n v="175.5"/>
    <n v="192.9"/>
    <n v="167.2"/>
    <n v="157.4"/>
    <n v="164.2"/>
    <n v="163.9"/>
    <n v="159.30000000000001"/>
    <n v="169.9"/>
    <n v="154.80000000000001"/>
    <n v="159.80000000000001"/>
    <n v="164.3"/>
    <n v="162.19999999999999"/>
    <n v="161.4"/>
    <n v="166.73750000000001"/>
    <n v="166.7"/>
  </r>
  <r>
    <x v="0"/>
    <x v="8"/>
    <s v="December"/>
    <n v="147.4"/>
    <n v="197"/>
    <n v="176.5"/>
    <n v="159.80000000000001"/>
    <n v="195.8"/>
    <n v="152"/>
    <n v="172.3"/>
    <n v="164.5"/>
    <n v="120.6"/>
    <n v="171.7"/>
    <n v="169.7"/>
    <n v="175.1"/>
    <n v="190.8"/>
    <n v="171.8"/>
    <n v="167.3"/>
    <s v="NA"/>
    <n v="165.6"/>
    <n v="163.9"/>
    <n v="174"/>
    <n v="160.1"/>
    <n v="164.5"/>
    <n v="169.7"/>
    <n v="162.80000000000001"/>
    <n v="166"/>
    <n v="167.77826086956523"/>
    <n v="167"/>
  </r>
  <r>
    <x v="1"/>
    <x v="8"/>
    <s v="December"/>
    <n v="151.6"/>
    <n v="202.2"/>
    <n v="180"/>
    <n v="160"/>
    <n v="173.5"/>
    <n v="158.30000000000001"/>
    <n v="219.5"/>
    <n v="164.2"/>
    <n v="121.9"/>
    <n v="168.2"/>
    <n v="156.5"/>
    <n v="178.2"/>
    <n v="196.8"/>
    <n v="163.30000000000001"/>
    <n v="146.69999999999999"/>
    <n v="163.4"/>
    <n v="161.69999999999999"/>
    <n v="156"/>
    <n v="165.1"/>
    <n v="151.80000000000001"/>
    <n v="157.6"/>
    <n v="160.6"/>
    <n v="162.4"/>
    <n v="157.80000000000001"/>
    <n v="165.72083333333333"/>
    <n v="165.2"/>
  </r>
  <r>
    <x v="2"/>
    <x v="8"/>
    <s v="December"/>
    <n v="148.69999999999999"/>
    <n v="198.8"/>
    <n v="177.9"/>
    <n v="159.9"/>
    <n v="187.6"/>
    <n v="154.9"/>
    <n v="188.3"/>
    <n v="164.4"/>
    <n v="121"/>
    <n v="170.5"/>
    <n v="164.2"/>
    <n v="176.5"/>
    <n v="192.4"/>
    <n v="168.5"/>
    <n v="158.69999999999999"/>
    <n v="163.4"/>
    <n v="164.1"/>
    <n v="160.19999999999999"/>
    <n v="170.6"/>
    <n v="155.69999999999999"/>
    <n v="160.6"/>
    <n v="164.4"/>
    <n v="162.6"/>
    <n v="162"/>
    <n v="166.49583333333331"/>
    <n v="166.2"/>
  </r>
  <r>
    <x v="0"/>
    <x v="9"/>
    <s v="January"/>
    <n v="148.30000000000001"/>
    <n v="196.9"/>
    <n v="178"/>
    <n v="160.5"/>
    <n v="192.6"/>
    <n v="151.19999999999999"/>
    <n v="159.19999999999999"/>
    <n v="164"/>
    <n v="119.3"/>
    <n v="173.3"/>
    <n v="169.8"/>
    <n v="175.8"/>
    <n v="190.7"/>
    <n v="173.2"/>
    <n v="169.3"/>
    <s v="NA"/>
    <n v="165.8"/>
    <n v="164.9"/>
    <n v="174.7"/>
    <n v="160.80000000000001"/>
    <n v="164.9"/>
    <n v="169.9"/>
    <n v="163.19999999999999"/>
    <n v="166.6"/>
    <n v="167.51739130434783"/>
    <n v="166.4"/>
  </r>
  <r>
    <x v="1"/>
    <x v="9"/>
    <s v="January"/>
    <n v="152.19999999999999"/>
    <n v="202.1"/>
    <n v="180.1"/>
    <n v="160.4"/>
    <n v="171"/>
    <n v="156.5"/>
    <n v="203.6"/>
    <n v="163.80000000000001"/>
    <n v="121.3"/>
    <n v="169.8"/>
    <n v="156.6"/>
    <n v="179"/>
    <n v="196.4"/>
    <n v="164.7"/>
    <n v="148.5"/>
    <n v="164.5"/>
    <n v="161.6"/>
    <n v="156.80000000000001"/>
    <n v="166.1"/>
    <n v="152.69999999999999"/>
    <n v="158.4"/>
    <n v="161"/>
    <n v="162.80000000000001"/>
    <n v="158.6"/>
    <n v="165.35416666666666"/>
    <n v="165"/>
  </r>
  <r>
    <x v="2"/>
    <x v="9"/>
    <s v="January"/>
    <n v="149.5"/>
    <n v="198.7"/>
    <n v="178.8"/>
    <n v="160.5"/>
    <n v="184.7"/>
    <n v="153.69999999999999"/>
    <n v="174.3"/>
    <n v="163.9"/>
    <n v="120"/>
    <n v="172.1"/>
    <n v="164.3"/>
    <n v="177.3"/>
    <n v="192.2"/>
    <n v="169.9"/>
    <n v="160.69999999999999"/>
    <n v="164.5"/>
    <n v="164.2"/>
    <n v="161.1"/>
    <n v="171.4"/>
    <n v="156.5"/>
    <n v="161.19999999999999"/>
    <n v="164.7"/>
    <n v="163"/>
    <n v="162.69999999999999"/>
    <n v="166.24583333333331"/>
    <n v="165.7"/>
  </r>
  <r>
    <x v="0"/>
    <x v="9"/>
    <s v="February"/>
    <n v="148.80000000000001"/>
    <n v="198.1"/>
    <n v="175.5"/>
    <n v="160.69999999999999"/>
    <n v="192.6"/>
    <n v="151.4"/>
    <n v="155.19999999999999"/>
    <n v="163.9"/>
    <n v="118.1"/>
    <n v="175.4"/>
    <n v="170.5"/>
    <n v="176.3"/>
    <n v="191.5"/>
    <n v="174.1"/>
    <n v="171"/>
    <s v="NA"/>
    <n v="167.4"/>
    <n v="165.7"/>
    <n v="175.3"/>
    <n v="161.19999999999999"/>
    <n v="165.5"/>
    <n v="170.3"/>
    <n v="164.5"/>
    <n v="167.3"/>
    <n v="167.83913043478262"/>
    <n v="166.7"/>
  </r>
  <r>
    <x v="1"/>
    <x v="9"/>
    <s v="February"/>
    <n v="152.5"/>
    <n v="205.2"/>
    <n v="176.4"/>
    <n v="160.6"/>
    <n v="171.5"/>
    <n v="156.4"/>
    <n v="198"/>
    <n v="163.19999999999999"/>
    <n v="120.6"/>
    <n v="172.2"/>
    <n v="156.69999999999999"/>
    <n v="180"/>
    <n v="196.5"/>
    <n v="165.7"/>
    <n v="150.4"/>
    <n v="165.5"/>
    <n v="163"/>
    <n v="157.4"/>
    <n v="167.2"/>
    <n v="153.1"/>
    <n v="159.5"/>
    <n v="162"/>
    <n v="164.2"/>
    <n v="159.4"/>
    <n v="165.71666666666667"/>
    <n v="165.5"/>
  </r>
  <r>
    <x v="2"/>
    <x v="9"/>
    <s v="February"/>
    <n v="150"/>
    <n v="200.6"/>
    <n v="175.8"/>
    <n v="160.69999999999999"/>
    <n v="184.9"/>
    <n v="153.69999999999999"/>
    <n v="169.7"/>
    <n v="163.69999999999999"/>
    <n v="118.9"/>
    <n v="174.3"/>
    <n v="164.7"/>
    <n v="178"/>
    <n v="192.8"/>
    <n v="170.8"/>
    <n v="162.4"/>
    <n v="165.5"/>
    <n v="165.7"/>
    <n v="161.80000000000001"/>
    <n v="172.2"/>
    <n v="156.9"/>
    <n v="162.1"/>
    <n v="165.4"/>
    <n v="164.4"/>
    <n v="163.5"/>
    <n v="166.60416666666669"/>
    <n v="166.1"/>
  </r>
  <r>
    <x v="0"/>
    <x v="9"/>
    <s v="March"/>
    <n v="150.19999999999999"/>
    <n v="208"/>
    <n v="167.9"/>
    <n v="162"/>
    <n v="203.1"/>
    <n v="155.9"/>
    <n v="155.80000000000001"/>
    <n v="164.2"/>
    <n v="118.1"/>
    <n v="178.7"/>
    <n v="171.2"/>
    <n v="177.4"/>
    <n v="192.3"/>
    <n v="175.4"/>
    <n v="173.2"/>
    <s v="NA"/>
    <n v="168.9"/>
    <n v="166.5"/>
    <n v="176"/>
    <n v="162"/>
    <n v="166.6"/>
    <n v="170.6"/>
    <n v="167.4"/>
    <n v="168.3"/>
    <n v="169.5521739130435"/>
    <n v="168.7"/>
  </r>
  <r>
    <x v="1"/>
    <x v="9"/>
    <s v="March"/>
    <n v="153.69999999999999"/>
    <n v="215.8"/>
    <n v="167.7"/>
    <n v="162.6"/>
    <n v="180"/>
    <n v="159.6"/>
    <n v="188.4"/>
    <n v="163.4"/>
    <n v="120.3"/>
    <n v="174.7"/>
    <n v="157.1"/>
    <n v="181.5"/>
    <n v="197.5"/>
    <n v="167.1"/>
    <n v="152.6"/>
    <n v="165.3"/>
    <n v="164.5"/>
    <n v="158.6"/>
    <n v="168.2"/>
    <n v="154.19999999999999"/>
    <n v="160.80000000000001"/>
    <n v="162.69999999999999"/>
    <n v="166.8"/>
    <n v="160.6"/>
    <n v="166.82083333333333"/>
    <n v="166.5"/>
  </r>
  <r>
    <x v="2"/>
    <x v="9"/>
    <s v="March"/>
    <n v="151.30000000000001"/>
    <n v="210.7"/>
    <n v="167.8"/>
    <n v="162.19999999999999"/>
    <n v="194.6"/>
    <n v="157.6"/>
    <n v="166.9"/>
    <n v="163.9"/>
    <n v="118.8"/>
    <n v="177.4"/>
    <n v="165.3"/>
    <n v="179.3"/>
    <n v="193.7"/>
    <n v="172.1"/>
    <n v="164.6"/>
    <n v="165.3"/>
    <n v="167.2"/>
    <n v="162.80000000000001"/>
    <n v="173"/>
    <n v="157.9"/>
    <n v="163.30000000000001"/>
    <n v="166"/>
    <n v="167.2"/>
    <n v="164.6"/>
    <n v="168.0625"/>
    <n v="167.7"/>
  </r>
  <r>
    <x v="0"/>
    <x v="9"/>
    <s v="April"/>
    <n v="151.80000000000001"/>
    <n v="209.7"/>
    <n v="164.5"/>
    <n v="163.80000000000001"/>
    <n v="207.4"/>
    <n v="169.7"/>
    <n v="153.6"/>
    <n v="165.1"/>
    <n v="118.2"/>
    <n v="182.9"/>
    <n v="172.4"/>
    <n v="178.9"/>
    <n v="192.8"/>
    <n v="177.5"/>
    <n v="175.1"/>
    <s v="NA"/>
    <n v="173.3"/>
    <n v="167.7"/>
    <n v="177"/>
    <n v="166.2"/>
    <n v="167.2"/>
    <n v="170.9"/>
    <n v="169"/>
    <n v="170.2"/>
    <n v="171.5173913043478"/>
    <n v="170.8"/>
  </r>
  <r>
    <x v="1"/>
    <x v="9"/>
    <s v="April"/>
    <n v="155.4"/>
    <n v="215.8"/>
    <n v="164.6"/>
    <n v="164.2"/>
    <n v="186"/>
    <n v="175.9"/>
    <n v="190.7"/>
    <n v="164"/>
    <n v="120.5"/>
    <n v="178"/>
    <n v="157.5"/>
    <n v="183.3"/>
    <n v="197.1"/>
    <n v="168.4"/>
    <n v="154.5"/>
    <n v="167"/>
    <n v="170.5"/>
    <n v="159.80000000000001"/>
    <n v="169"/>
    <n v="159.30000000000001"/>
    <n v="162.19999999999999"/>
    <n v="164"/>
    <n v="168.4"/>
    <n v="163.1"/>
    <n v="169.13333333333335"/>
    <n v="169.2"/>
  </r>
  <r>
    <x v="2"/>
    <x v="9"/>
    <s v="April"/>
    <n v="152.9"/>
    <n v="211.8"/>
    <n v="164.5"/>
    <n v="163.9"/>
    <n v="199.5"/>
    <n v="172.6"/>
    <n v="166.2"/>
    <n v="164.7"/>
    <n v="119"/>
    <n v="181.3"/>
    <n v="166.2"/>
    <n v="180.9"/>
    <n v="193.9"/>
    <n v="173.9"/>
    <n v="166.5"/>
    <n v="167"/>
    <n v="172.2"/>
    <n v="164"/>
    <n v="174"/>
    <n v="162.6"/>
    <n v="164.4"/>
    <n v="166.9"/>
    <n v="168.8"/>
    <n v="166.8"/>
    <n v="170.18750000000003"/>
    <n v="170.1"/>
  </r>
  <r>
    <x v="0"/>
    <x v="9"/>
    <s v="May"/>
    <n v="152.9"/>
    <n v="214.7"/>
    <n v="161.4"/>
    <n v="164.6"/>
    <n v="209.9"/>
    <n v="168"/>
    <n v="160.4"/>
    <n v="165"/>
    <n v="118.9"/>
    <n v="186.6"/>
    <n v="173.2"/>
    <n v="180.4"/>
    <n v="192.9"/>
    <n v="179.3"/>
    <n v="177.2"/>
    <s v="NA"/>
    <n v="175.3"/>
    <n v="168.9"/>
    <n v="177.7"/>
    <n v="167.1"/>
    <n v="167.6"/>
    <n v="171.8"/>
    <n v="168.5"/>
    <n v="170.9"/>
    <n v="172.74782608695654"/>
    <n v="172.5"/>
  </r>
  <r>
    <x v="1"/>
    <x v="9"/>
    <s v="May"/>
    <n v="156.69999999999999"/>
    <n v="221.2"/>
    <n v="164.1"/>
    <n v="165.4"/>
    <n v="189.5"/>
    <n v="174.5"/>
    <n v="203.2"/>
    <n v="164.1"/>
    <n v="121.2"/>
    <n v="181.4"/>
    <n v="158.5"/>
    <n v="184.9"/>
    <n v="197.5"/>
    <n v="170"/>
    <n v="155.9"/>
    <n v="167.5"/>
    <n v="173.5"/>
    <n v="161.1"/>
    <n v="170.1"/>
    <n v="159.4"/>
    <n v="163.19999999999999"/>
    <n v="165.2"/>
    <n v="168.2"/>
    <n v="163.80000000000001"/>
    <n v="170.83749999999998"/>
    <n v="170.8"/>
  </r>
  <r>
    <x v="2"/>
    <x v="9"/>
    <s v="May"/>
    <n v="154.1"/>
    <n v="217"/>
    <n v="162.4"/>
    <n v="164.9"/>
    <n v="202.4"/>
    <n v="171"/>
    <n v="174.9"/>
    <n v="164.7"/>
    <n v="119.7"/>
    <n v="184.9"/>
    <n v="167.1"/>
    <n v="182.5"/>
    <n v="194.1"/>
    <n v="175.6"/>
    <n v="168.4"/>
    <n v="167.5"/>
    <n v="174.6"/>
    <n v="165.2"/>
    <n v="174.8"/>
    <n v="163"/>
    <n v="165.1"/>
    <n v="167.9"/>
    <n v="168.4"/>
    <n v="167.5"/>
    <n v="171.57083333333335"/>
    <n v="171.7"/>
  </r>
  <r>
    <x v="0"/>
    <x v="9"/>
    <s v="June"/>
    <n v="153.80000000000001"/>
    <n v="217.2"/>
    <n v="169.6"/>
    <n v="165.4"/>
    <n v="208.1"/>
    <n v="165.8"/>
    <n v="167.3"/>
    <n v="164.6"/>
    <n v="119.1"/>
    <n v="188.9"/>
    <n v="174.2"/>
    <n v="181.9"/>
    <n v="192.9"/>
    <n v="180.7"/>
    <n v="178.7"/>
    <s v="NA"/>
    <n v="176.7"/>
    <n v="170.3"/>
    <n v="178.2"/>
    <n v="165.5"/>
    <n v="168"/>
    <n v="172.6"/>
    <n v="169.5"/>
    <n v="171"/>
    <n v="173.91304347826085"/>
    <n v="173.6"/>
  </r>
  <r>
    <x v="1"/>
    <x v="9"/>
    <s v="June"/>
    <n v="157.5"/>
    <n v="223.4"/>
    <n v="172.8"/>
    <n v="166.4"/>
    <n v="188.6"/>
    <n v="174.1"/>
    <n v="211.5"/>
    <n v="163.6"/>
    <n v="121.4"/>
    <n v="183.5"/>
    <n v="159.1"/>
    <n v="186.3"/>
    <n v="198.3"/>
    <n v="171.6"/>
    <n v="157.4"/>
    <n v="166.8"/>
    <n v="174.9"/>
    <n v="162.1"/>
    <n v="170.9"/>
    <n v="157.19999999999999"/>
    <n v="164.1"/>
    <n v="166.5"/>
    <n v="169.2"/>
    <n v="163.80000000000001"/>
    <n v="172.125"/>
    <n v="171.4"/>
  </r>
  <r>
    <x v="2"/>
    <x v="9"/>
    <s v="June"/>
    <n v="155"/>
    <n v="219.4"/>
    <n v="170.8"/>
    <n v="165.8"/>
    <n v="200.9"/>
    <n v="169.7"/>
    <n v="182.3"/>
    <n v="164.3"/>
    <n v="119.9"/>
    <n v="187.1"/>
    <n v="167.9"/>
    <n v="183.9"/>
    <n v="194.3"/>
    <n v="177.1"/>
    <n v="169.9"/>
    <n v="166.8"/>
    <n v="176"/>
    <n v="166.4"/>
    <n v="175.4"/>
    <n v="161.1"/>
    <n v="165.8"/>
    <n v="169"/>
    <n v="169.4"/>
    <n v="167.5"/>
    <n v="172.73750000000004"/>
    <n v="172.6"/>
  </r>
  <r>
    <x v="0"/>
    <x v="9"/>
    <s v="July"/>
    <n v="155.19999999999999"/>
    <n v="210.8"/>
    <n v="174.3"/>
    <n v="166.3"/>
    <n v="202.2"/>
    <n v="169.6"/>
    <n v="168.6"/>
    <n v="164.4"/>
    <n v="119.2"/>
    <n v="191.8"/>
    <n v="174.5"/>
    <n v="183.1"/>
    <n v="193.2"/>
    <n v="182"/>
    <n v="180.3"/>
    <s v="NA"/>
    <n v="179.6"/>
    <n v="171.3"/>
    <n v="178.8"/>
    <n v="166.3"/>
    <n v="168.6"/>
    <n v="174.7"/>
    <n v="169.7"/>
    <n v="171.8"/>
    <n v="174.6217391304348"/>
    <n v="174.3"/>
  </r>
  <r>
    <x v="1"/>
    <x v="9"/>
    <s v="July"/>
    <n v="159.30000000000001"/>
    <n v="217.1"/>
    <n v="176.6"/>
    <n v="167.1"/>
    <n v="184.8"/>
    <n v="179.5"/>
    <n v="208.5"/>
    <n v="164"/>
    <n v="121.5"/>
    <n v="186.3"/>
    <n v="159.80000000000001"/>
    <n v="187.7"/>
    <n v="198.6"/>
    <n v="172.7"/>
    <n v="158.69999999999999"/>
    <n v="167.8"/>
    <n v="179.5"/>
    <n v="163.1"/>
    <n v="171.7"/>
    <n v="157.4"/>
    <n v="164.6"/>
    <n v="169.1"/>
    <n v="169.8"/>
    <n v="164.7"/>
    <n v="172.91249999999999"/>
    <n v="172.3"/>
  </r>
  <r>
    <x v="2"/>
    <x v="9"/>
    <s v="July"/>
    <n v="156.5"/>
    <n v="213"/>
    <n v="175.2"/>
    <n v="166.6"/>
    <n v="195.8"/>
    <n v="174.2"/>
    <n v="182.1"/>
    <n v="164.3"/>
    <n v="120"/>
    <n v="190"/>
    <n v="168.4"/>
    <n v="185.2"/>
    <n v="194.6"/>
    <n v="178.3"/>
    <n v="171.3"/>
    <n v="167.8"/>
    <n v="179.6"/>
    <n v="167.4"/>
    <n v="176.1"/>
    <n v="161.6"/>
    <n v="166.3"/>
    <n v="171.4"/>
    <n v="169.7"/>
    <n v="168.4"/>
    <n v="173.49166666666667"/>
    <n v="173.4"/>
  </r>
  <r>
    <x v="0"/>
    <x v="9"/>
    <s v="August"/>
    <n v="159.5"/>
    <n v="204.1"/>
    <n v="168.3"/>
    <n v="167.9"/>
    <n v="198.1"/>
    <n v="169.2"/>
    <n v="173.1"/>
    <n v="167.1"/>
    <n v="120.2"/>
    <n v="195.6"/>
    <n v="174.8"/>
    <n v="184"/>
    <n v="193.7"/>
    <n v="183.2"/>
    <n v="181.7"/>
    <s v="NA"/>
    <n v="179.1"/>
    <n v="172.3"/>
    <n v="179.4"/>
    <n v="166.6"/>
    <n v="169.3"/>
    <n v="175.7"/>
    <n v="171.1"/>
    <n v="172.6"/>
    <n v="175.06956521739127"/>
    <n v="175.3"/>
  </r>
  <r>
    <x v="1"/>
    <x v="9"/>
    <s v="August"/>
    <n v="162.1"/>
    <n v="210.9"/>
    <n v="170.6"/>
    <n v="168.4"/>
    <n v="182.5"/>
    <n v="177.1"/>
    <n v="213.1"/>
    <n v="167.3"/>
    <n v="122.2"/>
    <n v="189.7"/>
    <n v="160.5"/>
    <n v="188.9"/>
    <n v="198.7"/>
    <n v="173.7"/>
    <n v="160"/>
    <n v="169"/>
    <n v="178.4"/>
    <n v="164.2"/>
    <n v="172.6"/>
    <n v="157.69999999999999"/>
    <n v="165.1"/>
    <n v="169.9"/>
    <n v="171.4"/>
    <n v="165.4"/>
    <n v="173.30833333333328"/>
    <n v="173.1"/>
  </r>
  <r>
    <x v="2"/>
    <x v="9"/>
    <s v="August"/>
    <n v="160.30000000000001"/>
    <n v="206.5"/>
    <n v="169.2"/>
    <n v="168.1"/>
    <n v="192.4"/>
    <n v="172.9"/>
    <n v="186.7"/>
    <n v="167.2"/>
    <n v="120.9"/>
    <n v="193.6"/>
    <n v="168.8"/>
    <n v="186.3"/>
    <n v="195"/>
    <n v="179.5"/>
    <n v="172.7"/>
    <n v="169"/>
    <n v="178.8"/>
    <n v="168.5"/>
    <n v="176.8"/>
    <n v="161.9"/>
    <n v="166.9"/>
    <n v="172.3"/>
    <n v="171.2"/>
    <n v="169.1"/>
    <n v="173.94166666666669"/>
    <n v="174.3"/>
  </r>
  <r>
    <x v="0"/>
    <x v="9"/>
    <s v="September"/>
    <n v="162.9"/>
    <n v="206.7"/>
    <n v="169"/>
    <n v="169.5"/>
    <n v="194.1"/>
    <n v="164.1"/>
    <n v="176.9"/>
    <n v="169"/>
    <n v="120.8"/>
    <n v="199.1"/>
    <n v="175.4"/>
    <n v="184.8"/>
    <n v="194.5"/>
    <n v="184.7"/>
    <n v="183.3"/>
    <s v="NA"/>
    <n v="179.7"/>
    <n v="173.6"/>
    <n v="180.2"/>
    <n v="166.9"/>
    <n v="170"/>
    <n v="176.2"/>
    <n v="170.8"/>
    <n v="173.1"/>
    <n v="175.88260869565215"/>
    <n v="176.4"/>
  </r>
  <r>
    <x v="1"/>
    <x v="9"/>
    <s v="September"/>
    <n v="164.9"/>
    <n v="213.7"/>
    <n v="170.9"/>
    <n v="170.1"/>
    <n v="179.3"/>
    <n v="167.5"/>
    <n v="220.8"/>
    <n v="169.2"/>
    <n v="123.1"/>
    <n v="193.6"/>
    <n v="161.1"/>
    <n v="190.4"/>
    <n v="199.7"/>
    <n v="175"/>
    <n v="161.69999999999999"/>
    <n v="169.5"/>
    <n v="179.2"/>
    <n v="165"/>
    <n v="173.8"/>
    <n v="158.19999999999999"/>
    <n v="165.8"/>
    <n v="170.9"/>
    <n v="171.1"/>
    <n v="166.1"/>
    <n v="174.19166666666663"/>
    <n v="174.1"/>
  </r>
  <r>
    <x v="2"/>
    <x v="9"/>
    <s v="September"/>
    <n v="163.5"/>
    <n v="209.2"/>
    <n v="169.7"/>
    <n v="169.7"/>
    <n v="188.7"/>
    <n v="165.7"/>
    <n v="191.8"/>
    <n v="169.1"/>
    <n v="121.6"/>
    <n v="197.3"/>
    <n v="169.4"/>
    <n v="187.4"/>
    <n v="195.9"/>
    <n v="180.9"/>
    <n v="174.3"/>
    <n v="169.5"/>
    <n v="179.5"/>
    <n v="169.5"/>
    <n v="177.8"/>
    <n v="162.30000000000001"/>
    <n v="167.6"/>
    <n v="173.1"/>
    <n v="170.9"/>
    <n v="169.7"/>
    <n v="174.75416666666669"/>
    <n v="175.3"/>
  </r>
  <r>
    <x v="0"/>
    <x v="9"/>
    <s v="October"/>
    <n v="164.7"/>
    <n v="208.8"/>
    <n v="170.3"/>
    <n v="170.9"/>
    <n v="191.6"/>
    <n v="162.19999999999999"/>
    <n v="184.8"/>
    <n v="169.7"/>
    <n v="121.1"/>
    <n v="201.6"/>
    <n v="175.8"/>
    <n v="185.6"/>
    <n v="194.9"/>
    <n v="186.1"/>
    <n v="184.4"/>
    <s v="NA"/>
    <n v="180.8"/>
    <n v="174.4"/>
    <n v="181.2"/>
    <n v="167.4"/>
    <n v="170.6"/>
    <n v="176.5"/>
    <n v="172"/>
    <n v="173.9"/>
    <n v="176.92608695652174"/>
    <n v="177.9"/>
  </r>
  <r>
    <x v="1"/>
    <x v="9"/>
    <s v="October"/>
    <n v="166.4"/>
    <n v="214.9"/>
    <n v="171.9"/>
    <n v="171"/>
    <n v="177.7"/>
    <n v="165.7"/>
    <n v="228.6"/>
    <n v="169.9"/>
    <n v="123.4"/>
    <n v="196.4"/>
    <n v="161.6"/>
    <n v="191.5"/>
    <n v="200.1"/>
    <n v="175.5"/>
    <n v="162.6"/>
    <n v="171.2"/>
    <n v="180"/>
    <n v="166"/>
    <n v="174.7"/>
    <n v="158.80000000000001"/>
    <n v="166.3"/>
    <n v="171.2"/>
    <n v="172.3"/>
    <n v="166.8"/>
    <n v="175.1875"/>
    <n v="175.3"/>
  </r>
  <r>
    <x v="2"/>
    <x v="9"/>
    <s v="October"/>
    <n v="165.2"/>
    <n v="210.9"/>
    <n v="170.9"/>
    <n v="170.9"/>
    <n v="186.5"/>
    <n v="163.80000000000001"/>
    <n v="199.7"/>
    <n v="169.8"/>
    <n v="121.9"/>
    <n v="199.9"/>
    <n v="169.9"/>
    <n v="188.3"/>
    <n v="196.3"/>
    <n v="181.9"/>
    <n v="175.3"/>
    <n v="171.2"/>
    <n v="180.5"/>
    <n v="170.4"/>
    <n v="178.7"/>
    <n v="162.9"/>
    <n v="168.2"/>
    <n v="173.4"/>
    <n v="172.1"/>
    <n v="170.5"/>
    <n v="175.79583333333335"/>
    <n v="176.7"/>
  </r>
  <r>
    <x v="0"/>
    <x v="9"/>
    <s v="November"/>
    <n v="166.9"/>
    <n v="207.2"/>
    <n v="180.2"/>
    <n v="172.3"/>
    <n v="194"/>
    <n v="159.1"/>
    <n v="171.6"/>
    <n v="170.2"/>
    <n v="121.5"/>
    <n v="204.8"/>
    <n v="176.4"/>
    <n v="186.9"/>
    <n v="195.5"/>
    <n v="187.2"/>
    <n v="185.2"/>
    <s v="NA"/>
    <n v="181.9"/>
    <n v="175.5"/>
    <n v="182.3"/>
    <n v="167.5"/>
    <n v="170.8"/>
    <n v="176.9"/>
    <n v="173.4"/>
    <n v="174.6"/>
    <n v="177.47391304347826"/>
    <n v="177.8"/>
  </r>
  <r>
    <x v="1"/>
    <x v="9"/>
    <s v="November"/>
    <n v="168.4"/>
    <n v="213.4"/>
    <n v="183.2"/>
    <n v="172.3"/>
    <n v="180"/>
    <n v="162.6"/>
    <n v="205.5"/>
    <n v="171"/>
    <n v="123.4"/>
    <n v="198.8"/>
    <n v="162.1"/>
    <n v="192.4"/>
    <n v="200.6"/>
    <n v="176.7"/>
    <n v="163.5"/>
    <n v="171.8"/>
    <n v="180.3"/>
    <n v="166.9"/>
    <n v="175.8"/>
    <n v="158.9"/>
    <n v="166.7"/>
    <n v="171.5"/>
    <n v="173.8"/>
    <n v="167.4"/>
    <n v="175.29166666666666"/>
    <n v="174.1"/>
  </r>
  <r>
    <x v="2"/>
    <x v="9"/>
    <s v="November"/>
    <n v="167.4"/>
    <n v="209.4"/>
    <n v="181.4"/>
    <n v="172.3"/>
    <n v="188.9"/>
    <n v="160.69999999999999"/>
    <n v="183.1"/>
    <n v="170.5"/>
    <n v="122.1"/>
    <n v="202.8"/>
    <n v="170.4"/>
    <n v="189.5"/>
    <n v="196.9"/>
    <n v="183.1"/>
    <n v="176.2"/>
    <n v="171.8"/>
    <n v="181.3"/>
    <n v="171.4"/>
    <n v="179.8"/>
    <n v="163"/>
    <n v="168.5"/>
    <n v="173.7"/>
    <n v="173.6"/>
    <n v="171.1"/>
    <n v="176.20416666666668"/>
    <n v="176.5"/>
  </r>
  <r>
    <x v="0"/>
    <x v="9"/>
    <s v="December"/>
    <n v="168.8"/>
    <n v="206.9"/>
    <n v="189.1"/>
    <n v="173.4"/>
    <n v="193.9"/>
    <n v="156.69999999999999"/>
    <n v="150.19999999999999"/>
    <n v="170.5"/>
    <n v="121.2"/>
    <n v="207.5"/>
    <n v="176.8"/>
    <n v="187.7"/>
    <n v="195.9"/>
    <n v="188.1"/>
    <n v="185.9"/>
    <s v="NA"/>
    <n v="182.8"/>
    <n v="176.4"/>
    <n v="183.5"/>
    <n v="167.8"/>
    <n v="171.2"/>
    <n v="177.3"/>
    <n v="175.7"/>
    <n v="175.5"/>
    <n v="177.51304347826087"/>
    <n v="177.1"/>
  </r>
  <r>
    <x v="1"/>
    <x v="9"/>
    <s v="December"/>
    <n v="170.2"/>
    <n v="212.9"/>
    <n v="191.9"/>
    <n v="173.9"/>
    <n v="179.1"/>
    <n v="159.5"/>
    <n v="178.7"/>
    <n v="171.3"/>
    <n v="123.1"/>
    <n v="200.5"/>
    <n v="162.80000000000001"/>
    <n v="193.3"/>
    <n v="201.1"/>
    <n v="177.7"/>
    <n v="164.5"/>
    <n v="170.7"/>
    <n v="180.6"/>
    <n v="167.3"/>
    <n v="177.2"/>
    <n v="159.4"/>
    <n v="167.1"/>
    <n v="171.8"/>
    <n v="176"/>
    <n v="168.2"/>
    <n v="174.94999999999996"/>
    <n v="174.1"/>
  </r>
  <r>
    <x v="2"/>
    <x v="9"/>
    <s v="December"/>
    <n v="169.2"/>
    <n v="209"/>
    <n v="190.2"/>
    <n v="173.6"/>
    <n v="188.5"/>
    <n v="158"/>
    <n v="159.9"/>
    <n v="170.8"/>
    <n v="121.8"/>
    <n v="205.2"/>
    <n v="171"/>
    <n v="190.3"/>
    <n v="197.3"/>
    <n v="184"/>
    <n v="177"/>
    <n v="170.7"/>
    <n v="182"/>
    <n v="172.1"/>
    <n v="181.1"/>
    <n v="163.4"/>
    <n v="168.9"/>
    <n v="174.1"/>
    <n v="175.8"/>
    <n v="172"/>
    <n v="176.07916666666665"/>
    <n v="175.7"/>
  </r>
  <r>
    <x v="0"/>
    <x v="10"/>
    <s v="January"/>
    <n v="174"/>
    <n v="208.3"/>
    <n v="192.9"/>
    <n v="174.3"/>
    <n v="192.6"/>
    <n v="156.30000000000001"/>
    <n v="142.9"/>
    <n v="170.7"/>
    <n v="120.3"/>
    <n v="210.5"/>
    <n v="176.9"/>
    <n v="188.5"/>
    <n v="196.9"/>
    <n v="189"/>
    <n v="186.3"/>
    <s v="NA"/>
    <n v="183.2"/>
    <n v="177.2"/>
    <n v="184.7"/>
    <n v="168.2"/>
    <n v="171.8"/>
    <n v="177.8"/>
    <n v="178.4"/>
    <n v="176.5"/>
    <n v="178.18260869565219"/>
    <n v="177.8"/>
  </r>
  <r>
    <x v="1"/>
    <x v="10"/>
    <s v="January"/>
    <n v="173.3"/>
    <n v="215.2"/>
    <n v="197"/>
    <n v="175.2"/>
    <n v="178"/>
    <n v="160.5"/>
    <n v="175.3"/>
    <n v="171.2"/>
    <n v="122.7"/>
    <n v="204.3"/>
    <n v="163.69999999999999"/>
    <n v="194.3"/>
    <n v="201.6"/>
    <n v="178.7"/>
    <n v="165.3"/>
    <n v="172.1"/>
    <n v="180.1"/>
    <n v="168"/>
    <n v="178.5"/>
    <n v="159.5"/>
    <n v="167.8"/>
    <n v="171.8"/>
    <n v="178.8"/>
    <n v="168.9"/>
    <n v="175.90833333333333"/>
    <n v="174.9"/>
  </r>
  <r>
    <x v="2"/>
    <x v="10"/>
    <s v="January"/>
    <n v="173.8"/>
    <n v="210.7"/>
    <n v="194.5"/>
    <n v="174.6"/>
    <n v="187.2"/>
    <n v="158.30000000000001"/>
    <n v="153.9"/>
    <n v="170.9"/>
    <n v="121.1"/>
    <n v="208.4"/>
    <n v="171.4"/>
    <n v="191.2"/>
    <n v="198.2"/>
    <n v="184.9"/>
    <n v="177.6"/>
    <n v="172.1"/>
    <n v="182"/>
    <n v="172.9"/>
    <n v="182.3"/>
    <n v="163.6"/>
    <n v="169.5"/>
    <n v="174.3"/>
    <n v="178.6"/>
    <n v="172.8"/>
    <n v="176.86666666666667"/>
    <n v="176.5"/>
  </r>
  <r>
    <x v="0"/>
    <x v="10"/>
    <s v="February"/>
    <n v="174.2"/>
    <n v="205.2"/>
    <n v="173.9"/>
    <n v="177"/>
    <n v="183.4"/>
    <n v="167.2"/>
    <n v="140.9"/>
    <n v="170.4"/>
    <n v="119.1"/>
    <n v="212.1"/>
    <n v="177.6"/>
    <n v="189.9"/>
    <n v="198.3"/>
    <n v="190"/>
    <n v="187"/>
    <s v="NA"/>
    <n v="181.6"/>
    <n v="178.6"/>
    <n v="186.6"/>
    <n v="169"/>
    <n v="172.8"/>
    <n v="178.5"/>
    <n v="180.7"/>
    <n v="177.9"/>
    <n v="177.90869565217389"/>
    <n v="178"/>
  </r>
  <r>
    <x v="1"/>
    <x v="10"/>
    <s v="February"/>
    <n v="174.7"/>
    <n v="212.2"/>
    <n v="177.2"/>
    <n v="177.9"/>
    <n v="172.2"/>
    <n v="172.1"/>
    <n v="175.8"/>
    <n v="172.2"/>
    <n v="121.9"/>
    <n v="204.8"/>
    <n v="164.9"/>
    <n v="196.6"/>
    <n v="202.7"/>
    <n v="180.3"/>
    <n v="167"/>
    <n v="173.5"/>
    <n v="182.8"/>
    <n v="169.2"/>
    <n v="180.8"/>
    <n v="159.80000000000001"/>
    <n v="168.4"/>
    <n v="172.5"/>
    <n v="181.4"/>
    <n v="170"/>
    <n v="176.28750000000002"/>
    <n v="176.3"/>
  </r>
  <r>
    <x v="2"/>
    <x v="10"/>
    <s v="February"/>
    <n v="174.4"/>
    <n v="207.7"/>
    <n v="175.2"/>
    <n v="177.3"/>
    <n v="179.3"/>
    <n v="169.5"/>
    <n v="152.69999999999999"/>
    <n v="171"/>
    <n v="120"/>
    <n v="209.7"/>
    <n v="172.3"/>
    <n v="193"/>
    <n v="199.5"/>
    <n v="186.2"/>
    <n v="178.7"/>
    <n v="173.5"/>
    <n v="182.1"/>
    <n v="174.2"/>
    <n v="184.4"/>
    <n v="164.2"/>
    <n v="170.3"/>
    <n v="175"/>
    <n v="181"/>
    <n v="174.1"/>
    <n v="176.88749999999996"/>
    <n v="177.2"/>
  </r>
  <r>
    <x v="0"/>
    <x v="10"/>
    <s v="March"/>
    <n v="174.3"/>
    <n v="205.2"/>
    <n v="173.9"/>
    <n v="177"/>
    <n v="183.3"/>
    <n v="167.2"/>
    <n v="140.9"/>
    <n v="170.5"/>
    <n v="119.1"/>
    <n v="212.1"/>
    <n v="177.6"/>
    <n v="189.9"/>
    <n v="198.4"/>
    <n v="190"/>
    <n v="187"/>
    <s v="NA"/>
    <n v="181.4"/>
    <n v="178.6"/>
    <n v="186.6"/>
    <n v="169"/>
    <n v="172.8"/>
    <n v="178.5"/>
    <n v="180.7"/>
    <n v="177.9"/>
    <n v="177.90869565217392"/>
    <n v="178"/>
  </r>
  <r>
    <x v="1"/>
    <x v="10"/>
    <s v="March"/>
    <n v="174.7"/>
    <n v="212.2"/>
    <n v="177.2"/>
    <n v="177.9"/>
    <n v="172.2"/>
    <n v="172.1"/>
    <n v="175.9"/>
    <n v="172.2"/>
    <n v="121.9"/>
    <n v="204.8"/>
    <n v="164.9"/>
    <n v="196.6"/>
    <n v="202.7"/>
    <n v="180.2"/>
    <n v="167"/>
    <n v="173.5"/>
    <n v="182.6"/>
    <n v="169.2"/>
    <n v="180.8"/>
    <n v="159.80000000000001"/>
    <n v="168.4"/>
    <n v="172.5"/>
    <n v="181.5"/>
    <n v="170"/>
    <n v="176.2833333333333"/>
    <n v="176.3"/>
  </r>
  <r>
    <x v="2"/>
    <x v="10"/>
    <s v="March"/>
    <n v="174.4"/>
    <n v="207.7"/>
    <n v="175.2"/>
    <n v="177.3"/>
    <n v="179.2"/>
    <n v="169.5"/>
    <n v="152.80000000000001"/>
    <n v="171.1"/>
    <n v="120"/>
    <n v="209.7"/>
    <n v="172.3"/>
    <n v="193"/>
    <n v="199.5"/>
    <n v="186.1"/>
    <n v="178.7"/>
    <n v="173.5"/>
    <n v="181.9"/>
    <n v="174.2"/>
    <n v="184.4"/>
    <n v="164.2"/>
    <n v="170.3"/>
    <n v="175"/>
    <n v="181"/>
    <n v="174.1"/>
    <n v="176.87916666666663"/>
    <n v="177.2"/>
  </r>
  <r>
    <x v="0"/>
    <x v="10"/>
    <s v="April"/>
    <n v="173.3"/>
    <n v="206.9"/>
    <n v="167.9"/>
    <n v="178.2"/>
    <n v="178.5"/>
    <n v="173.7"/>
    <n v="142.80000000000001"/>
    <n v="172.8"/>
    <n v="120.4"/>
    <n v="215.5"/>
    <n v="178.2"/>
    <n v="190.5"/>
    <n v="199.5"/>
    <n v="190.7"/>
    <n v="187.3"/>
    <s v="-"/>
    <n v="181.5"/>
    <n v="179.1"/>
    <n v="187.2"/>
    <n v="169.4"/>
    <n v="173.2"/>
    <n v="179.4"/>
    <n v="183.8"/>
    <n v="178.9"/>
    <n v="178.6391304347826"/>
    <n v="178.8"/>
  </r>
  <r>
    <x v="1"/>
    <x v="10"/>
    <s v="April"/>
    <n v="174.8"/>
    <n v="213.7"/>
    <n v="172.4"/>
    <n v="178.8"/>
    <n v="168.7"/>
    <n v="179.2"/>
    <n v="179.9"/>
    <n v="174.7"/>
    <n v="123.1"/>
    <n v="207.8"/>
    <n v="165.5"/>
    <n v="197"/>
    <n v="203.5"/>
    <n v="181"/>
    <n v="167.7"/>
    <n v="175.2"/>
    <n v="182.1"/>
    <n v="169.6"/>
    <n v="181.5"/>
    <n v="160.1"/>
    <n v="168.8"/>
    <n v="174.2"/>
    <n v="184.4"/>
    <n v="170.9"/>
    <n v="177.27499999999998"/>
    <n v="177.4"/>
  </r>
  <r>
    <x v="2"/>
    <x v="10"/>
    <s v="April"/>
    <n v="173.8"/>
    <n v="209.3"/>
    <n v="169.6"/>
    <n v="178.4"/>
    <n v="174.9"/>
    <n v="176.3"/>
    <n v="155.4"/>
    <n v="173.4"/>
    <n v="121.3"/>
    <n v="212.9"/>
    <n v="172.9"/>
    <n v="193.5"/>
    <n v="200.6"/>
    <n v="186.9"/>
    <n v="179.2"/>
    <n v="175.2"/>
    <n v="181.7"/>
    <n v="174.6"/>
    <n v="185"/>
    <n v="164.5"/>
    <n v="170.7"/>
    <n v="176.4"/>
    <n v="184"/>
    <n v="175"/>
    <n v="177.72916666666666"/>
    <n v="178.1"/>
  </r>
  <r>
    <x v="0"/>
    <x v="10"/>
    <s v="May"/>
    <n v="173.2"/>
    <n v="211.5"/>
    <n v="171"/>
    <n v="179.6"/>
    <n v="173.3"/>
    <n v="169"/>
    <n v="148.69999999999999"/>
    <n v="174.9"/>
    <n v="121.9"/>
    <n v="221"/>
    <n v="178.7"/>
    <n v="191.1"/>
    <n v="199.9"/>
    <n v="191.2"/>
    <n v="187.9"/>
    <s v="-"/>
    <n v="182.5"/>
    <n v="179.8"/>
    <n v="187.8"/>
    <n v="169.7"/>
    <n v="173.8"/>
    <n v="180.3"/>
    <n v="184.9"/>
    <n v="179.5"/>
    <n v="179.61739130434785"/>
    <n v="179.8"/>
  </r>
  <r>
    <x v="1"/>
    <x v="10"/>
    <s v="May"/>
    <n v="174.7"/>
    <n v="219.4"/>
    <n v="176.7"/>
    <n v="179.4"/>
    <n v="164.4"/>
    <n v="175.8"/>
    <n v="185"/>
    <n v="176.9"/>
    <n v="124.2"/>
    <n v="211.9"/>
    <n v="165.9"/>
    <n v="197.7"/>
    <n v="204.2"/>
    <n v="181.3"/>
    <n v="168.1"/>
    <n v="175.6"/>
    <n v="183.4"/>
    <n v="170.1"/>
    <n v="182.2"/>
    <n v="160.4"/>
    <n v="169.2"/>
    <n v="174.8"/>
    <n v="185.6"/>
    <n v="171.6"/>
    <n v="178.27083333333334"/>
    <n v="178.2"/>
  </r>
  <r>
    <x v="2"/>
    <x v="10"/>
    <s v="May"/>
    <n v="173.7"/>
    <n v="214.3"/>
    <n v="173.2"/>
    <n v="179.5"/>
    <n v="170"/>
    <n v="172.2"/>
    <n v="161"/>
    <n v="175.6"/>
    <n v="122.7"/>
    <n v="218"/>
    <n v="173.4"/>
    <n v="194.2"/>
    <n v="201"/>
    <n v="187.3"/>
    <n v="179.7"/>
    <n v="175.6"/>
    <n v="182.8"/>
    <n v="175.2"/>
    <n v="185.7"/>
    <n v="164.8"/>
    <n v="171.2"/>
    <n v="177.1"/>
    <n v="185.2"/>
    <n v="175.7"/>
    <n v="178.71249999999998"/>
    <n v="179.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s v="Rural"/>
    <x v="0"/>
    <x v="0"/>
    <n v="107.5"/>
    <n v="106.3"/>
    <n v="108.1"/>
    <n v="104.9"/>
    <n v="106.1"/>
    <n v="103.9"/>
    <n v="101.9"/>
    <n v="106.1"/>
    <n v="106.8"/>
    <n v="103.1"/>
    <n v="104.8"/>
    <n v="106.7"/>
    <n v="105.5"/>
    <n v="105.1"/>
    <n v="106.5"/>
    <n v="105.8"/>
    <n v="106.4"/>
    <s v="NA"/>
    <n v="105.5"/>
    <n v="104.8"/>
    <n v="104"/>
    <n v="103.3"/>
    <n v="103.4"/>
    <n v="103.8"/>
    <n v="104.7"/>
    <n v="104"/>
    <n v="105.1"/>
  </r>
  <r>
    <s v="Urban"/>
    <x v="0"/>
    <x v="0"/>
    <n v="110.5"/>
    <n v="109.1"/>
    <n v="113"/>
    <n v="103.6"/>
    <n v="103.4"/>
    <n v="102.3"/>
    <n v="102.9"/>
    <n v="105.8"/>
    <n v="105.1"/>
    <n v="101.8"/>
    <n v="105.1"/>
    <n v="107.9"/>
    <n v="105.9"/>
    <n v="105.2"/>
    <n v="105.9"/>
    <n v="105"/>
    <n v="105.8"/>
    <n v="100.3"/>
    <n v="105.4"/>
    <n v="104.8"/>
    <n v="104.1"/>
    <n v="103.2"/>
    <n v="102.9"/>
    <n v="103.5"/>
    <n v="104.3"/>
    <n v="103.7"/>
    <n v="104"/>
  </r>
  <r>
    <s v="Rural+Urban"/>
    <x v="0"/>
    <x v="0"/>
    <n v="108.4"/>
    <n v="107.3"/>
    <n v="110"/>
    <n v="104.4"/>
    <n v="105.1"/>
    <n v="103.2"/>
    <n v="102.2"/>
    <n v="106"/>
    <n v="106.2"/>
    <n v="102.7"/>
    <n v="104.9"/>
    <n v="107.3"/>
    <n v="105.6"/>
    <n v="105.1"/>
    <n v="106.3"/>
    <n v="105.5"/>
    <n v="106.2"/>
    <n v="100.3"/>
    <n v="105.5"/>
    <n v="104.8"/>
    <n v="104"/>
    <n v="103.2"/>
    <n v="103.1"/>
    <n v="103.6"/>
    <n v="104.5"/>
    <n v="103.9"/>
    <n v="104.6"/>
  </r>
  <r>
    <s v="Rural"/>
    <x v="0"/>
    <x v="1"/>
    <n v="109.2"/>
    <n v="108.7"/>
    <n v="110.2"/>
    <n v="105.4"/>
    <n v="106.7"/>
    <n v="104"/>
    <n v="102.4"/>
    <n v="105.9"/>
    <n v="105.7"/>
    <n v="103.1"/>
    <n v="105.1"/>
    <n v="107.7"/>
    <n v="106.3"/>
    <n v="105.6"/>
    <n v="107.1"/>
    <n v="106.3"/>
    <n v="107"/>
    <s v="NA"/>
    <n v="106.2"/>
    <n v="105.2"/>
    <n v="104.4"/>
    <n v="103.9"/>
    <n v="104"/>
    <n v="104.1"/>
    <n v="104.6"/>
    <n v="104.4"/>
    <n v="105.8"/>
  </r>
  <r>
    <s v="Urban"/>
    <x v="0"/>
    <x v="1"/>
    <n v="112.9"/>
    <n v="112.9"/>
    <n v="116.9"/>
    <n v="104"/>
    <n v="103.5"/>
    <n v="103.1"/>
    <n v="104.9"/>
    <n v="104.1"/>
    <n v="103.8"/>
    <n v="102.3"/>
    <n v="106"/>
    <n v="109"/>
    <n v="107.2"/>
    <n v="106"/>
    <n v="106.6"/>
    <n v="105.5"/>
    <n v="106.4"/>
    <n v="100.4"/>
    <n v="105.7"/>
    <n v="105.2"/>
    <n v="104.7"/>
    <n v="104.4"/>
    <n v="103.3"/>
    <n v="103.7"/>
    <n v="104.3"/>
    <n v="104.3"/>
    <n v="104.7"/>
  </r>
  <r>
    <s v="Rural+Urban"/>
    <x v="0"/>
    <x v="1"/>
    <n v="110.4"/>
    <n v="110.2"/>
    <n v="112.8"/>
    <n v="104.9"/>
    <n v="105.5"/>
    <n v="103.6"/>
    <n v="103.2"/>
    <n v="105.3"/>
    <n v="105.1"/>
    <n v="102.8"/>
    <n v="105.5"/>
    <n v="108.3"/>
    <n v="106.6"/>
    <n v="105.7"/>
    <n v="106.9"/>
    <n v="106"/>
    <n v="106.8"/>
    <n v="100.4"/>
    <n v="106"/>
    <n v="105.2"/>
    <n v="104.5"/>
    <n v="104.2"/>
    <n v="103.6"/>
    <n v="103.9"/>
    <n v="104.5"/>
    <n v="104.4"/>
    <n v="105.3"/>
  </r>
  <r>
    <s v="Rural"/>
    <x v="0"/>
    <x v="2"/>
    <n v="110.2"/>
    <n v="108.8"/>
    <n v="109.9"/>
    <n v="105.6"/>
    <n v="106.2"/>
    <n v="105.7"/>
    <n v="101.4"/>
    <n v="105.7"/>
    <n v="105"/>
    <n v="103.3"/>
    <n v="105.6"/>
    <n v="108.2"/>
    <n v="106.6"/>
    <n v="106.5"/>
    <n v="107.6"/>
    <n v="106.8"/>
    <n v="107.5"/>
    <s v="NA"/>
    <n v="106.1"/>
    <n v="105.6"/>
    <n v="104.7"/>
    <n v="104.6"/>
    <n v="104"/>
    <n v="104.3"/>
    <n v="104.3"/>
    <n v="104.6"/>
    <n v="106"/>
  </r>
  <r>
    <s v="Urban"/>
    <x v="0"/>
    <x v="2"/>
    <n v="113.9"/>
    <n v="111.4"/>
    <n v="113.2"/>
    <n v="104.3"/>
    <n v="102.7"/>
    <n v="104.9"/>
    <n v="103.8"/>
    <n v="103.5"/>
    <n v="102.6"/>
    <n v="102.4"/>
    <n v="107"/>
    <n v="109.8"/>
    <n v="107.3"/>
    <n v="106.8"/>
    <n v="107.2"/>
    <n v="106"/>
    <n v="107"/>
    <n v="100.4"/>
    <n v="106"/>
    <n v="105.7"/>
    <n v="105.2"/>
    <n v="105.5"/>
    <n v="103.5"/>
    <n v="103.8"/>
    <n v="104.2"/>
    <n v="104.9"/>
    <n v="105"/>
  </r>
  <r>
    <s v="Rural+Urban"/>
    <x v="0"/>
    <x v="2"/>
    <n v="111.4"/>
    <n v="109.7"/>
    <n v="111.2"/>
    <n v="105.1"/>
    <n v="104.9"/>
    <n v="105.3"/>
    <n v="102.2"/>
    <n v="105"/>
    <n v="104.2"/>
    <n v="103"/>
    <n v="106.2"/>
    <n v="108.9"/>
    <n v="106.9"/>
    <n v="106.6"/>
    <n v="107.4"/>
    <n v="106.5"/>
    <n v="107.3"/>
    <n v="100.4"/>
    <n v="106.1"/>
    <n v="105.6"/>
    <n v="104.9"/>
    <n v="105.1"/>
    <n v="103.7"/>
    <n v="104"/>
    <n v="104.3"/>
    <n v="104.7"/>
    <n v="105.5"/>
  </r>
  <r>
    <s v="Rural"/>
    <x v="0"/>
    <x v="3"/>
    <n v="110.2"/>
    <n v="109.5"/>
    <n v="106.9"/>
    <n v="106.3"/>
    <n v="105.7"/>
    <n v="108.3"/>
    <n v="103.4"/>
    <n v="105.7"/>
    <n v="104.2"/>
    <n v="103.2"/>
    <n v="106.5"/>
    <n v="108.8"/>
    <n v="107.1"/>
    <n v="107.1"/>
    <n v="108.1"/>
    <n v="107.4"/>
    <n v="108"/>
    <s v="NA"/>
    <n v="106.5"/>
    <n v="106.1"/>
    <n v="105.1"/>
    <n v="104.4"/>
    <n v="104.5"/>
    <n v="104.8"/>
    <n v="102.7"/>
    <n v="104.6"/>
    <n v="106.4"/>
  </r>
  <r>
    <s v="Urban"/>
    <x v="0"/>
    <x v="3"/>
    <n v="114.6"/>
    <n v="113.4"/>
    <n v="106"/>
    <n v="104.7"/>
    <n v="102.1"/>
    <n v="109.5"/>
    <n v="109.7"/>
    <n v="104.6"/>
    <n v="102"/>
    <n v="103.5"/>
    <n v="108.2"/>
    <n v="110.6"/>
    <n v="108.8"/>
    <n v="108.5"/>
    <n v="107.9"/>
    <n v="106.4"/>
    <n v="107.7"/>
    <n v="100.5"/>
    <n v="106.4"/>
    <n v="106.5"/>
    <n v="105.7"/>
    <n v="105"/>
    <n v="104"/>
    <n v="105.2"/>
    <n v="103.2"/>
    <n v="105.1"/>
    <n v="105.7"/>
  </r>
  <r>
    <s v="Rural+Urban"/>
    <x v="0"/>
    <x v="3"/>
    <n v="111.6"/>
    <n v="110.9"/>
    <n v="106.6"/>
    <n v="105.7"/>
    <n v="104.4"/>
    <n v="108.9"/>
    <n v="105.5"/>
    <n v="105.3"/>
    <n v="103.5"/>
    <n v="103.3"/>
    <n v="107.2"/>
    <n v="109.6"/>
    <n v="107.7"/>
    <n v="107.5"/>
    <n v="108"/>
    <n v="107"/>
    <n v="107.9"/>
    <n v="100.5"/>
    <n v="106.5"/>
    <n v="106.3"/>
    <n v="105.3"/>
    <n v="104.7"/>
    <n v="104.2"/>
    <n v="105"/>
    <n v="102.9"/>
    <n v="104.8"/>
    <n v="106.1"/>
  </r>
  <r>
    <s v="Rural"/>
    <x v="0"/>
    <x v="4"/>
    <n v="110.9"/>
    <n v="109.8"/>
    <n v="105.9"/>
    <n v="107.5"/>
    <n v="105.3"/>
    <n v="108.1"/>
    <n v="107.3"/>
    <n v="106.1"/>
    <n v="103.7"/>
    <n v="104"/>
    <n v="107.4"/>
    <n v="109.9"/>
    <n v="108.1"/>
    <n v="108.1"/>
    <n v="108.8"/>
    <n v="107.9"/>
    <n v="108.6"/>
    <s v="NA"/>
    <n v="107.5"/>
    <n v="106.8"/>
    <n v="105.7"/>
    <n v="104.1"/>
    <n v="105"/>
    <n v="105.5"/>
    <n v="102.1"/>
    <n v="104.8"/>
    <n v="107.2"/>
  </r>
  <r>
    <s v="Urban"/>
    <x v="0"/>
    <x v="4"/>
    <n v="115.4"/>
    <n v="114.2"/>
    <n v="102.7"/>
    <n v="105.5"/>
    <n v="101.5"/>
    <n v="110.6"/>
    <n v="123.7"/>
    <n v="105.2"/>
    <n v="101.9"/>
    <n v="105"/>
    <n v="109.1"/>
    <n v="111.3"/>
    <n v="111.1"/>
    <n v="109.8"/>
    <n v="108.5"/>
    <n v="106.7"/>
    <n v="108.3"/>
    <n v="100.5"/>
    <n v="107.2"/>
    <n v="107.1"/>
    <n v="106.2"/>
    <n v="103.9"/>
    <n v="104.6"/>
    <n v="105.7"/>
    <n v="102.6"/>
    <n v="104.9"/>
    <n v="106.6"/>
  </r>
  <r>
    <s v="Rural+Urban"/>
    <x v="0"/>
    <x v="4"/>
    <n v="112.3"/>
    <n v="111.3"/>
    <n v="104.7"/>
    <n v="106.8"/>
    <n v="103.9"/>
    <n v="109.3"/>
    <n v="112.9"/>
    <n v="105.8"/>
    <n v="103.1"/>
    <n v="104.3"/>
    <n v="108.1"/>
    <n v="110.5"/>
    <n v="109.2"/>
    <n v="108.6"/>
    <n v="108.7"/>
    <n v="107.4"/>
    <n v="108.5"/>
    <n v="100.5"/>
    <n v="107.4"/>
    <n v="106.9"/>
    <n v="105.9"/>
    <n v="104"/>
    <n v="104.8"/>
    <n v="105.6"/>
    <n v="102.3"/>
    <n v="104.8"/>
    <n v="106.9"/>
  </r>
  <r>
    <s v="Rural"/>
    <x v="0"/>
    <x v="5"/>
    <n v="112.3"/>
    <n v="112.1"/>
    <n v="108.1"/>
    <n v="108.3"/>
    <n v="105.9"/>
    <n v="109.2"/>
    <n v="118"/>
    <n v="106.8"/>
    <n v="104.1"/>
    <n v="105.4"/>
    <n v="108.2"/>
    <n v="111"/>
    <n v="110.6"/>
    <n v="109"/>
    <n v="109.7"/>
    <n v="108.8"/>
    <n v="109.5"/>
    <s v="NA"/>
    <n v="108.5"/>
    <n v="107.5"/>
    <n v="106.3"/>
    <n v="105"/>
    <n v="105.6"/>
    <n v="106.5"/>
    <n v="102.5"/>
    <n v="105.5"/>
    <n v="108.9"/>
  </r>
  <r>
    <s v="Urban"/>
    <x v="0"/>
    <x v="5"/>
    <n v="117"/>
    <n v="120.1"/>
    <n v="112.5"/>
    <n v="107.3"/>
    <n v="101.3"/>
    <n v="112.4"/>
    <n v="143.6"/>
    <n v="105.4"/>
    <n v="101.4"/>
    <n v="106.4"/>
    <n v="110"/>
    <n v="112.2"/>
    <n v="115"/>
    <n v="110.9"/>
    <n v="109.2"/>
    <n v="107.2"/>
    <n v="108.9"/>
    <n v="106.6"/>
    <n v="108"/>
    <n v="107.7"/>
    <n v="106.5"/>
    <n v="105.2"/>
    <n v="105.2"/>
    <n v="108.1"/>
    <n v="103.3"/>
    <n v="106.1"/>
    <n v="109.7"/>
  </r>
  <r>
    <s v="Rural+Urban"/>
    <x v="0"/>
    <x v="5"/>
    <n v="113.8"/>
    <n v="114.9"/>
    <n v="109.8"/>
    <n v="107.9"/>
    <n v="104.2"/>
    <n v="110.7"/>
    <n v="126.7"/>
    <n v="106.3"/>
    <n v="103.2"/>
    <n v="105.7"/>
    <n v="109"/>
    <n v="111.6"/>
    <n v="112.2"/>
    <n v="109.5"/>
    <n v="109.5"/>
    <n v="108.1"/>
    <n v="109.3"/>
    <n v="106.6"/>
    <n v="108.3"/>
    <n v="107.6"/>
    <n v="106.4"/>
    <n v="105.1"/>
    <n v="105.4"/>
    <n v="107.4"/>
    <n v="102.8"/>
    <n v="105.8"/>
    <n v="109.3"/>
  </r>
  <r>
    <s v="Rural"/>
    <x v="0"/>
    <x v="6"/>
    <n v="113.4"/>
    <n v="114.9"/>
    <n v="110.5"/>
    <n v="109.3"/>
    <n v="106.2"/>
    <n v="110.3"/>
    <n v="129.19999999999999"/>
    <n v="107.1"/>
    <n v="104.3"/>
    <n v="106.4"/>
    <n v="109.1"/>
    <n v="112.1"/>
    <n v="113.1"/>
    <n v="109.8"/>
    <n v="110.5"/>
    <n v="109.5"/>
    <n v="110.3"/>
    <s v="NA"/>
    <n v="109.5"/>
    <n v="108.3"/>
    <n v="106.9"/>
    <n v="106.8"/>
    <n v="106.4"/>
    <n v="107.8"/>
    <n v="102.5"/>
    <n v="106.5"/>
    <n v="110.7"/>
  </r>
  <r>
    <s v="Urban"/>
    <x v="0"/>
    <x v="6"/>
    <n v="117.8"/>
    <n v="119.2"/>
    <n v="114"/>
    <n v="108.3"/>
    <n v="101.1"/>
    <n v="113.2"/>
    <n v="160.9"/>
    <n v="105.1"/>
    <n v="101.3"/>
    <n v="107.5"/>
    <n v="110.4"/>
    <n v="113.1"/>
    <n v="117.5"/>
    <n v="111.7"/>
    <n v="109.8"/>
    <n v="107.8"/>
    <n v="109.5"/>
    <n v="107.7"/>
    <n v="108.6"/>
    <n v="108.1"/>
    <n v="107.1"/>
    <n v="107.3"/>
    <n v="105.9"/>
    <n v="110.1"/>
    <n v="103.2"/>
    <n v="107.3"/>
    <n v="111.4"/>
  </r>
  <r>
    <s v="Rural+Urban"/>
    <x v="0"/>
    <x v="6"/>
    <n v="114.8"/>
    <n v="116.4"/>
    <n v="111.9"/>
    <n v="108.9"/>
    <n v="104.3"/>
    <n v="111.7"/>
    <n v="140"/>
    <n v="106.4"/>
    <n v="103.3"/>
    <n v="106.8"/>
    <n v="109.6"/>
    <n v="112.6"/>
    <n v="114.7"/>
    <n v="110.3"/>
    <n v="110.2"/>
    <n v="108.8"/>
    <n v="110"/>
    <n v="107.7"/>
    <n v="109.2"/>
    <n v="108.2"/>
    <n v="107"/>
    <n v="107.1"/>
    <n v="106.1"/>
    <n v="109.1"/>
    <n v="102.8"/>
    <n v="106.9"/>
    <n v="111"/>
  </r>
  <r>
    <s v="Rural"/>
    <x v="0"/>
    <x v="7"/>
    <n v="114.3"/>
    <n v="115.4"/>
    <n v="111.1"/>
    <n v="110"/>
    <n v="106.4"/>
    <n v="110.8"/>
    <n v="138.9"/>
    <n v="107.4"/>
    <n v="104.1"/>
    <n v="106.9"/>
    <n v="109.7"/>
    <n v="112.6"/>
    <n v="114.9"/>
    <n v="110.7"/>
    <n v="111.3"/>
    <n v="110.2"/>
    <n v="111.1"/>
    <s v="NA"/>
    <n v="109.9"/>
    <n v="108.7"/>
    <n v="107.5"/>
    <n v="107.8"/>
    <n v="106.8"/>
    <n v="108.7"/>
    <n v="105"/>
    <n v="107.5"/>
    <n v="112.1"/>
  </r>
  <r>
    <s v="Urban"/>
    <x v="0"/>
    <x v="7"/>
    <n v="118.3"/>
    <n v="120.4"/>
    <n v="112.7"/>
    <n v="108.9"/>
    <n v="101.1"/>
    <n v="108.7"/>
    <n v="177"/>
    <n v="104.7"/>
    <n v="101"/>
    <n v="108.5"/>
    <n v="110.9"/>
    <n v="114.3"/>
    <n v="119.6"/>
    <n v="112.4"/>
    <n v="110.6"/>
    <n v="108.3"/>
    <n v="110.2"/>
    <n v="108.9"/>
    <n v="109.3"/>
    <n v="108.7"/>
    <n v="107.6"/>
    <n v="108.1"/>
    <n v="106.5"/>
    <n v="110.8"/>
    <n v="106"/>
    <n v="108.3"/>
    <n v="112.7"/>
  </r>
  <r>
    <s v="Rural+Urban"/>
    <x v="0"/>
    <x v="7"/>
    <n v="115.6"/>
    <n v="117.2"/>
    <n v="111.7"/>
    <n v="109.6"/>
    <n v="104.5"/>
    <n v="109.8"/>
    <n v="151.80000000000001"/>
    <n v="106.5"/>
    <n v="103.1"/>
    <n v="107.4"/>
    <n v="110.2"/>
    <n v="113.4"/>
    <n v="116.6"/>
    <n v="111.2"/>
    <n v="111"/>
    <n v="109.4"/>
    <n v="110.7"/>
    <n v="108.9"/>
    <n v="109.7"/>
    <n v="108.7"/>
    <n v="107.5"/>
    <n v="108"/>
    <n v="106.6"/>
    <n v="109.9"/>
    <n v="105.4"/>
    <n v="107.9"/>
    <n v="112.4"/>
  </r>
  <r>
    <s v="Rural"/>
    <x v="0"/>
    <x v="8"/>
    <n v="115.4"/>
    <n v="115.7"/>
    <n v="111.7"/>
    <n v="111"/>
    <n v="107.4"/>
    <n v="110.9"/>
    <n v="154"/>
    <n v="108.1"/>
    <n v="104.2"/>
    <n v="107.9"/>
    <n v="110.4"/>
    <n v="114"/>
    <n v="117.8"/>
    <n v="111.7"/>
    <n v="112.7"/>
    <n v="111.4"/>
    <n v="112.5"/>
    <s v="NA"/>
    <n v="111.1"/>
    <n v="109.6"/>
    <n v="108.3"/>
    <n v="109.3"/>
    <n v="107.7"/>
    <n v="109.8"/>
    <n v="106.7"/>
    <n v="108.7"/>
    <n v="114.2"/>
  </r>
  <r>
    <s v="Urban"/>
    <x v="0"/>
    <x v="8"/>
    <n v="118.6"/>
    <n v="119.1"/>
    <n v="113.2"/>
    <n v="109.6"/>
    <n v="101.7"/>
    <n v="103.2"/>
    <n v="174.3"/>
    <n v="105.1"/>
    <n v="100.8"/>
    <n v="109.1"/>
    <n v="111.1"/>
    <n v="115.4"/>
    <n v="119.2"/>
    <n v="112.9"/>
    <n v="111.4"/>
    <n v="109"/>
    <n v="111.1"/>
    <n v="109.7"/>
    <n v="109.5"/>
    <n v="109.6"/>
    <n v="107.9"/>
    <n v="110.4"/>
    <n v="107.4"/>
    <n v="111.2"/>
    <n v="106.9"/>
    <n v="109.4"/>
    <n v="113.2"/>
  </r>
  <r>
    <s v="Rural+Urban"/>
    <x v="0"/>
    <x v="8"/>
    <n v="116.4"/>
    <n v="116.9"/>
    <n v="112.3"/>
    <n v="110.5"/>
    <n v="105.3"/>
    <n v="107.3"/>
    <n v="160.9"/>
    <n v="107.1"/>
    <n v="103.1"/>
    <n v="108.3"/>
    <n v="110.7"/>
    <n v="114.6"/>
    <n v="118.3"/>
    <n v="112"/>
    <n v="112.2"/>
    <n v="110.4"/>
    <n v="111.9"/>
    <n v="109.7"/>
    <n v="110.5"/>
    <n v="109.6"/>
    <n v="108.1"/>
    <n v="109.9"/>
    <n v="107.5"/>
    <n v="110.6"/>
    <n v="106.8"/>
    <n v="109"/>
    <n v="113.7"/>
  </r>
  <r>
    <s v="Rural"/>
    <x v="0"/>
    <x v="9"/>
    <n v="116.3"/>
    <n v="115.4"/>
    <n v="112.6"/>
    <n v="111.7"/>
    <n v="107.7"/>
    <n v="113.2"/>
    <n v="164.9"/>
    <n v="108.3"/>
    <n v="103.9"/>
    <n v="108.2"/>
    <n v="111.1"/>
    <n v="114.9"/>
    <n v="119.8"/>
    <n v="112.2"/>
    <n v="113.6"/>
    <n v="112.3"/>
    <n v="113.4"/>
    <s v="NA"/>
    <n v="111.6"/>
    <n v="110.4"/>
    <n v="108.9"/>
    <n v="109.3"/>
    <n v="108.3"/>
    <n v="110.2"/>
    <n v="107.5"/>
    <n v="109.1"/>
    <n v="115.5"/>
  </r>
  <r>
    <s v="Urban"/>
    <x v="0"/>
    <x v="9"/>
    <n v="118.9"/>
    <n v="118.1"/>
    <n v="114.5"/>
    <n v="110.4"/>
    <n v="102.3"/>
    <n v="106.2"/>
    <n v="183.5"/>
    <n v="105.3"/>
    <n v="100.2"/>
    <n v="109.6"/>
    <n v="111.4"/>
    <n v="116"/>
    <n v="120.8"/>
    <n v="113.5"/>
    <n v="112.5"/>
    <n v="109.7"/>
    <n v="112"/>
    <n v="110.5"/>
    <n v="109.7"/>
    <n v="110.2"/>
    <n v="108.2"/>
    <n v="109.7"/>
    <n v="108"/>
    <n v="111.3"/>
    <n v="107.3"/>
    <n v="109.4"/>
    <n v="114"/>
  </r>
  <r>
    <s v="Rural+Urban"/>
    <x v="0"/>
    <x v="9"/>
    <n v="117.1"/>
    <n v="116.3"/>
    <n v="113.3"/>
    <n v="111.2"/>
    <n v="105.7"/>
    <n v="109.9"/>
    <n v="171.2"/>
    <n v="107.3"/>
    <n v="102.7"/>
    <n v="108.7"/>
    <n v="111.2"/>
    <n v="115.4"/>
    <n v="120.2"/>
    <n v="112.5"/>
    <n v="113.2"/>
    <n v="111.2"/>
    <n v="112.8"/>
    <n v="110.5"/>
    <n v="110.9"/>
    <n v="110.3"/>
    <n v="108.6"/>
    <n v="109.5"/>
    <n v="108.1"/>
    <n v="110.8"/>
    <n v="107.4"/>
    <n v="109.2"/>
    <n v="114.8"/>
  </r>
  <r>
    <s v="Rural"/>
    <x v="0"/>
    <x v="10"/>
    <n v="117.3"/>
    <n v="114.9"/>
    <n v="116.2"/>
    <n v="112.8"/>
    <n v="108.9"/>
    <n v="116.6"/>
    <n v="178.1"/>
    <n v="109.1"/>
    <n v="103.6"/>
    <n v="109"/>
    <n v="111.8"/>
    <n v="116"/>
    <n v="122.5"/>
    <n v="112.8"/>
    <n v="114.6"/>
    <n v="113.1"/>
    <n v="114.4"/>
    <s v="NA"/>
    <n v="112.6"/>
    <n v="111.3"/>
    <n v="109.7"/>
    <n v="109.6"/>
    <n v="108.7"/>
    <n v="111"/>
    <n v="108.2"/>
    <n v="109.8"/>
    <n v="117.4"/>
  </r>
  <r>
    <s v="Urban"/>
    <x v="0"/>
    <x v="11"/>
    <n v="119.8"/>
    <n v="116.3"/>
    <n v="122.6"/>
    <n v="112"/>
    <n v="103.2"/>
    <n v="110"/>
    <n v="192.8"/>
    <n v="106.3"/>
    <n v="99.5"/>
    <n v="110.3"/>
    <n v="111.8"/>
    <n v="117.1"/>
    <n v="122.9"/>
    <n v="114.1"/>
    <n v="113.5"/>
    <n v="110.3"/>
    <n v="113"/>
    <n v="111.1"/>
    <n v="110"/>
    <n v="110.9"/>
    <n v="108.6"/>
    <n v="109.5"/>
    <n v="108.5"/>
    <n v="111.3"/>
    <n v="107.9"/>
    <n v="109.6"/>
    <n v="115"/>
  </r>
  <r>
    <s v="Rural+Urban"/>
    <x v="0"/>
    <x v="11"/>
    <n v="118.1"/>
    <n v="115.4"/>
    <n v="118.7"/>
    <n v="112.5"/>
    <n v="106.8"/>
    <n v="113.5"/>
    <n v="183.1"/>
    <n v="108.2"/>
    <n v="102.2"/>
    <n v="109.4"/>
    <n v="111.8"/>
    <n v="116.5"/>
    <n v="122.6"/>
    <n v="113.1"/>
    <n v="114.2"/>
    <n v="111.9"/>
    <n v="113.8"/>
    <n v="111.1"/>
    <n v="111.6"/>
    <n v="111.1"/>
    <n v="109.3"/>
    <n v="109.5"/>
    <n v="108.6"/>
    <n v="111.2"/>
    <n v="108.1"/>
    <n v="109.7"/>
    <n v="116.3"/>
  </r>
  <r>
    <s v="Rural"/>
    <x v="0"/>
    <x v="12"/>
    <n v="118.4"/>
    <n v="115.9"/>
    <n v="120.4"/>
    <n v="113.8"/>
    <n v="109.5"/>
    <n v="115.5"/>
    <n v="145.69999999999999"/>
    <n v="109.5"/>
    <n v="102.9"/>
    <n v="109.8"/>
    <n v="112.1"/>
    <n v="116.8"/>
    <n v="118.7"/>
    <n v="113.6"/>
    <n v="115.8"/>
    <n v="114"/>
    <n v="115.5"/>
    <s v="NA"/>
    <n v="112.8"/>
    <n v="112.1"/>
    <n v="110.1"/>
    <n v="109.9"/>
    <n v="109.2"/>
    <n v="111.6"/>
    <n v="108.1"/>
    <n v="110.1"/>
    <n v="115.5"/>
  </r>
  <r>
    <s v="Urban"/>
    <x v="0"/>
    <x v="12"/>
    <n v="120.5"/>
    <n v="118.1"/>
    <n v="128.5"/>
    <n v="112.8"/>
    <n v="103.4"/>
    <n v="110.7"/>
    <n v="144.80000000000001"/>
    <n v="107.1"/>
    <n v="98.6"/>
    <n v="111.9"/>
    <n v="112.1"/>
    <n v="118.1"/>
    <n v="117.8"/>
    <n v="115"/>
    <n v="114.2"/>
    <n v="110.9"/>
    <n v="113.7"/>
    <n v="110.7"/>
    <n v="110.4"/>
    <n v="111.3"/>
    <n v="109"/>
    <n v="109.7"/>
    <n v="108.9"/>
    <n v="111.4"/>
    <n v="107.7"/>
    <n v="109.8"/>
    <n v="113.3"/>
  </r>
  <r>
    <s v="Rural+Urban"/>
    <x v="0"/>
    <x v="12"/>
    <n v="119.1"/>
    <n v="116.7"/>
    <n v="123.5"/>
    <n v="113.4"/>
    <n v="107.3"/>
    <n v="113.3"/>
    <n v="145.4"/>
    <n v="108.7"/>
    <n v="101.5"/>
    <n v="110.5"/>
    <n v="112.1"/>
    <n v="117.4"/>
    <n v="118.4"/>
    <n v="114"/>
    <n v="115.2"/>
    <n v="112.7"/>
    <n v="114.8"/>
    <n v="110.7"/>
    <n v="111.9"/>
    <n v="111.7"/>
    <n v="109.7"/>
    <n v="109.8"/>
    <n v="109"/>
    <n v="111.5"/>
    <n v="107.9"/>
    <n v="110"/>
    <n v="114.5"/>
  </r>
  <r>
    <s v="Rural"/>
    <x v="1"/>
    <x v="0"/>
    <n v="118.9"/>
    <n v="117.1"/>
    <n v="120.5"/>
    <n v="114.4"/>
    <n v="109"/>
    <n v="115.5"/>
    <n v="123.9"/>
    <n v="109.6"/>
    <n v="101.8"/>
    <n v="110.2"/>
    <n v="112.4"/>
    <n v="117.3"/>
    <n v="116"/>
    <n v="114"/>
    <n v="116.5"/>
    <n v="114.5"/>
    <n v="116.2"/>
    <s v="NA"/>
    <n v="113"/>
    <n v="112.6"/>
    <n v="110.6"/>
    <n v="110.5"/>
    <n v="109.6"/>
    <n v="111.8"/>
    <n v="108.3"/>
    <n v="110.6"/>
    <n v="114.2"/>
  </r>
  <r>
    <s v="Urban"/>
    <x v="1"/>
    <x v="0"/>
    <n v="121.2"/>
    <n v="122"/>
    <n v="129.9"/>
    <n v="113.6"/>
    <n v="102.9"/>
    <n v="112.1"/>
    <n v="118.9"/>
    <n v="107.5"/>
    <n v="96.9"/>
    <n v="112.7"/>
    <n v="112.1"/>
    <n v="119"/>
    <n v="115.5"/>
    <n v="115.7"/>
    <n v="114.8"/>
    <n v="111.3"/>
    <n v="114.3"/>
    <n v="111.6"/>
    <n v="111"/>
    <n v="111.9"/>
    <n v="109.7"/>
    <n v="110.8"/>
    <n v="109.8"/>
    <n v="111.5"/>
    <n v="108"/>
    <n v="110.5"/>
    <n v="112.9"/>
  </r>
  <r>
    <s v="Rural+Urban"/>
    <x v="1"/>
    <x v="0"/>
    <n v="119.6"/>
    <n v="118.8"/>
    <n v="124.1"/>
    <n v="114.1"/>
    <n v="106.8"/>
    <n v="113.9"/>
    <n v="122.2"/>
    <n v="108.9"/>
    <n v="100.2"/>
    <n v="111"/>
    <n v="112.3"/>
    <n v="118.1"/>
    <n v="115.8"/>
    <n v="114.5"/>
    <n v="115.8"/>
    <n v="113.2"/>
    <n v="115.4"/>
    <n v="111.6"/>
    <n v="112.2"/>
    <n v="112.3"/>
    <n v="110.3"/>
    <n v="110.7"/>
    <n v="109.7"/>
    <n v="111.6"/>
    <n v="108.2"/>
    <n v="110.6"/>
    <n v="113.6"/>
  </r>
  <r>
    <s v="Rural"/>
    <x v="1"/>
    <x v="1"/>
    <n v="119.4"/>
    <n v="117.7"/>
    <n v="121.2"/>
    <n v="115"/>
    <n v="109"/>
    <n v="116.6"/>
    <n v="116"/>
    <n v="109.8"/>
    <n v="101.1"/>
    <n v="110.4"/>
    <n v="112.9"/>
    <n v="117.8"/>
    <n v="115.3"/>
    <n v="114.2"/>
    <n v="117.1"/>
    <n v="114.5"/>
    <n v="116.7"/>
    <s v="NA"/>
    <n v="113.2"/>
    <n v="112.9"/>
    <n v="110.9"/>
    <n v="110.8"/>
    <n v="109.9"/>
    <n v="112"/>
    <n v="108.7"/>
    <n v="110.9"/>
    <n v="114"/>
  </r>
  <r>
    <s v="Urban"/>
    <x v="1"/>
    <x v="1"/>
    <n v="121.9"/>
    <n v="122"/>
    <n v="124.5"/>
    <n v="115.2"/>
    <n v="102.5"/>
    <n v="114.1"/>
    <n v="111.5"/>
    <n v="108.2"/>
    <n v="95.4"/>
    <n v="113.5"/>
    <n v="112.1"/>
    <n v="119.9"/>
    <n v="115.2"/>
    <n v="116.2"/>
    <n v="115.3"/>
    <n v="111.7"/>
    <n v="114.7"/>
    <n v="112.5"/>
    <n v="111.1"/>
    <n v="112.6"/>
    <n v="110.4"/>
    <n v="111.3"/>
    <n v="110.3"/>
    <n v="111.6"/>
    <n v="108.7"/>
    <n v="111"/>
    <n v="113.1"/>
  </r>
  <r>
    <s v="Rural+Urban"/>
    <x v="1"/>
    <x v="1"/>
    <n v="120.2"/>
    <n v="119.2"/>
    <n v="122.5"/>
    <n v="115.1"/>
    <n v="106.6"/>
    <n v="115.4"/>
    <n v="114.5"/>
    <n v="109.3"/>
    <n v="99.2"/>
    <n v="111.4"/>
    <n v="112.6"/>
    <n v="118.8"/>
    <n v="115.3"/>
    <n v="114.7"/>
    <n v="116.4"/>
    <n v="113.3"/>
    <n v="115.9"/>
    <n v="112.5"/>
    <n v="112.4"/>
    <n v="112.8"/>
    <n v="110.7"/>
    <n v="111.1"/>
    <n v="110.1"/>
    <n v="111.8"/>
    <n v="108.7"/>
    <n v="110.9"/>
    <n v="113.6"/>
  </r>
  <r>
    <s v="Rural"/>
    <x v="1"/>
    <x v="2"/>
    <n v="120.1"/>
    <n v="118.1"/>
    <n v="120.7"/>
    <n v="116.1"/>
    <n v="109.3"/>
    <n v="119.6"/>
    <n v="117.9"/>
    <n v="110.2"/>
    <n v="101.2"/>
    <n v="110.7"/>
    <n v="113"/>
    <n v="118.3"/>
    <n v="116.2"/>
    <n v="114.6"/>
    <n v="117.5"/>
    <n v="114.9"/>
    <n v="117.2"/>
    <s v="NA"/>
    <n v="113.4"/>
    <n v="113.4"/>
    <n v="111.4"/>
    <n v="111.2"/>
    <n v="110.2"/>
    <n v="112.4"/>
    <n v="108.9"/>
    <n v="111.3"/>
    <n v="114.6"/>
  </r>
  <r>
    <s v="Urban"/>
    <x v="1"/>
    <x v="2"/>
    <n v="122.1"/>
    <n v="121.4"/>
    <n v="121.5"/>
    <n v="116.2"/>
    <n v="102.8"/>
    <n v="117.7"/>
    <n v="113.3"/>
    <n v="108.9"/>
    <n v="96.3"/>
    <n v="114.1"/>
    <n v="112.2"/>
    <n v="120.5"/>
    <n v="116"/>
    <n v="116.7"/>
    <n v="115.8"/>
    <n v="112.1"/>
    <n v="115.2"/>
    <n v="113.2"/>
    <n v="110.9"/>
    <n v="113"/>
    <n v="110.8"/>
    <n v="111.6"/>
    <n v="110.9"/>
    <n v="111.8"/>
    <n v="109.2"/>
    <n v="111.4"/>
    <n v="113.7"/>
  </r>
  <r>
    <s v="Rural+Urban"/>
    <x v="1"/>
    <x v="2"/>
    <n v="120.7"/>
    <n v="119.3"/>
    <n v="121"/>
    <n v="116.1"/>
    <n v="106.9"/>
    <n v="118.7"/>
    <n v="116.3"/>
    <n v="109.8"/>
    <n v="99.6"/>
    <n v="111.8"/>
    <n v="112.7"/>
    <n v="119.3"/>
    <n v="116.1"/>
    <n v="115.2"/>
    <n v="116.8"/>
    <n v="113.7"/>
    <n v="116.4"/>
    <n v="113.2"/>
    <n v="112.5"/>
    <n v="113.2"/>
    <n v="111.2"/>
    <n v="111.4"/>
    <n v="110.6"/>
    <n v="112"/>
    <n v="109"/>
    <n v="111.3"/>
    <n v="114.2"/>
  </r>
  <r>
    <s v="Rural"/>
    <x v="1"/>
    <x v="3"/>
    <n v="120.2"/>
    <n v="118.9"/>
    <n v="118.1"/>
    <n v="117"/>
    <n v="109.7"/>
    <n v="125.5"/>
    <n v="120.5"/>
    <n v="111"/>
    <n v="102.6"/>
    <n v="111.2"/>
    <n v="113.5"/>
    <n v="118.7"/>
    <n v="117.2"/>
    <n v="115.4"/>
    <n v="118.1"/>
    <n v="116.1"/>
    <n v="117.8"/>
    <s v="NA"/>
    <n v="113.4"/>
    <n v="113.7"/>
    <n v="111.8"/>
    <n v="111.2"/>
    <n v="110.5"/>
    <n v="113"/>
    <n v="108.9"/>
    <n v="111.5"/>
    <n v="115.4"/>
  </r>
  <r>
    <s v="Urban"/>
    <x v="1"/>
    <x v="3"/>
    <n v="122.5"/>
    <n v="121.7"/>
    <n v="113.3"/>
    <n v="117"/>
    <n v="103.1"/>
    <n v="126.7"/>
    <n v="121.2"/>
    <n v="111"/>
    <n v="100.3"/>
    <n v="115.3"/>
    <n v="112.7"/>
    <n v="121"/>
    <n v="118.2"/>
    <n v="117.6"/>
    <n v="116.3"/>
    <n v="112.5"/>
    <n v="115.7"/>
    <n v="113.9"/>
    <n v="110.9"/>
    <n v="113.4"/>
    <n v="111"/>
    <n v="111.2"/>
    <n v="111.2"/>
    <n v="112.5"/>
    <n v="109.1"/>
    <n v="111.4"/>
    <n v="114.7"/>
  </r>
  <r>
    <s v="Rural+Urban"/>
    <x v="1"/>
    <x v="3"/>
    <n v="120.9"/>
    <n v="119.9"/>
    <n v="116.2"/>
    <n v="117"/>
    <n v="107.3"/>
    <n v="126.1"/>
    <n v="120.7"/>
    <n v="111"/>
    <n v="101.8"/>
    <n v="112.6"/>
    <n v="113.2"/>
    <n v="119.8"/>
    <n v="117.6"/>
    <n v="116"/>
    <n v="117.4"/>
    <n v="114.6"/>
    <n v="117"/>
    <n v="113.9"/>
    <n v="112.5"/>
    <n v="113.6"/>
    <n v="111.5"/>
    <n v="111.2"/>
    <n v="110.9"/>
    <n v="112.7"/>
    <n v="109"/>
    <n v="111.5"/>
    <n v="115.1"/>
  </r>
  <r>
    <s v="Rural"/>
    <x v="1"/>
    <x v="4"/>
    <n v="120.3"/>
    <n v="120.2"/>
    <n v="116.9"/>
    <n v="118"/>
    <n v="110.1"/>
    <n v="126.3"/>
    <n v="123.9"/>
    <n v="111.5"/>
    <n v="103.5"/>
    <n v="111.6"/>
    <n v="114.2"/>
    <n v="119.2"/>
    <n v="118.2"/>
    <n v="116.3"/>
    <n v="118.7"/>
    <n v="116.8"/>
    <n v="118.5"/>
    <s v="NA"/>
    <n v="113.4"/>
    <n v="114.1"/>
    <n v="112.1"/>
    <n v="111.4"/>
    <n v="110.9"/>
    <n v="113.1"/>
    <n v="108.9"/>
    <n v="111.8"/>
    <n v="116"/>
  </r>
  <r>
    <s v="Urban"/>
    <x v="1"/>
    <x v="4"/>
    <n v="122.7"/>
    <n v="124.1"/>
    <n v="114.2"/>
    <n v="119.1"/>
    <n v="103.5"/>
    <n v="129.19999999999999"/>
    <n v="127"/>
    <n v="112.6"/>
    <n v="101.3"/>
    <n v="117"/>
    <n v="112.9"/>
    <n v="121.7"/>
    <n v="120"/>
    <n v="118.3"/>
    <n v="116.8"/>
    <n v="112.9"/>
    <n v="116.2"/>
    <n v="114.3"/>
    <n v="111.1"/>
    <n v="114.1"/>
    <n v="111.2"/>
    <n v="111.3"/>
    <n v="111.5"/>
    <n v="112.9"/>
    <n v="109.3"/>
    <n v="111.7"/>
    <n v="115.6"/>
  </r>
  <r>
    <s v="Rural+Urban"/>
    <x v="1"/>
    <x v="4"/>
    <n v="121.1"/>
    <n v="121.6"/>
    <n v="115.9"/>
    <n v="118.4"/>
    <n v="107.7"/>
    <n v="127.7"/>
    <n v="125"/>
    <n v="111.9"/>
    <n v="102.8"/>
    <n v="113.4"/>
    <n v="113.7"/>
    <n v="120.4"/>
    <n v="118.9"/>
    <n v="116.8"/>
    <n v="118"/>
    <n v="115.2"/>
    <n v="117.6"/>
    <n v="114.3"/>
    <n v="112.5"/>
    <n v="114.1"/>
    <n v="111.8"/>
    <n v="111.3"/>
    <n v="111.2"/>
    <n v="113"/>
    <n v="109.1"/>
    <n v="111.8"/>
    <n v="115.8"/>
  </r>
  <r>
    <s v="Rural"/>
    <x v="1"/>
    <x v="5"/>
    <n v="120.7"/>
    <n v="121.6"/>
    <n v="116.1"/>
    <n v="119.3"/>
    <n v="110.3"/>
    <n v="125.8"/>
    <n v="129.30000000000001"/>
    <n v="112.2"/>
    <n v="103.6"/>
    <n v="112.3"/>
    <n v="114.9"/>
    <n v="120.1"/>
    <n v="119.5"/>
    <n v="117.3"/>
    <n v="119.7"/>
    <n v="117.3"/>
    <n v="119.3"/>
    <s v="NA"/>
    <n v="114.4"/>
    <n v="114.9"/>
    <n v="112.8"/>
    <n v="112.2"/>
    <n v="111.4"/>
    <n v="114.3"/>
    <n v="108"/>
    <n v="112.3"/>
    <n v="117"/>
  </r>
  <r>
    <s v="Urban"/>
    <x v="1"/>
    <x v="5"/>
    <n v="123.1"/>
    <n v="125.9"/>
    <n v="115.4"/>
    <n v="120.4"/>
    <n v="103.4"/>
    <n v="131.19999999999999"/>
    <n v="137.5"/>
    <n v="112.8"/>
    <n v="101.4"/>
    <n v="118.3"/>
    <n v="113.2"/>
    <n v="122.4"/>
    <n v="122"/>
    <n v="119"/>
    <n v="117.4"/>
    <n v="113.2"/>
    <n v="116.7"/>
    <n v="113.9"/>
    <n v="111.2"/>
    <n v="114.3"/>
    <n v="111.4"/>
    <n v="111.5"/>
    <n v="111.8"/>
    <n v="115.1"/>
    <n v="108.7"/>
    <n v="112.2"/>
    <n v="116.4"/>
  </r>
  <r>
    <s v="Rural+Urban"/>
    <x v="1"/>
    <x v="5"/>
    <n v="121.5"/>
    <n v="123.1"/>
    <n v="115.8"/>
    <n v="119.7"/>
    <n v="107.8"/>
    <n v="128.30000000000001"/>
    <n v="132.1"/>
    <n v="112.4"/>
    <n v="102.9"/>
    <n v="114.3"/>
    <n v="114.2"/>
    <n v="121.2"/>
    <n v="120.4"/>
    <n v="117.8"/>
    <n v="118.8"/>
    <n v="115.6"/>
    <n v="118.3"/>
    <n v="113.9"/>
    <n v="113.2"/>
    <n v="114.6"/>
    <n v="112.3"/>
    <n v="111.8"/>
    <n v="111.6"/>
    <n v="114.8"/>
    <n v="108.3"/>
    <n v="112.3"/>
    <n v="116.7"/>
  </r>
  <r>
    <s v="Rural"/>
    <x v="1"/>
    <x v="6"/>
    <n v="121.7"/>
    <n v="122.5"/>
    <n v="117.7"/>
    <n v="120.6"/>
    <n v="110.4"/>
    <n v="129.1"/>
    <n v="150.1"/>
    <n v="113.2"/>
    <n v="104.8"/>
    <n v="113.3"/>
    <n v="115.6"/>
    <n v="120.9"/>
    <n v="123.3"/>
    <n v="118"/>
    <n v="120.7"/>
    <n v="118.3"/>
    <n v="120.3"/>
    <s v="NA"/>
    <n v="115.3"/>
    <n v="115.4"/>
    <n v="113.4"/>
    <n v="113.2"/>
    <n v="111.8"/>
    <n v="115.5"/>
    <n v="108.8"/>
    <n v="113.1"/>
    <n v="119.5"/>
  </r>
  <r>
    <s v="Urban"/>
    <x v="1"/>
    <x v="6"/>
    <n v="123.8"/>
    <n v="126.4"/>
    <n v="118"/>
    <n v="121.6"/>
    <n v="103.5"/>
    <n v="133.69999999999999"/>
    <n v="172.4"/>
    <n v="113.1"/>
    <n v="102.7"/>
    <n v="120"/>
    <n v="113.8"/>
    <n v="123.4"/>
    <n v="127.1"/>
    <n v="121"/>
    <n v="118"/>
    <n v="113.6"/>
    <n v="117.4"/>
    <n v="114.8"/>
    <n v="111.6"/>
    <n v="114.9"/>
    <n v="111.5"/>
    <n v="113"/>
    <n v="112.4"/>
    <n v="117.8"/>
    <n v="109.7"/>
    <n v="113.5"/>
    <n v="118.9"/>
  </r>
  <r>
    <s v="Rural+Urban"/>
    <x v="1"/>
    <x v="6"/>
    <n v="122.4"/>
    <n v="123.9"/>
    <n v="117.8"/>
    <n v="121"/>
    <n v="107.9"/>
    <n v="131.19999999999999"/>
    <n v="157.69999999999999"/>
    <n v="113.2"/>
    <n v="104.1"/>
    <n v="115.5"/>
    <n v="114.8"/>
    <n v="122.1"/>
    <n v="124.7"/>
    <n v="118.8"/>
    <n v="119.6"/>
    <n v="116.3"/>
    <n v="119.1"/>
    <n v="114.8"/>
    <n v="113.9"/>
    <n v="115.2"/>
    <n v="112.7"/>
    <n v="113.1"/>
    <n v="112.1"/>
    <n v="116.8"/>
    <n v="109.2"/>
    <n v="113.3"/>
    <n v="119.2"/>
  </r>
  <r>
    <s v="Rural"/>
    <x v="1"/>
    <x v="7"/>
    <n v="121.8"/>
    <n v="122.8"/>
    <n v="117.8"/>
    <n v="121.9"/>
    <n v="110.6"/>
    <n v="129.69999999999999"/>
    <n v="161.1"/>
    <n v="114.1"/>
    <n v="105.1"/>
    <n v="114.6"/>
    <n v="115.8"/>
    <n v="121.7"/>
    <n v="125.3"/>
    <n v="118.8"/>
    <n v="120.9"/>
    <n v="118.8"/>
    <n v="120.7"/>
    <s v="NA"/>
    <n v="115.4"/>
    <n v="115.9"/>
    <n v="114"/>
    <n v="113.2"/>
    <n v="112.2"/>
    <n v="116.2"/>
    <n v="109.4"/>
    <n v="113.5"/>
    <n v="120.7"/>
  </r>
  <r>
    <s v="Urban"/>
    <x v="1"/>
    <x v="7"/>
    <n v="124.8"/>
    <n v="127.3"/>
    <n v="116.5"/>
    <n v="122.2"/>
    <n v="103.6"/>
    <n v="132.69999999999999"/>
    <n v="181.9"/>
    <n v="115.2"/>
    <n v="102.7"/>
    <n v="122.1"/>
    <n v="114.4"/>
    <n v="124.7"/>
    <n v="128.9"/>
    <n v="123"/>
    <n v="118.6"/>
    <n v="114.1"/>
    <n v="117.9"/>
    <n v="115.5"/>
    <n v="111.8"/>
    <n v="115.3"/>
    <n v="112.2"/>
    <n v="112.5"/>
    <n v="112.9"/>
    <n v="119.2"/>
    <n v="110.5"/>
    <n v="113.9"/>
    <n v="119.9"/>
  </r>
  <r>
    <s v="Rural+Urban"/>
    <x v="1"/>
    <x v="7"/>
    <n v="122.7"/>
    <n v="124.4"/>
    <n v="117.3"/>
    <n v="122"/>
    <n v="108"/>
    <n v="131.1"/>
    <n v="168.2"/>
    <n v="114.5"/>
    <n v="104.3"/>
    <n v="117.1"/>
    <n v="115.2"/>
    <n v="123.1"/>
    <n v="126.6"/>
    <n v="119.9"/>
    <n v="120"/>
    <n v="116.8"/>
    <n v="119.6"/>
    <n v="115.5"/>
    <n v="114"/>
    <n v="115.6"/>
    <n v="113.3"/>
    <n v="112.8"/>
    <n v="112.6"/>
    <n v="118"/>
    <n v="109.9"/>
    <n v="113.7"/>
    <n v="120.3"/>
  </r>
  <r>
    <s v="Rural"/>
    <x v="1"/>
    <x v="8"/>
    <n v="122.3"/>
    <n v="122.4"/>
    <n v="117.8"/>
    <n v="122.7"/>
    <n v="110.4"/>
    <n v="129.80000000000001"/>
    <n v="158.80000000000001"/>
    <n v="115"/>
    <n v="104.7"/>
    <n v="114.9"/>
    <n v="116.5"/>
    <n v="122.6"/>
    <n v="125.3"/>
    <n v="119.5"/>
    <n v="121.7"/>
    <n v="119.2"/>
    <n v="121.3"/>
    <s v="NA"/>
    <n v="115.8"/>
    <n v="116.7"/>
    <n v="114.5"/>
    <n v="112.8"/>
    <n v="112.6"/>
    <n v="116.6"/>
    <n v="109.1"/>
    <n v="113.7"/>
    <n v="120.9"/>
  </r>
  <r>
    <s v="Urban"/>
    <x v="1"/>
    <x v="8"/>
    <n v="124.2"/>
    <n v="125.4"/>
    <n v="116.4"/>
    <n v="122.7"/>
    <n v="103.5"/>
    <n v="124.5"/>
    <n v="168.6"/>
    <n v="116.9"/>
    <n v="101.9"/>
    <n v="122.9"/>
    <n v="114.8"/>
    <n v="125.2"/>
    <n v="126.7"/>
    <n v="124.3"/>
    <n v="119.2"/>
    <n v="114.5"/>
    <n v="118.4"/>
    <n v="116.1"/>
    <n v="111.8"/>
    <n v="115.5"/>
    <n v="112.3"/>
    <n v="111.2"/>
    <n v="113.4"/>
    <n v="120"/>
    <n v="110"/>
    <n v="113.6"/>
    <n v="119.2"/>
  </r>
  <r>
    <s v="Rural+Urban"/>
    <x v="1"/>
    <x v="8"/>
    <n v="122.9"/>
    <n v="123.5"/>
    <n v="117.3"/>
    <n v="122.7"/>
    <n v="107.9"/>
    <n v="127.3"/>
    <n v="162.1"/>
    <n v="115.6"/>
    <n v="103.8"/>
    <n v="117.6"/>
    <n v="115.8"/>
    <n v="123.8"/>
    <n v="125.8"/>
    <n v="120.8"/>
    <n v="120.7"/>
    <n v="117.2"/>
    <n v="120.1"/>
    <n v="116.1"/>
    <n v="114.3"/>
    <n v="116.1"/>
    <n v="113.7"/>
    <n v="112"/>
    <n v="113.1"/>
    <n v="118.6"/>
    <n v="109.5"/>
    <n v="113.7"/>
    <n v="120.1"/>
  </r>
  <r>
    <s v="Rural"/>
    <x v="1"/>
    <x v="9"/>
    <n v="122.6"/>
    <n v="122.5"/>
    <n v="118.3"/>
    <n v="123.2"/>
    <n v="110.5"/>
    <n v="128.9"/>
    <n v="155.30000000000001"/>
    <n v="115.5"/>
    <n v="104"/>
    <n v="115.3"/>
    <n v="116.8"/>
    <n v="123.2"/>
    <n v="125.1"/>
    <n v="120"/>
    <n v="122.7"/>
    <n v="120.3"/>
    <n v="122.3"/>
    <s v="NA"/>
    <n v="116.4"/>
    <n v="117.5"/>
    <n v="115.3"/>
    <n v="112.6"/>
    <n v="113"/>
    <n v="116.9"/>
    <n v="109.3"/>
    <n v="114"/>
    <n v="121"/>
  </r>
  <r>
    <s v="Urban"/>
    <x v="1"/>
    <x v="9"/>
    <n v="124.6"/>
    <n v="126.1"/>
    <n v="117.8"/>
    <n v="123.1"/>
    <n v="103.5"/>
    <n v="123.5"/>
    <n v="159.6"/>
    <n v="117.4"/>
    <n v="101.2"/>
    <n v="123.8"/>
    <n v="115.2"/>
    <n v="125.9"/>
    <n v="125.8"/>
    <n v="124.3"/>
    <n v="119.6"/>
    <n v="114.9"/>
    <n v="118.9"/>
    <n v="116.7"/>
    <n v="112"/>
    <n v="115.8"/>
    <n v="112.6"/>
    <n v="111"/>
    <n v="113.6"/>
    <n v="120.2"/>
    <n v="110.1"/>
    <n v="113.7"/>
    <n v="119.1"/>
  </r>
  <r>
    <s v="Rural+Urban"/>
    <x v="1"/>
    <x v="9"/>
    <n v="123.2"/>
    <n v="123.8"/>
    <n v="118.1"/>
    <n v="123.2"/>
    <n v="107.9"/>
    <n v="126.4"/>
    <n v="156.80000000000001"/>
    <n v="116.1"/>
    <n v="103.1"/>
    <n v="118.1"/>
    <n v="116.1"/>
    <n v="124.5"/>
    <n v="125.4"/>
    <n v="121.1"/>
    <n v="121.5"/>
    <n v="118.1"/>
    <n v="121"/>
    <n v="116.7"/>
    <n v="114.7"/>
    <n v="116.7"/>
    <n v="114.3"/>
    <n v="111.8"/>
    <n v="113.3"/>
    <n v="118.8"/>
    <n v="109.6"/>
    <n v="113.9"/>
    <n v="120.1"/>
  </r>
  <r>
    <s v="Rural"/>
    <x v="1"/>
    <x v="11"/>
    <n v="122.7"/>
    <n v="122.6"/>
    <n v="119.9"/>
    <n v="124"/>
    <n v="110.5"/>
    <n v="128.80000000000001"/>
    <n v="152"/>
    <n v="116.2"/>
    <n v="103.3"/>
    <n v="115.8"/>
    <n v="116.8"/>
    <n v="124.5"/>
    <n v="124.9"/>
    <n v="120.8"/>
    <n v="123.3"/>
    <n v="120.5"/>
    <n v="122.9"/>
    <s v="NA"/>
    <n v="117.3"/>
    <n v="118.1"/>
    <n v="115.9"/>
    <n v="112"/>
    <n v="113.3"/>
    <n v="117.2"/>
    <n v="108.8"/>
    <n v="114.1"/>
    <n v="121.1"/>
  </r>
  <r>
    <s v="Urban"/>
    <x v="1"/>
    <x v="11"/>
    <n v="124.5"/>
    <n v="125.6"/>
    <n v="122.7"/>
    <n v="124.6"/>
    <n v="103.2"/>
    <n v="122.2"/>
    <n v="153.19999999999999"/>
    <n v="119.3"/>
    <n v="99.8"/>
    <n v="124.6"/>
    <n v="115.8"/>
    <n v="126.9"/>
    <n v="125.4"/>
    <n v="125.8"/>
    <n v="120.3"/>
    <n v="115.4"/>
    <n v="119.5"/>
    <n v="117.1"/>
    <n v="112.6"/>
    <n v="116.4"/>
    <n v="113"/>
    <n v="109.7"/>
    <n v="114"/>
    <n v="120.3"/>
    <n v="109.6"/>
    <n v="113.4"/>
    <n v="119"/>
  </r>
  <r>
    <s v="Rural+Urban"/>
    <x v="1"/>
    <x v="11"/>
    <n v="123.3"/>
    <n v="123.7"/>
    <n v="121"/>
    <n v="124.2"/>
    <n v="107.8"/>
    <n v="125.7"/>
    <n v="152.4"/>
    <n v="117.2"/>
    <n v="102.1"/>
    <n v="118.7"/>
    <n v="116.4"/>
    <n v="125.6"/>
    <n v="125.1"/>
    <n v="122.1"/>
    <n v="122.1"/>
    <n v="118.4"/>
    <n v="121.6"/>
    <n v="117.1"/>
    <n v="115.5"/>
    <n v="117.3"/>
    <n v="114.8"/>
    <n v="110.8"/>
    <n v="113.7"/>
    <n v="119"/>
    <n v="109.1"/>
    <n v="113.8"/>
    <n v="120.1"/>
  </r>
  <r>
    <s v="Rural"/>
    <x v="1"/>
    <x v="12"/>
    <n v="122.4"/>
    <n v="122.4"/>
    <n v="121.8"/>
    <n v="124.2"/>
    <n v="110.2"/>
    <n v="128.6"/>
    <n v="140.30000000000001"/>
    <n v="116.3"/>
    <n v="102"/>
    <n v="116"/>
    <n v="117.3"/>
    <n v="124.8"/>
    <n v="123.3"/>
    <n v="121.7"/>
    <n v="123.8"/>
    <n v="120.6"/>
    <n v="123.3"/>
    <s v="NA"/>
    <n v="117.4"/>
    <n v="118.2"/>
    <n v="116.2"/>
    <n v="111.5"/>
    <n v="113.3"/>
    <n v="117.7"/>
    <n v="109.4"/>
    <n v="114.2"/>
    <n v="120.3"/>
  </r>
  <r>
    <s v="Urban"/>
    <x v="1"/>
    <x v="12"/>
    <n v="124"/>
    <n v="124.7"/>
    <n v="126.3"/>
    <n v="124.9"/>
    <n v="103"/>
    <n v="122.3"/>
    <n v="141"/>
    <n v="120.1"/>
    <n v="97.8"/>
    <n v="125.4"/>
    <n v="116.1"/>
    <n v="127.6"/>
    <n v="124"/>
    <n v="126.4"/>
    <n v="120.7"/>
    <n v="115.8"/>
    <n v="120"/>
    <n v="116.5"/>
    <n v="113"/>
    <n v="116.8"/>
    <n v="113.2"/>
    <n v="108.8"/>
    <n v="114.3"/>
    <n v="120.7"/>
    <n v="110.4"/>
    <n v="113.4"/>
    <n v="118.4"/>
  </r>
  <r>
    <s v="Rural+Urban"/>
    <x v="1"/>
    <x v="12"/>
    <n v="122.9"/>
    <n v="123.2"/>
    <n v="123.5"/>
    <n v="124.5"/>
    <n v="107.6"/>
    <n v="125.7"/>
    <n v="140.5"/>
    <n v="117.6"/>
    <n v="100.6"/>
    <n v="119.1"/>
    <n v="116.8"/>
    <n v="126.1"/>
    <n v="123.6"/>
    <n v="123"/>
    <n v="122.6"/>
    <n v="118.6"/>
    <n v="122"/>
    <n v="116.5"/>
    <n v="115.7"/>
    <n v="117.5"/>
    <n v="115.1"/>
    <n v="110.1"/>
    <n v="113.9"/>
    <n v="119.5"/>
    <n v="109.8"/>
    <n v="113.8"/>
    <n v="119.4"/>
  </r>
  <r>
    <s v="Rural"/>
    <x v="2"/>
    <x v="0"/>
    <n v="123.1"/>
    <n v="123.1"/>
    <n v="122.1"/>
    <n v="124.9"/>
    <n v="111"/>
    <n v="130.4"/>
    <n v="132.30000000000001"/>
    <n v="117.2"/>
    <n v="100.5"/>
    <n v="117.2"/>
    <n v="117.9"/>
    <n v="125.6"/>
    <n v="122.8"/>
    <n v="122.7"/>
    <n v="124.4"/>
    <n v="121.6"/>
    <n v="124"/>
    <s v="NA"/>
    <n v="118.4"/>
    <n v="118.9"/>
    <n v="116.6"/>
    <n v="111"/>
    <n v="114"/>
    <n v="118.2"/>
    <n v="110.2"/>
    <n v="114.5"/>
    <n v="120.3"/>
  </r>
  <r>
    <s v="Urban"/>
    <x v="2"/>
    <x v="0"/>
    <n v="124"/>
    <n v="125.5"/>
    <n v="126.6"/>
    <n v="125.2"/>
    <n v="104.3"/>
    <n v="121.3"/>
    <n v="134.4"/>
    <n v="122.9"/>
    <n v="96.1"/>
    <n v="126.6"/>
    <n v="116.5"/>
    <n v="128"/>
    <n v="123.5"/>
    <n v="127.4"/>
    <n v="121"/>
    <n v="116.1"/>
    <n v="120.2"/>
    <n v="117.3"/>
    <n v="113.4"/>
    <n v="117.2"/>
    <n v="113.7"/>
    <n v="107.9"/>
    <n v="114.6"/>
    <n v="120.8"/>
    <n v="111.4"/>
    <n v="113.4"/>
    <n v="118.5"/>
  </r>
  <r>
    <s v="Rural+Urban"/>
    <x v="2"/>
    <x v="0"/>
    <n v="123.4"/>
    <n v="123.9"/>
    <n v="123.8"/>
    <n v="125"/>
    <n v="108.5"/>
    <n v="126.2"/>
    <n v="133"/>
    <n v="119.1"/>
    <n v="99"/>
    <n v="120.3"/>
    <n v="117.3"/>
    <n v="126.7"/>
    <n v="123.1"/>
    <n v="124"/>
    <n v="123.1"/>
    <n v="119.3"/>
    <n v="122.5"/>
    <n v="117.3"/>
    <n v="116.5"/>
    <n v="118.1"/>
    <n v="115.5"/>
    <n v="109.4"/>
    <n v="114.3"/>
    <n v="119.7"/>
    <n v="110.7"/>
    <n v="114"/>
    <n v="119.5"/>
  </r>
  <r>
    <s v="Rural"/>
    <x v="2"/>
    <x v="1"/>
    <n v="123.4"/>
    <n v="124.4"/>
    <n v="122.1"/>
    <n v="125.8"/>
    <n v="111.5"/>
    <n v="129.4"/>
    <n v="128.19999999999999"/>
    <n v="118.8"/>
    <n v="100"/>
    <n v="118.6"/>
    <n v="118.8"/>
    <n v="126.8"/>
    <n v="122.8"/>
    <n v="124.2"/>
    <n v="125.4"/>
    <n v="122.7"/>
    <n v="125"/>
    <s v="NA"/>
    <n v="120"/>
    <n v="119.6"/>
    <n v="117.7"/>
    <n v="110.9"/>
    <n v="114.8"/>
    <n v="118.7"/>
    <n v="110.8"/>
    <n v="115"/>
    <n v="120.6"/>
  </r>
  <r>
    <s v="Urban"/>
    <x v="2"/>
    <x v="1"/>
    <n v="124.3"/>
    <n v="126.5"/>
    <n v="119.5"/>
    <n v="125.6"/>
    <n v="104.9"/>
    <n v="121.6"/>
    <n v="131.80000000000001"/>
    <n v="125.1"/>
    <n v="95"/>
    <n v="127.7"/>
    <n v="116.8"/>
    <n v="128.6"/>
    <n v="123.7"/>
    <n v="128.1"/>
    <n v="121.3"/>
    <n v="116.5"/>
    <n v="120.6"/>
    <n v="118.1"/>
    <n v="114"/>
    <n v="117.7"/>
    <n v="114.1"/>
    <n v="106.8"/>
    <n v="114.9"/>
    <n v="120.4"/>
    <n v="111.7"/>
    <n v="113.2"/>
    <n v="118.7"/>
  </r>
  <r>
    <s v="Rural+Urban"/>
    <x v="2"/>
    <x v="1"/>
    <n v="123.7"/>
    <n v="125.1"/>
    <n v="121.1"/>
    <n v="125.7"/>
    <n v="109.1"/>
    <n v="125.8"/>
    <n v="129.4"/>
    <n v="120.9"/>
    <n v="98.3"/>
    <n v="121.6"/>
    <n v="118"/>
    <n v="127.6"/>
    <n v="123.1"/>
    <n v="125.2"/>
    <n v="123.8"/>
    <n v="120.1"/>
    <n v="123.3"/>
    <n v="118.1"/>
    <n v="117.7"/>
    <n v="118.7"/>
    <n v="116.3"/>
    <n v="108.7"/>
    <n v="114.9"/>
    <n v="119.7"/>
    <n v="111.2"/>
    <n v="114.1"/>
    <n v="119.7"/>
  </r>
  <r>
    <s v="Rural"/>
    <x v="2"/>
    <x v="2"/>
    <n v="123.3"/>
    <n v="124.7"/>
    <n v="118.9"/>
    <n v="126"/>
    <n v="111.8"/>
    <n v="130.9"/>
    <n v="128"/>
    <n v="119.9"/>
    <n v="98.9"/>
    <n v="119.4"/>
    <n v="118.9"/>
    <n v="127.7"/>
    <n v="123.1"/>
    <n v="124.7"/>
    <n v="126"/>
    <n v="122.9"/>
    <n v="125.5"/>
    <s v="NA"/>
    <n v="120.6"/>
    <n v="120.2"/>
    <n v="118.2"/>
    <n v="111.6"/>
    <n v="115.5"/>
    <n v="119.4"/>
    <n v="110.8"/>
    <n v="115.5"/>
    <n v="121.1"/>
  </r>
  <r>
    <s v="Urban"/>
    <x v="2"/>
    <x v="2"/>
    <n v="124"/>
    <n v="126.7"/>
    <n v="113.5"/>
    <n v="125.9"/>
    <n v="104.8"/>
    <n v="123.8"/>
    <n v="131.4"/>
    <n v="127.2"/>
    <n v="93.2"/>
    <n v="127.4"/>
    <n v="117"/>
    <n v="129.19999999999999"/>
    <n v="123.9"/>
    <n v="128.80000000000001"/>
    <n v="121.7"/>
    <n v="116.9"/>
    <n v="120.9"/>
    <n v="118.6"/>
    <n v="114.4"/>
    <n v="118"/>
    <n v="114.3"/>
    <n v="108.4"/>
    <n v="115.4"/>
    <n v="120.6"/>
    <n v="111.3"/>
    <n v="113.8"/>
    <n v="119.1"/>
  </r>
  <r>
    <s v="Rural+Urban"/>
    <x v="2"/>
    <x v="2"/>
    <n v="123.5"/>
    <n v="125.4"/>
    <n v="116.8"/>
    <n v="126"/>
    <n v="109.2"/>
    <n v="127.6"/>
    <n v="129.19999999999999"/>
    <n v="122.4"/>
    <n v="97"/>
    <n v="122.1"/>
    <n v="118.1"/>
    <n v="128.4"/>
    <n v="123.4"/>
    <n v="125.8"/>
    <n v="124.3"/>
    <n v="120.4"/>
    <n v="123.7"/>
    <n v="118.6"/>
    <n v="118.3"/>
    <n v="119.2"/>
    <n v="116.7"/>
    <n v="109.9"/>
    <n v="115.4"/>
    <n v="120.1"/>
    <n v="111"/>
    <n v="114.7"/>
    <n v="120.2"/>
  </r>
  <r>
    <s v="Rural"/>
    <x v="2"/>
    <x v="3"/>
    <n v="123.3"/>
    <n v="125.5"/>
    <n v="117.2"/>
    <n v="126.8"/>
    <n v="111.9"/>
    <n v="134.19999999999999"/>
    <n v="127.5"/>
    <n v="121.5"/>
    <n v="97.8"/>
    <n v="119.8"/>
    <n v="119.4"/>
    <n v="128.69999999999999"/>
    <n v="123.6"/>
    <n v="125.7"/>
    <n v="126.4"/>
    <n v="123.3"/>
    <n v="126"/>
    <s v="NA"/>
    <n v="121.2"/>
    <n v="120.9"/>
    <n v="118.6"/>
    <n v="111.9"/>
    <n v="116.2"/>
    <n v="119.9"/>
    <n v="111.6"/>
    <n v="116"/>
    <n v="121.5"/>
  </r>
  <r>
    <s v="Urban"/>
    <x v="2"/>
    <x v="3"/>
    <n v="123.8"/>
    <n v="128.19999999999999"/>
    <n v="110"/>
    <n v="126.3"/>
    <n v="104.5"/>
    <n v="130.6"/>
    <n v="130.80000000000001"/>
    <n v="131.30000000000001"/>
    <n v="91.6"/>
    <n v="127.7"/>
    <n v="117.2"/>
    <n v="129.5"/>
    <n v="124.6"/>
    <n v="130.1"/>
    <n v="122.1"/>
    <n v="117.2"/>
    <n v="121.3"/>
    <n v="119.2"/>
    <n v="114.7"/>
    <n v="118.4"/>
    <n v="114.6"/>
    <n v="108.4"/>
    <n v="115.6"/>
    <n v="121.7"/>
    <n v="111.8"/>
    <n v="114.2"/>
    <n v="119.7"/>
  </r>
  <r>
    <s v="Rural+Urban"/>
    <x v="2"/>
    <x v="3"/>
    <n v="123.5"/>
    <n v="126.4"/>
    <n v="114.4"/>
    <n v="126.6"/>
    <n v="109.2"/>
    <n v="132.5"/>
    <n v="128.6"/>
    <n v="124.8"/>
    <n v="95.7"/>
    <n v="122.4"/>
    <n v="118.5"/>
    <n v="129.1"/>
    <n v="124"/>
    <n v="126.9"/>
    <n v="124.7"/>
    <n v="120.8"/>
    <n v="124.1"/>
    <n v="119.2"/>
    <n v="118.7"/>
    <n v="119.7"/>
    <n v="117.1"/>
    <n v="110.1"/>
    <n v="115.9"/>
    <n v="121"/>
    <n v="111.7"/>
    <n v="115.1"/>
    <n v="120.7"/>
  </r>
  <r>
    <s v="Rural"/>
    <x v="2"/>
    <x v="4"/>
    <n v="123.5"/>
    <n v="127.1"/>
    <n v="117.3"/>
    <n v="127.7"/>
    <n v="112.5"/>
    <n v="134.1"/>
    <n v="128.5"/>
    <n v="124.3"/>
    <n v="97.6"/>
    <n v="120.7"/>
    <n v="120.2"/>
    <n v="129.80000000000001"/>
    <n v="124.4"/>
    <n v="126.7"/>
    <n v="127.3"/>
    <n v="124.1"/>
    <n v="126.8"/>
    <s v="NA"/>
    <n v="121.9"/>
    <n v="121.5"/>
    <n v="119.4"/>
    <n v="113.3"/>
    <n v="116.7"/>
    <n v="120.5"/>
    <n v="112.3"/>
    <n v="116.9"/>
    <n v="122.4"/>
  </r>
  <r>
    <s v="Urban"/>
    <x v="2"/>
    <x v="4"/>
    <n v="123.8"/>
    <n v="129.69999999999999"/>
    <n v="111.3"/>
    <n v="126.6"/>
    <n v="105.2"/>
    <n v="130.80000000000001"/>
    <n v="135.6"/>
    <n v="142.6"/>
    <n v="90.8"/>
    <n v="128.80000000000001"/>
    <n v="117.7"/>
    <n v="129.9"/>
    <n v="126.1"/>
    <n v="131.30000000000001"/>
    <n v="122.4"/>
    <n v="117.4"/>
    <n v="121.6"/>
    <n v="119.6"/>
    <n v="114.9"/>
    <n v="118.7"/>
    <n v="114.9"/>
    <n v="110.8"/>
    <n v="116"/>
    <n v="122"/>
    <n v="112.4"/>
    <n v="115.2"/>
    <n v="120.7"/>
  </r>
  <r>
    <s v="Rural+Urban"/>
    <x v="2"/>
    <x v="4"/>
    <n v="123.6"/>
    <n v="128"/>
    <n v="115"/>
    <n v="127.3"/>
    <n v="109.8"/>
    <n v="132.6"/>
    <n v="130.9"/>
    <n v="130.5"/>
    <n v="95.3"/>
    <n v="123.4"/>
    <n v="119.2"/>
    <n v="129.80000000000001"/>
    <n v="125"/>
    <n v="127.9"/>
    <n v="125.4"/>
    <n v="121.3"/>
    <n v="124.7"/>
    <n v="119.6"/>
    <n v="119.2"/>
    <n v="120.2"/>
    <n v="117.7"/>
    <n v="112"/>
    <n v="116.3"/>
    <n v="121.4"/>
    <n v="112.3"/>
    <n v="116.1"/>
    <n v="121.6"/>
  </r>
  <r>
    <s v="Rural"/>
    <x v="2"/>
    <x v="5"/>
    <n v="124.1"/>
    <n v="130.4"/>
    <n v="122.1"/>
    <n v="128.69999999999999"/>
    <n v="114.1"/>
    <n v="133.19999999999999"/>
    <n v="135.19999999999999"/>
    <n v="131.9"/>
    <n v="96.3"/>
    <n v="123"/>
    <n v="121.1"/>
    <n v="131.19999999999999"/>
    <n v="126.6"/>
    <n v="128.19999999999999"/>
    <n v="128.4"/>
    <n v="125.1"/>
    <n v="128"/>
    <s v="NA"/>
    <n v="122.6"/>
    <n v="122.8"/>
    <n v="120.4"/>
    <n v="114.2"/>
    <n v="117.9"/>
    <n v="122"/>
    <n v="113"/>
    <n v="117.9"/>
    <n v="124.1"/>
  </r>
  <r>
    <s v="Urban"/>
    <x v="2"/>
    <x v="5"/>
    <n v="123.6"/>
    <n v="134.4"/>
    <n v="120.9"/>
    <n v="127.3"/>
    <n v="106"/>
    <n v="132.30000000000001"/>
    <n v="146.69999999999999"/>
    <n v="148.1"/>
    <n v="89.8"/>
    <n v="130.5"/>
    <n v="118"/>
    <n v="130.5"/>
    <n v="128.5"/>
    <n v="132.1"/>
    <n v="123.2"/>
    <n v="117.6"/>
    <n v="122.3"/>
    <n v="119"/>
    <n v="115.1"/>
    <n v="119.2"/>
    <n v="115.4"/>
    <n v="111.7"/>
    <n v="116.2"/>
    <n v="123.8"/>
    <n v="112.5"/>
    <n v="116"/>
    <n v="121.7"/>
  </r>
  <r>
    <s v="Rural+Urban"/>
    <x v="2"/>
    <x v="5"/>
    <n v="123.9"/>
    <n v="131.80000000000001"/>
    <n v="121.6"/>
    <n v="128.19999999999999"/>
    <n v="111.1"/>
    <n v="132.80000000000001"/>
    <n v="139.1"/>
    <n v="137.4"/>
    <n v="94.1"/>
    <n v="125.5"/>
    <n v="119.8"/>
    <n v="130.9"/>
    <n v="127.3"/>
    <n v="129.19999999999999"/>
    <n v="126.4"/>
    <n v="122"/>
    <n v="125.7"/>
    <n v="119"/>
    <n v="119.8"/>
    <n v="121.1"/>
    <n v="118.5"/>
    <n v="112.9"/>
    <n v="116.9"/>
    <n v="123.1"/>
    <n v="112.8"/>
    <n v="117"/>
    <n v="123"/>
  </r>
  <r>
    <s v="Rural"/>
    <x v="2"/>
    <x v="6"/>
    <n v="124"/>
    <n v="131.5"/>
    <n v="122"/>
    <n v="128.69999999999999"/>
    <n v="113.5"/>
    <n v="133.30000000000001"/>
    <n v="140.80000000000001"/>
    <n v="133.80000000000001"/>
    <n v="94.1"/>
    <n v="123.4"/>
    <n v="121"/>
    <n v="131.69999999999999"/>
    <n v="127.5"/>
    <n v="129.4"/>
    <n v="128.80000000000001"/>
    <n v="125.5"/>
    <n v="128.30000000000001"/>
    <s v="NA"/>
    <n v="123"/>
    <n v="123"/>
    <n v="120.8"/>
    <n v="114.1"/>
    <n v="118"/>
    <n v="122.9"/>
    <n v="112.7"/>
    <n v="118.1"/>
    <n v="124.7"/>
  </r>
  <r>
    <s v="Urban"/>
    <x v="2"/>
    <x v="6"/>
    <n v="123.2"/>
    <n v="134.30000000000001"/>
    <n v="119.5"/>
    <n v="127.7"/>
    <n v="106.3"/>
    <n v="132.80000000000001"/>
    <n v="153.5"/>
    <n v="149.5"/>
    <n v="85.7"/>
    <n v="131.5"/>
    <n v="118.3"/>
    <n v="131.1"/>
    <n v="129.5"/>
    <n v="133.1"/>
    <n v="123.5"/>
    <n v="117.9"/>
    <n v="122.7"/>
    <n v="119.9"/>
    <n v="115.3"/>
    <n v="119.5"/>
    <n v="116"/>
    <n v="111.5"/>
    <n v="116.6"/>
    <n v="125.4"/>
    <n v="111.7"/>
    <n v="116.3"/>
    <n v="122.4"/>
  </r>
  <r>
    <s v="Rural+Urban"/>
    <x v="2"/>
    <x v="6"/>
    <n v="123.7"/>
    <n v="132.5"/>
    <n v="121"/>
    <n v="128.30000000000001"/>
    <n v="110.9"/>
    <n v="133.1"/>
    <n v="145.1"/>
    <n v="139.1"/>
    <n v="91.3"/>
    <n v="126.1"/>
    <n v="119.9"/>
    <n v="131.4"/>
    <n v="128.19999999999999"/>
    <n v="130.4"/>
    <n v="126.7"/>
    <n v="122.3"/>
    <n v="126.1"/>
    <n v="119.9"/>
    <n v="120.1"/>
    <n v="121.3"/>
    <n v="119"/>
    <n v="112.7"/>
    <n v="117.2"/>
    <n v="124.4"/>
    <n v="112.3"/>
    <n v="117.2"/>
    <n v="123.6"/>
  </r>
  <r>
    <s v="Rural"/>
    <x v="2"/>
    <x v="7"/>
    <n v="124.7"/>
    <n v="131.30000000000001"/>
    <n v="121.3"/>
    <n v="128.80000000000001"/>
    <n v="114"/>
    <n v="134.19999999999999"/>
    <n v="153.6"/>
    <n v="137.9"/>
    <n v="93.1"/>
    <n v="123.9"/>
    <n v="121.5"/>
    <n v="132.5"/>
    <n v="129.80000000000001"/>
    <n v="130.1"/>
    <n v="129.5"/>
    <n v="126.3"/>
    <n v="129"/>
    <s v="NA"/>
    <n v="123.8"/>
    <n v="123.7"/>
    <n v="121.1"/>
    <n v="113.6"/>
    <n v="118.5"/>
    <n v="123.6"/>
    <n v="112.5"/>
    <n v="118.2"/>
    <n v="126.1"/>
  </r>
  <r>
    <s v="Urban"/>
    <x v="2"/>
    <x v="7"/>
    <n v="123.1"/>
    <n v="131.69999999999999"/>
    <n v="118.1"/>
    <n v="128"/>
    <n v="106.8"/>
    <n v="130.1"/>
    <n v="165.5"/>
    <n v="156"/>
    <n v="85.3"/>
    <n v="132.69999999999999"/>
    <n v="118.8"/>
    <n v="131.69999999999999"/>
    <n v="131.1"/>
    <n v="134.19999999999999"/>
    <n v="123.7"/>
    <n v="118.2"/>
    <n v="122.9"/>
    <n v="120.9"/>
    <n v="115.3"/>
    <n v="120"/>
    <n v="116.6"/>
    <n v="109.9"/>
    <n v="117.2"/>
    <n v="126.2"/>
    <n v="112"/>
    <n v="116.2"/>
    <n v="123.2"/>
  </r>
  <r>
    <s v="Rural+Urban"/>
    <x v="2"/>
    <x v="7"/>
    <n v="124.2"/>
    <n v="131.4"/>
    <n v="120.1"/>
    <n v="128.5"/>
    <n v="111.4"/>
    <n v="132.30000000000001"/>
    <n v="157.6"/>
    <n v="144"/>
    <n v="90.5"/>
    <n v="126.8"/>
    <n v="120.4"/>
    <n v="132.1"/>
    <n v="130.30000000000001"/>
    <n v="131.19999999999999"/>
    <n v="127.2"/>
    <n v="122.9"/>
    <n v="126.6"/>
    <n v="120.9"/>
    <n v="120.6"/>
    <n v="122"/>
    <n v="119.4"/>
    <n v="111.7"/>
    <n v="117.8"/>
    <n v="125.1"/>
    <n v="112.3"/>
    <n v="117.2"/>
    <n v="124.8"/>
  </r>
  <r>
    <s v="Rural"/>
    <x v="2"/>
    <x v="8"/>
    <n v="125.1"/>
    <n v="131.1"/>
    <n v="120.7"/>
    <n v="129.19999999999999"/>
    <n v="114.7"/>
    <n v="132.30000000000001"/>
    <n v="158.9"/>
    <n v="142.1"/>
    <n v="92.5"/>
    <n v="125.4"/>
    <n v="121.9"/>
    <n v="132.69999999999999"/>
    <n v="131"/>
    <n v="131"/>
    <n v="130.4"/>
    <n v="126.8"/>
    <n v="129.9"/>
    <s v="NA"/>
    <n v="123.7"/>
    <n v="124.5"/>
    <n v="121.4"/>
    <n v="113.8"/>
    <n v="119.6"/>
    <n v="124.5"/>
    <n v="113.7"/>
    <n v="118.8"/>
    <n v="127"/>
  </r>
  <r>
    <s v="Urban"/>
    <x v="2"/>
    <x v="8"/>
    <n v="123.4"/>
    <n v="129"/>
    <n v="115.6"/>
    <n v="128.30000000000001"/>
    <n v="107"/>
    <n v="124"/>
    <n v="168.5"/>
    <n v="165.4"/>
    <n v="86.3"/>
    <n v="134.4"/>
    <n v="119.1"/>
    <n v="132.30000000000001"/>
    <n v="131.5"/>
    <n v="134.69999999999999"/>
    <n v="124"/>
    <n v="118.6"/>
    <n v="123.2"/>
    <n v="121.6"/>
    <n v="115.1"/>
    <n v="120.4"/>
    <n v="117.1"/>
    <n v="109.1"/>
    <n v="117.3"/>
    <n v="126.5"/>
    <n v="112.9"/>
    <n v="116.2"/>
    <n v="123.5"/>
  </r>
  <r>
    <s v="Rural+Urban"/>
    <x v="2"/>
    <x v="8"/>
    <n v="124.6"/>
    <n v="130.4"/>
    <n v="118.7"/>
    <n v="128.9"/>
    <n v="111.9"/>
    <n v="128.4"/>
    <n v="162.19999999999999"/>
    <n v="150"/>
    <n v="90.4"/>
    <n v="128.4"/>
    <n v="120.7"/>
    <n v="132.5"/>
    <n v="131.19999999999999"/>
    <n v="132"/>
    <n v="127.9"/>
    <n v="123.4"/>
    <n v="127.2"/>
    <n v="121.6"/>
    <n v="120.4"/>
    <n v="122.6"/>
    <n v="119.8"/>
    <n v="111.3"/>
    <n v="118.3"/>
    <n v="125.7"/>
    <n v="113.4"/>
    <n v="117.5"/>
    <n v="125.4"/>
  </r>
  <r>
    <s v="Rural"/>
    <x v="2"/>
    <x v="9"/>
    <n v="125.6"/>
    <n v="130.4"/>
    <n v="120.8"/>
    <n v="129.4"/>
    <n v="115.8"/>
    <n v="133.19999999999999"/>
    <n v="157.69999999999999"/>
    <n v="154.19999999999999"/>
    <n v="93.7"/>
    <n v="126.6"/>
    <n v="122.3"/>
    <n v="133.1"/>
    <n v="131.80000000000001"/>
    <n v="131.5"/>
    <n v="131.1"/>
    <n v="127.3"/>
    <n v="130.6"/>
    <s v="NA"/>
    <n v="124.4"/>
    <n v="125.1"/>
    <n v="122"/>
    <n v="113.8"/>
    <n v="120.1"/>
    <n v="125.1"/>
    <n v="114.2"/>
    <n v="119.2"/>
    <n v="127.7"/>
  </r>
  <r>
    <s v="Urban"/>
    <x v="2"/>
    <x v="9"/>
    <n v="123.6"/>
    <n v="128.6"/>
    <n v="115.9"/>
    <n v="128.5"/>
    <n v="109"/>
    <n v="124.1"/>
    <n v="165.8"/>
    <n v="187.2"/>
    <n v="89.4"/>
    <n v="135.80000000000001"/>
    <n v="119.4"/>
    <n v="132.9"/>
    <n v="132.6"/>
    <n v="135.30000000000001"/>
    <n v="124.4"/>
    <n v="118.8"/>
    <n v="123.6"/>
    <n v="122.4"/>
    <n v="114.9"/>
    <n v="120.7"/>
    <n v="117.7"/>
    <n v="109.3"/>
    <n v="117.7"/>
    <n v="126.5"/>
    <n v="113.5"/>
    <n v="116.5"/>
    <n v="124.2"/>
  </r>
  <r>
    <s v="Rural+Urban"/>
    <x v="2"/>
    <x v="9"/>
    <n v="125"/>
    <n v="129.80000000000001"/>
    <n v="118.9"/>
    <n v="129.1"/>
    <n v="113.3"/>
    <n v="129"/>
    <n v="160.4"/>
    <n v="165.3"/>
    <n v="92.3"/>
    <n v="129.69999999999999"/>
    <n v="121.1"/>
    <n v="133"/>
    <n v="132.1"/>
    <n v="132.5"/>
    <n v="128.5"/>
    <n v="123.8"/>
    <n v="127.8"/>
    <n v="122.4"/>
    <n v="120.8"/>
    <n v="123"/>
    <n v="120.4"/>
    <n v="111.4"/>
    <n v="118.7"/>
    <n v="125.9"/>
    <n v="113.9"/>
    <n v="117.9"/>
    <n v="126.1"/>
  </r>
  <r>
    <s v="Rural"/>
    <x v="2"/>
    <x v="11"/>
    <n v="126.1"/>
    <n v="130.6"/>
    <n v="121.7"/>
    <n v="129.5"/>
    <n v="117.8"/>
    <n v="132.1"/>
    <n v="155.19999999999999"/>
    <n v="160.80000000000001"/>
    <n v="94.5"/>
    <n v="128.30000000000001"/>
    <n v="123.1"/>
    <n v="134.19999999999999"/>
    <n v="132.4"/>
    <n v="132.19999999999999"/>
    <n v="132.1"/>
    <n v="128.19999999999999"/>
    <n v="131.5"/>
    <s v="NA"/>
    <n v="125.6"/>
    <n v="125.6"/>
    <n v="122.6"/>
    <n v="114"/>
    <n v="120.9"/>
    <n v="125.8"/>
    <n v="114.2"/>
    <n v="119.6"/>
    <n v="128.30000000000001"/>
  </r>
  <r>
    <s v="Urban"/>
    <x v="2"/>
    <x v="11"/>
    <n v="124"/>
    <n v="129.80000000000001"/>
    <n v="121.5"/>
    <n v="128.6"/>
    <n v="110"/>
    <n v="123.7"/>
    <n v="164.6"/>
    <n v="191.6"/>
    <n v="90.8"/>
    <n v="137.1"/>
    <n v="119.8"/>
    <n v="133.69999999999999"/>
    <n v="133.30000000000001"/>
    <n v="137.6"/>
    <n v="125"/>
    <n v="119.3"/>
    <n v="124.2"/>
    <n v="122.9"/>
    <n v="115.1"/>
    <n v="121"/>
    <n v="118.1"/>
    <n v="109.3"/>
    <n v="117.9"/>
    <n v="126.6"/>
    <n v="113.3"/>
    <n v="116.6"/>
    <n v="124.6"/>
  </r>
  <r>
    <s v="Rural+Urban"/>
    <x v="2"/>
    <x v="11"/>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26.6"/>
  </r>
  <r>
    <s v="Rural"/>
    <x v="2"/>
    <x v="12"/>
    <n v="126.3"/>
    <n v="131.30000000000001"/>
    <n v="123.3"/>
    <n v="129.80000000000001"/>
    <n v="118.3"/>
    <n v="131.6"/>
    <n v="145.5"/>
    <n v="162.1"/>
    <n v="95.4"/>
    <n v="128.9"/>
    <n v="123.3"/>
    <n v="135.1"/>
    <n v="131.4"/>
    <n v="133.1"/>
    <n v="132.5"/>
    <n v="128.5"/>
    <n v="131.9"/>
    <s v="NA"/>
    <n v="125.7"/>
    <n v="126"/>
    <n v="123.1"/>
    <n v="114"/>
    <n v="121.6"/>
    <n v="125.6"/>
    <n v="114.1"/>
    <n v="119.8"/>
    <n v="127.9"/>
  </r>
  <r>
    <s v="Urban"/>
    <x v="2"/>
    <x v="12"/>
    <n v="124.3"/>
    <n v="131.69999999999999"/>
    <n v="127.1"/>
    <n v="128.6"/>
    <n v="110"/>
    <n v="120.8"/>
    <n v="149"/>
    <n v="190.1"/>
    <n v="92.7"/>
    <n v="138.6"/>
    <n v="120.2"/>
    <n v="134.19999999999999"/>
    <n v="131.5"/>
    <n v="138.19999999999999"/>
    <n v="125.4"/>
    <n v="119.5"/>
    <n v="124.5"/>
    <n v="122.4"/>
    <n v="116"/>
    <n v="121"/>
    <n v="118.6"/>
    <n v="109.3"/>
    <n v="118.1"/>
    <n v="126.6"/>
    <n v="113.2"/>
    <n v="116.7"/>
    <n v="124"/>
  </r>
  <r>
    <s v="Rural+Urban"/>
    <x v="2"/>
    <x v="12"/>
    <n v="125.7"/>
    <n v="131.4"/>
    <n v="124.8"/>
    <n v="129.4"/>
    <n v="115.3"/>
    <n v="126.6"/>
    <n v="146.69999999999999"/>
    <n v="171.5"/>
    <n v="94.5"/>
    <n v="132.1"/>
    <n v="122"/>
    <n v="134.69999999999999"/>
    <n v="131.4"/>
    <n v="134.5"/>
    <n v="129.69999999999999"/>
    <n v="124.8"/>
    <n v="129"/>
    <n v="122.4"/>
    <n v="122"/>
    <n v="123.6"/>
    <n v="121.4"/>
    <n v="111.5"/>
    <n v="119.6"/>
    <n v="126.2"/>
    <n v="113.7"/>
    <n v="118.3"/>
    <n v="126.1"/>
  </r>
  <r>
    <s v="Rural"/>
    <x v="3"/>
    <x v="0"/>
    <n v="126.8"/>
    <n v="133.19999999999999"/>
    <n v="126.5"/>
    <n v="130.30000000000001"/>
    <n v="118.9"/>
    <n v="131.6"/>
    <n v="140.1"/>
    <n v="163.80000000000001"/>
    <n v="97.7"/>
    <n v="129.6"/>
    <n v="124.3"/>
    <n v="135.9"/>
    <n v="131.4"/>
    <n v="133.6"/>
    <n v="133.19999999999999"/>
    <n v="128.9"/>
    <n v="132.6"/>
    <s v="NA"/>
    <n v="126.2"/>
    <n v="126.6"/>
    <n v="123.7"/>
    <n v="113.6"/>
    <n v="121.4"/>
    <n v="126.2"/>
    <n v="114.9"/>
    <n v="120.1"/>
    <n v="128.1"/>
  </r>
  <r>
    <s v="Urban"/>
    <x v="3"/>
    <x v="0"/>
    <n v="124.7"/>
    <n v="135.9"/>
    <n v="132"/>
    <n v="129.19999999999999"/>
    <n v="109.7"/>
    <n v="119"/>
    <n v="144.1"/>
    <n v="184.2"/>
    <n v="96.7"/>
    <n v="139.5"/>
    <n v="120.5"/>
    <n v="134.69999999999999"/>
    <n v="131.19999999999999"/>
    <n v="139.5"/>
    <n v="125.8"/>
    <n v="119.8"/>
    <n v="124.9"/>
    <n v="123.4"/>
    <n v="116.9"/>
    <n v="121.6"/>
    <n v="119.1"/>
    <n v="108.9"/>
    <n v="118.5"/>
    <n v="126.4"/>
    <n v="114"/>
    <n v="116.8"/>
    <n v="124.2"/>
  </r>
  <r>
    <s v="Rural+Urban"/>
    <x v="3"/>
    <x v="0"/>
    <n v="126.1"/>
    <n v="134.1"/>
    <n v="128.6"/>
    <n v="129.9"/>
    <n v="115.5"/>
    <n v="125.7"/>
    <n v="141.5"/>
    <n v="170.7"/>
    <n v="97.4"/>
    <n v="132.9"/>
    <n v="122.7"/>
    <n v="135.30000000000001"/>
    <n v="131.30000000000001"/>
    <n v="135.19999999999999"/>
    <n v="130.30000000000001"/>
    <n v="125.1"/>
    <n v="129.5"/>
    <n v="123.4"/>
    <n v="122.7"/>
    <n v="124.2"/>
    <n v="122"/>
    <n v="111.1"/>
    <n v="119.8"/>
    <n v="126.3"/>
    <n v="114.5"/>
    <n v="118.5"/>
    <n v="126.3"/>
  </r>
  <r>
    <s v="Rural"/>
    <x v="3"/>
    <x v="1"/>
    <n v="127.1"/>
    <n v="133.69999999999999"/>
    <n v="127.7"/>
    <n v="130.69999999999999"/>
    <n v="118.5"/>
    <n v="130.4"/>
    <n v="130.9"/>
    <n v="162.80000000000001"/>
    <n v="98.7"/>
    <n v="130.6"/>
    <n v="124.8"/>
    <n v="136.4"/>
    <n v="130.30000000000001"/>
    <n v="134.4"/>
    <n v="133.9"/>
    <n v="129.80000000000001"/>
    <n v="133.4"/>
    <s v="NA"/>
    <n v="127.5"/>
    <n v="127.1"/>
    <n v="124.3"/>
    <n v="113.9"/>
    <n v="122.3"/>
    <n v="127.1"/>
    <n v="116.8"/>
    <n v="120.9"/>
    <n v="127.9"/>
  </r>
  <r>
    <s v="Urban"/>
    <x v="3"/>
    <x v="1"/>
    <n v="124.8"/>
    <n v="135.1"/>
    <n v="130.30000000000001"/>
    <n v="129.6"/>
    <n v="108.4"/>
    <n v="118.6"/>
    <n v="129.19999999999999"/>
    <n v="176.4"/>
    <n v="99.1"/>
    <n v="139.69999999999999"/>
    <n v="120.6"/>
    <n v="135.19999999999999"/>
    <n v="129.1"/>
    <n v="140"/>
    <n v="126.2"/>
    <n v="120.1"/>
    <n v="125.3"/>
    <n v="124.4"/>
    <n v="116"/>
    <n v="121.8"/>
    <n v="119.5"/>
    <n v="109.1"/>
    <n v="118.8"/>
    <n v="126.3"/>
    <n v="116.2"/>
    <n v="117.2"/>
    <n v="123.8"/>
  </r>
  <r>
    <s v="Rural+Urban"/>
    <x v="3"/>
    <x v="1"/>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r>
  <r>
    <s v="Rural"/>
    <x v="3"/>
    <x v="2"/>
    <n v="127.3"/>
    <n v="134.4"/>
    <n v="125.1"/>
    <n v="130.5"/>
    <n v="118.3"/>
    <n v="131.69999999999999"/>
    <n v="130.69999999999999"/>
    <n v="161.19999999999999"/>
    <n v="100.4"/>
    <n v="130.80000000000001"/>
    <n v="124.9"/>
    <n v="137"/>
    <n v="130.4"/>
    <n v="135"/>
    <n v="134.4"/>
    <n v="130.19999999999999"/>
    <n v="133.80000000000001"/>
    <s v="NA"/>
    <n v="127"/>
    <n v="127.7"/>
    <n v="124.8"/>
    <n v="113.6"/>
    <n v="122.5"/>
    <n v="127.5"/>
    <n v="117.4"/>
    <n v="121.1"/>
    <n v="128"/>
  </r>
  <r>
    <s v="Urban"/>
    <x v="3"/>
    <x v="2"/>
    <n v="124.8"/>
    <n v="136.30000000000001"/>
    <n v="123.7"/>
    <n v="129.69999999999999"/>
    <n v="107.9"/>
    <n v="119.9"/>
    <n v="128.1"/>
    <n v="170.3"/>
    <n v="101.8"/>
    <n v="140.1"/>
    <n v="120.7"/>
    <n v="135.4"/>
    <n v="128.9"/>
    <n v="140.6"/>
    <n v="126.4"/>
    <n v="120.3"/>
    <n v="125.5"/>
    <n v="124.9"/>
    <n v="114.8"/>
    <n v="122.3"/>
    <n v="119.7"/>
    <n v="108.5"/>
    <n v="119.1"/>
    <n v="126.4"/>
    <n v="117.1"/>
    <n v="117.3"/>
    <n v="123.8"/>
  </r>
  <r>
    <s v="Rural+Urban"/>
    <x v="3"/>
    <x v="2"/>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r>
  <r>
    <s v="Rural"/>
    <x v="3"/>
    <x v="3"/>
    <n v="127.4"/>
    <n v="135.4"/>
    <n v="123.4"/>
    <n v="131.30000000000001"/>
    <n v="118.2"/>
    <n v="138.1"/>
    <n v="134.1"/>
    <n v="162.69999999999999"/>
    <n v="105"/>
    <n v="131.4"/>
    <n v="125.4"/>
    <n v="137.4"/>
    <n v="131.80000000000001"/>
    <n v="135.5"/>
    <n v="135"/>
    <n v="130.6"/>
    <n v="134.4"/>
    <s v="NA"/>
    <n v="127"/>
    <n v="128"/>
    <n v="125.2"/>
    <n v="114.4"/>
    <n v="123.2"/>
    <n v="127.9"/>
    <n v="118.4"/>
    <n v="121.7"/>
    <n v="129"/>
  </r>
  <r>
    <s v="Urban"/>
    <x v="3"/>
    <x v="3"/>
    <n v="124.9"/>
    <n v="139.30000000000001"/>
    <n v="119.9"/>
    <n v="130.19999999999999"/>
    <n v="108.9"/>
    <n v="131.1"/>
    <n v="136.80000000000001"/>
    <n v="176.9"/>
    <n v="109.1"/>
    <n v="140.4"/>
    <n v="121.1"/>
    <n v="135.9"/>
    <n v="131.80000000000001"/>
    <n v="141.5"/>
    <n v="126.8"/>
    <n v="120.5"/>
    <n v="125.8"/>
    <n v="125.6"/>
    <n v="114.6"/>
    <n v="122.8"/>
    <n v="120"/>
    <n v="110"/>
    <n v="119.5"/>
    <n v="127.6"/>
    <n v="117.6"/>
    <n v="118.2"/>
    <n v="125.3"/>
  </r>
  <r>
    <s v="Rural+Urban"/>
    <x v="3"/>
    <x v="3"/>
    <n v="126.6"/>
    <n v="136.80000000000001"/>
    <n v="122"/>
    <n v="130.9"/>
    <n v="114.8"/>
    <n v="134.80000000000001"/>
    <n v="135"/>
    <n v="167.5"/>
    <n v="106.4"/>
    <n v="134.4"/>
    <n v="123.6"/>
    <n v="136.69999999999999"/>
    <n v="131.80000000000001"/>
    <n v="137.1"/>
    <n v="131.80000000000001"/>
    <n v="126.4"/>
    <n v="131"/>
    <n v="125.6"/>
    <n v="122.3"/>
    <n v="125.5"/>
    <n v="123.2"/>
    <n v="112.1"/>
    <n v="121.1"/>
    <n v="127.7"/>
    <n v="118.1"/>
    <n v="120"/>
    <n v="127.3"/>
  </r>
  <r>
    <s v="Rural"/>
    <x v="3"/>
    <x v="4"/>
    <n v="127.6"/>
    <n v="137.5"/>
    <n v="124.4"/>
    <n v="132.4"/>
    <n v="118.2"/>
    <n v="138.1"/>
    <n v="141.80000000000001"/>
    <n v="166"/>
    <n v="107.5"/>
    <n v="132.19999999999999"/>
    <n v="126.1"/>
    <n v="138.30000000000001"/>
    <n v="133.6"/>
    <n v="136"/>
    <n v="135.4"/>
    <n v="131.1"/>
    <n v="134.80000000000001"/>
    <s v="NA"/>
    <n v="127.4"/>
    <n v="128.5"/>
    <n v="125.8"/>
    <n v="115.1"/>
    <n v="123.6"/>
    <n v="129.1"/>
    <n v="119.7"/>
    <n v="122.5"/>
    <n v="130.30000000000001"/>
  </r>
  <r>
    <s v="Urban"/>
    <x v="3"/>
    <x v="4"/>
    <n v="125"/>
    <n v="142.1"/>
    <n v="127"/>
    <n v="130.4"/>
    <n v="109.6"/>
    <n v="133.5"/>
    <n v="151.4"/>
    <n v="182.8"/>
    <n v="111.1"/>
    <n v="141.5"/>
    <n v="121.5"/>
    <n v="136.30000000000001"/>
    <n v="134.6"/>
    <n v="142.19999999999999"/>
    <n v="127.2"/>
    <n v="120.7"/>
    <n v="126.2"/>
    <n v="126"/>
    <n v="115"/>
    <n v="123.2"/>
    <n v="120.3"/>
    <n v="110.7"/>
    <n v="119.8"/>
    <n v="128"/>
    <n v="118.5"/>
    <n v="118.7"/>
    <n v="126.6"/>
  </r>
  <r>
    <s v="Rural+Urban"/>
    <x v="3"/>
    <x v="4"/>
    <n v="126.8"/>
    <n v="139.1"/>
    <n v="125.4"/>
    <n v="131.69999999999999"/>
    <n v="115"/>
    <n v="136"/>
    <n v="145.1"/>
    <n v="171.7"/>
    <n v="108.7"/>
    <n v="135.30000000000001"/>
    <n v="124.2"/>
    <n v="137.4"/>
    <n v="134"/>
    <n v="137.69999999999999"/>
    <n v="132.19999999999999"/>
    <n v="126.8"/>
    <n v="131.4"/>
    <n v="126"/>
    <n v="122.7"/>
    <n v="126"/>
    <n v="123.7"/>
    <n v="112.8"/>
    <n v="121.5"/>
    <n v="128.5"/>
    <n v="119.2"/>
    <n v="120.7"/>
    <n v="128.6"/>
  </r>
  <r>
    <s v="Rural"/>
    <x v="3"/>
    <x v="5"/>
    <n v="128.6"/>
    <n v="138.6"/>
    <n v="126.6"/>
    <n v="133.6"/>
    <n v="118.6"/>
    <n v="137.4"/>
    <n v="152.5"/>
    <n v="169.2"/>
    <n v="108.8"/>
    <n v="133.1"/>
    <n v="126.4"/>
    <n v="139.19999999999999"/>
    <n v="136"/>
    <n v="137.19999999999999"/>
    <n v="136.30000000000001"/>
    <n v="131.6"/>
    <n v="135.6"/>
    <s v="NA"/>
    <n v="128"/>
    <n v="129.30000000000001"/>
    <n v="126.2"/>
    <n v="116.3"/>
    <n v="124.1"/>
    <n v="130.19999999999999"/>
    <n v="119.9"/>
    <n v="123.3"/>
    <n v="131.9"/>
  </r>
  <r>
    <s v="Urban"/>
    <x v="3"/>
    <x v="5"/>
    <n v="125.9"/>
    <n v="143.9"/>
    <n v="130.9"/>
    <n v="131"/>
    <n v="110.2"/>
    <n v="135.5"/>
    <n v="173.7"/>
    <n v="184.4"/>
    <n v="112"/>
    <n v="142.80000000000001"/>
    <n v="121.6"/>
    <n v="136.9"/>
    <n v="138.19999999999999"/>
    <n v="142.69999999999999"/>
    <n v="127.6"/>
    <n v="121.1"/>
    <n v="126.6"/>
    <n v="125.5"/>
    <n v="115.5"/>
    <n v="123.2"/>
    <n v="120.6"/>
    <n v="112.3"/>
    <n v="119.9"/>
    <n v="129.30000000000001"/>
    <n v="118.8"/>
    <n v="119.6"/>
    <n v="128.1"/>
  </r>
  <r>
    <s v="Rural+Urban"/>
    <x v="3"/>
    <x v="5"/>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r>
  <r>
    <s v="Rural"/>
    <x v="3"/>
    <x v="6"/>
    <n v="129.30000000000001"/>
    <n v="139.5"/>
    <n v="129.6"/>
    <n v="134.5"/>
    <n v="119.5"/>
    <n v="138.5"/>
    <n v="158.19999999999999"/>
    <n v="171.8"/>
    <n v="110.3"/>
    <n v="134.30000000000001"/>
    <n v="127.3"/>
    <n v="139.9"/>
    <n v="137.6"/>
    <n v="138"/>
    <n v="137.19999999999999"/>
    <n v="132.19999999999999"/>
    <n v="136.5"/>
    <s v="NA"/>
    <n v="128.19999999999999"/>
    <n v="130"/>
    <n v="126.7"/>
    <n v="116.4"/>
    <n v="125.2"/>
    <n v="130.80000000000001"/>
    <n v="120.9"/>
    <n v="123.8"/>
    <n v="133"/>
  </r>
  <r>
    <s v="Urban"/>
    <x v="3"/>
    <x v="6"/>
    <n v="126.8"/>
    <n v="144.19999999999999"/>
    <n v="136.6"/>
    <n v="131.80000000000001"/>
    <n v="111"/>
    <n v="137"/>
    <n v="179.5"/>
    <n v="188.4"/>
    <n v="113.3"/>
    <n v="143.9"/>
    <n v="121.7"/>
    <n v="137.5"/>
    <n v="139.80000000000001"/>
    <n v="142.9"/>
    <n v="127.9"/>
    <n v="121.1"/>
    <n v="126.9"/>
    <n v="126.4"/>
    <n v="115.5"/>
    <n v="123.5"/>
    <n v="120.9"/>
    <n v="111.7"/>
    <n v="120.3"/>
    <n v="130.80000000000001"/>
    <n v="120"/>
    <n v="119.9"/>
    <n v="129"/>
  </r>
  <r>
    <s v="Rural+Urban"/>
    <x v="3"/>
    <x v="6"/>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r>
  <r>
    <s v="Rural"/>
    <x v="3"/>
    <x v="7"/>
    <n v="130.1"/>
    <n v="138.80000000000001"/>
    <n v="130.30000000000001"/>
    <n v="135.30000000000001"/>
    <n v="119.9"/>
    <n v="140.19999999999999"/>
    <n v="156.9"/>
    <n v="172.2"/>
    <n v="112.1"/>
    <n v="134.9"/>
    <n v="128.1"/>
    <n v="140.69999999999999"/>
    <n v="138"/>
    <n v="138.9"/>
    <n v="137.80000000000001"/>
    <n v="133"/>
    <n v="137.1"/>
    <s v="NA"/>
    <n v="129.1"/>
    <n v="130.6"/>
    <n v="127"/>
    <n v="116"/>
    <n v="125.5"/>
    <n v="131.9"/>
    <n v="122"/>
    <n v="124.2"/>
    <n v="133.5"/>
  </r>
  <r>
    <s v="Urban"/>
    <x v="3"/>
    <x v="7"/>
    <n v="127.6"/>
    <n v="140.30000000000001"/>
    <n v="133.69999999999999"/>
    <n v="132.19999999999999"/>
    <n v="111.8"/>
    <n v="135.80000000000001"/>
    <n v="163.5"/>
    <n v="182.3"/>
    <n v="114.6"/>
    <n v="144.6"/>
    <n v="121.9"/>
    <n v="138.1"/>
    <n v="137.6"/>
    <n v="143.6"/>
    <n v="128.30000000000001"/>
    <n v="121.4"/>
    <n v="127.3"/>
    <n v="127.3"/>
    <n v="114.7"/>
    <n v="123.9"/>
    <n v="121.2"/>
    <n v="110.4"/>
    <n v="120.6"/>
    <n v="131.5"/>
    <n v="120.9"/>
    <n v="119.9"/>
    <n v="128.4"/>
  </r>
  <r>
    <s v="Rural+Urban"/>
    <x v="3"/>
    <x v="7"/>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r>
  <r>
    <s v="Rural"/>
    <x v="3"/>
    <x v="8"/>
    <n v="130.80000000000001"/>
    <n v="138.19999999999999"/>
    <n v="130.5"/>
    <n v="135.5"/>
    <n v="120.2"/>
    <n v="139.19999999999999"/>
    <n v="149.5"/>
    <n v="170.4"/>
    <n v="113.1"/>
    <n v="135.80000000000001"/>
    <n v="128.80000000000001"/>
    <n v="141.5"/>
    <n v="137.19999999999999"/>
    <n v="139.9"/>
    <n v="138.5"/>
    <n v="133.5"/>
    <n v="137.80000000000001"/>
    <s v="NA"/>
    <n v="129.69999999999999"/>
    <n v="131.1"/>
    <n v="127.8"/>
    <n v="117"/>
    <n v="125.7"/>
    <n v="132.19999999999999"/>
    <n v="122.8"/>
    <n v="124.9"/>
    <n v="133.4"/>
  </r>
  <r>
    <s v="Urban"/>
    <x v="3"/>
    <x v="8"/>
    <n v="128.1"/>
    <n v="137.69999999999999"/>
    <n v="130.6"/>
    <n v="132.6"/>
    <n v="111.9"/>
    <n v="132.5"/>
    <n v="152.9"/>
    <n v="173.6"/>
    <n v="115.1"/>
    <n v="144.80000000000001"/>
    <n v="122.1"/>
    <n v="138.80000000000001"/>
    <n v="135.69999999999999"/>
    <n v="143.9"/>
    <n v="128.69999999999999"/>
    <n v="121.6"/>
    <n v="127.7"/>
    <n v="127.9"/>
    <n v="114.8"/>
    <n v="124.3"/>
    <n v="121.4"/>
    <n v="111.8"/>
    <n v="120.8"/>
    <n v="131.6"/>
    <n v="121.2"/>
    <n v="120.5"/>
    <n v="128"/>
  </r>
  <r>
    <s v="Rural+Urban"/>
    <x v="3"/>
    <x v="8"/>
    <n v="129.9"/>
    <n v="138"/>
    <n v="130.5"/>
    <n v="134.4"/>
    <n v="117.2"/>
    <n v="136.1"/>
    <n v="150.69999999999999"/>
    <n v="171.5"/>
    <n v="113.8"/>
    <n v="138.80000000000001"/>
    <n v="126"/>
    <n v="140.19999999999999"/>
    <n v="136.6"/>
    <n v="141"/>
    <n v="134.6"/>
    <n v="128.6"/>
    <n v="133.80000000000001"/>
    <n v="127.9"/>
    <n v="124.1"/>
    <n v="127.9"/>
    <n v="125.4"/>
    <n v="114.3"/>
    <n v="122.9"/>
    <n v="131.80000000000001"/>
    <n v="122.1"/>
    <n v="122.8"/>
    <n v="130.9"/>
  </r>
  <r>
    <s v="Rural"/>
    <x v="3"/>
    <x v="9"/>
    <n v="131.30000000000001"/>
    <n v="137.6"/>
    <n v="130.1"/>
    <n v="136"/>
    <n v="120.8"/>
    <n v="138.4"/>
    <n v="149.19999999999999"/>
    <n v="170.2"/>
    <n v="113.4"/>
    <n v="136.30000000000001"/>
    <n v="128.69999999999999"/>
    <n v="142.4"/>
    <n v="137.4"/>
    <n v="140.9"/>
    <n v="139.6"/>
    <n v="134.30000000000001"/>
    <n v="138.80000000000001"/>
    <s v="NA"/>
    <n v="129.80000000000001"/>
    <n v="131.80000000000001"/>
    <n v="128.69999999999999"/>
    <n v="117.8"/>
    <n v="126.5"/>
    <n v="133"/>
    <n v="123"/>
    <n v="125.7"/>
    <n v="133.80000000000001"/>
  </r>
  <r>
    <s v="Urban"/>
    <x v="3"/>
    <x v="9"/>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28.6"/>
  </r>
  <r>
    <s v="Rural+Urban"/>
    <x v="3"/>
    <x v="9"/>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r>
  <r>
    <s v="Rural"/>
    <x v="3"/>
    <x v="11"/>
    <n v="132"/>
    <n v="137.4"/>
    <n v="130.6"/>
    <n v="136.19999999999999"/>
    <n v="121.1"/>
    <n v="136.9"/>
    <n v="141.80000000000001"/>
    <n v="170"/>
    <n v="113.4"/>
    <n v="136.80000000000001"/>
    <n v="128.69999999999999"/>
    <n v="143.1"/>
    <n v="136.6"/>
    <n v="141.19999999999999"/>
    <n v="139.9"/>
    <n v="134.5"/>
    <n v="139.19999999999999"/>
    <s v="NA"/>
    <n v="130.30000000000001"/>
    <n v="132.1"/>
    <n v="129.1"/>
    <n v="118.2"/>
    <n v="126.9"/>
    <n v="133.69999999999999"/>
    <n v="123.5"/>
    <n v="126.1"/>
    <n v="133.6"/>
  </r>
  <r>
    <s v="Urban"/>
    <x v="3"/>
    <x v="11"/>
    <n v="130.19999999999999"/>
    <n v="138.5"/>
    <n v="134.1"/>
    <n v="132.9"/>
    <n v="112.6"/>
    <n v="130.80000000000001"/>
    <n v="142"/>
    <n v="174.9"/>
    <n v="115.6"/>
    <n v="145.4"/>
    <n v="122.7"/>
    <n v="140.30000000000001"/>
    <n v="135.19999999999999"/>
    <n v="144.30000000000001"/>
    <n v="129.6"/>
    <n v="122.1"/>
    <n v="128.5"/>
    <n v="129.1"/>
    <n v="116.2"/>
    <n v="124.7"/>
    <n v="122.1"/>
    <n v="113.4"/>
    <n v="121.7"/>
    <n v="132.1"/>
    <n v="121.3"/>
    <n v="121.3"/>
    <n v="128.5"/>
  </r>
  <r>
    <s v="Rural+Urban"/>
    <x v="3"/>
    <x v="11"/>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r>
  <r>
    <s v="Rural"/>
    <x v="3"/>
    <x v="12"/>
    <n v="132.6"/>
    <n v="137.30000000000001"/>
    <n v="131.6"/>
    <n v="136.30000000000001"/>
    <n v="121.6"/>
    <n v="135.6"/>
    <n v="127.5"/>
    <n v="167.9"/>
    <n v="113.8"/>
    <n v="137.5"/>
    <n v="129.1"/>
    <n v="143.6"/>
    <n v="134.69999999999999"/>
    <n v="142.4"/>
    <n v="140.4"/>
    <n v="135.19999999999999"/>
    <n v="139.69999999999999"/>
    <s v="NA"/>
    <n v="132"/>
    <n v="132.9"/>
    <n v="129.69999999999999"/>
    <n v="118.6"/>
    <n v="127.3"/>
    <n v="134.19999999999999"/>
    <n v="121.9"/>
    <n v="126.3"/>
    <n v="132.80000000000001"/>
  </r>
  <r>
    <s v="Urban"/>
    <x v="3"/>
    <x v="12"/>
    <n v="131.6"/>
    <n v="138.19999999999999"/>
    <n v="134.9"/>
    <n v="133.1"/>
    <n v="113.5"/>
    <n v="129.30000000000001"/>
    <n v="121.1"/>
    <n v="170.3"/>
    <n v="115.5"/>
    <n v="145.5"/>
    <n v="123.1"/>
    <n v="140.9"/>
    <n v="132.80000000000001"/>
    <n v="145"/>
    <n v="130"/>
    <n v="122.2"/>
    <n v="128.80000000000001"/>
    <n v="128.5"/>
    <n v="117.8"/>
    <n v="125"/>
    <n v="122.3"/>
    <n v="113.7"/>
    <n v="121.8"/>
    <n v="132.30000000000001"/>
    <n v="119.9"/>
    <n v="121.4"/>
    <n v="127.6"/>
  </r>
  <r>
    <s v="Rural+Urban"/>
    <x v="3"/>
    <x v="12"/>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r>
  <r>
    <s v="Rural"/>
    <x v="4"/>
    <x v="0"/>
    <n v="133.1"/>
    <n v="137.80000000000001"/>
    <n v="131.9"/>
    <n v="136.69999999999999"/>
    <n v="122"/>
    <n v="136"/>
    <n v="119.8"/>
    <n v="161.69999999999999"/>
    <n v="114.8"/>
    <n v="136.9"/>
    <n v="129"/>
    <n v="143.9"/>
    <n v="133.69999999999999"/>
    <n v="143.1"/>
    <n v="140.69999999999999"/>
    <n v="135.80000000000001"/>
    <n v="140"/>
    <s v="NA"/>
    <n v="132.1"/>
    <n v="133.19999999999999"/>
    <n v="129.9"/>
    <n v="119.1"/>
    <n v="127"/>
    <n v="134.6"/>
    <n v="122.3"/>
    <n v="126.6"/>
    <n v="132.4"/>
  </r>
  <r>
    <s v="Urban"/>
    <x v="4"/>
    <x v="0"/>
    <n v="132.19999999999999"/>
    <n v="138.9"/>
    <n v="132.6"/>
    <n v="133.1"/>
    <n v="114"/>
    <n v="129.6"/>
    <n v="118.7"/>
    <n v="155.1"/>
    <n v="117.3"/>
    <n v="144.9"/>
    <n v="123.2"/>
    <n v="141.6"/>
    <n v="132"/>
    <n v="145.6"/>
    <n v="130.19999999999999"/>
    <n v="122.3"/>
    <n v="129"/>
    <n v="129.6"/>
    <n v="118"/>
    <n v="125.1"/>
    <n v="122.6"/>
    <n v="115.2"/>
    <n v="122"/>
    <n v="132.4"/>
    <n v="120.9"/>
    <n v="122.1"/>
    <n v="127.8"/>
  </r>
  <r>
    <s v="Rural+Urban"/>
    <x v="4"/>
    <x v="0"/>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r>
  <r>
    <s v="Rural"/>
    <x v="4"/>
    <x v="1"/>
    <n v="133.30000000000001"/>
    <n v="138.30000000000001"/>
    <n v="129.30000000000001"/>
    <n v="137.19999999999999"/>
    <n v="122.1"/>
    <n v="138.69999999999999"/>
    <n v="119.1"/>
    <n v="156.9"/>
    <n v="116.2"/>
    <n v="136"/>
    <n v="129.4"/>
    <n v="144.4"/>
    <n v="133.6"/>
    <n v="143.69999999999999"/>
    <n v="140.9"/>
    <n v="135.80000000000001"/>
    <n v="140.19999999999999"/>
    <s v="NA"/>
    <n v="133.19999999999999"/>
    <n v="133.6"/>
    <n v="130.1"/>
    <n v="119.5"/>
    <n v="127.7"/>
    <n v="134.9"/>
    <n v="123.2"/>
    <n v="127"/>
    <n v="132.6"/>
  </r>
  <r>
    <s v="Urban"/>
    <x v="4"/>
    <x v="1"/>
    <n v="132.80000000000001"/>
    <n v="139.80000000000001"/>
    <n v="129.30000000000001"/>
    <n v="133.5"/>
    <n v="114.3"/>
    <n v="131.4"/>
    <n v="120.2"/>
    <n v="143.1"/>
    <n v="119.5"/>
    <n v="144"/>
    <n v="123.4"/>
    <n v="141.9"/>
    <n v="132.1"/>
    <n v="146.30000000000001"/>
    <n v="130.5"/>
    <n v="122.5"/>
    <n v="129.30000000000001"/>
    <n v="130.5"/>
    <n v="119.2"/>
    <n v="125.3"/>
    <n v="122.9"/>
    <n v="115.5"/>
    <n v="122.2"/>
    <n v="132.4"/>
    <n v="121.7"/>
    <n v="122.4"/>
    <n v="128.19999999999999"/>
  </r>
  <r>
    <s v="Rural+Urban"/>
    <x v="4"/>
    <x v="1"/>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r>
  <r>
    <s v="Rural"/>
    <x v="4"/>
    <x v="2"/>
    <n v="133.6"/>
    <n v="138.80000000000001"/>
    <n v="128.80000000000001"/>
    <n v="137.19999999999999"/>
    <n v="121.6"/>
    <n v="139.69999999999999"/>
    <n v="119.7"/>
    <n v="148"/>
    <n v="116.9"/>
    <n v="135.6"/>
    <n v="129.80000000000001"/>
    <n v="145.4"/>
    <n v="133.4"/>
    <n v="144.19999999999999"/>
    <n v="141.6"/>
    <n v="136.19999999999999"/>
    <n v="140.80000000000001"/>
    <s v="NA"/>
    <n v="134.19999999999999"/>
    <n v="134.1"/>
    <n v="130.6"/>
    <n v="119.8"/>
    <n v="128.30000000000001"/>
    <n v="135.19999999999999"/>
    <n v="123.3"/>
    <n v="127.4"/>
    <n v="132.80000000000001"/>
  </r>
  <r>
    <s v="Urban"/>
    <x v="4"/>
    <x v="2"/>
    <n v="132.69999999999999"/>
    <n v="139.4"/>
    <n v="128.4"/>
    <n v="134.9"/>
    <n v="114"/>
    <n v="136.80000000000001"/>
    <n v="122.2"/>
    <n v="135.80000000000001"/>
    <n v="120.3"/>
    <n v="142.6"/>
    <n v="123.6"/>
    <n v="142.4"/>
    <n v="132.6"/>
    <n v="147.5"/>
    <n v="130.80000000000001"/>
    <n v="122.8"/>
    <n v="129.6"/>
    <n v="131.1"/>
    <n v="120.8"/>
    <n v="125.6"/>
    <n v="123.1"/>
    <n v="115.6"/>
    <n v="122.4"/>
    <n v="132.80000000000001"/>
    <n v="121.7"/>
    <n v="122.6"/>
    <n v="128.69999999999999"/>
  </r>
  <r>
    <s v="Rural+Urban"/>
    <x v="4"/>
    <x v="2"/>
    <n v="133.30000000000001"/>
    <n v="139"/>
    <n v="128.6"/>
    <n v="136.30000000000001"/>
    <n v="118.8"/>
    <n v="138.30000000000001"/>
    <n v="120.5"/>
    <n v="143.9"/>
    <n v="118"/>
    <n v="137.9"/>
    <n v="127.2"/>
    <n v="144"/>
    <n v="133.1"/>
    <n v="145.1"/>
    <n v="137.30000000000001"/>
    <n v="130.6"/>
    <n v="136.4"/>
    <n v="131.1"/>
    <n v="129.1"/>
    <n v="130.1"/>
    <n v="127.8"/>
    <n v="117.6"/>
    <n v="125"/>
    <n v="133.80000000000001"/>
    <n v="122.6"/>
    <n v="125.1"/>
    <n v="130.9"/>
  </r>
  <r>
    <s v="Rural"/>
    <x v="4"/>
    <x v="3"/>
    <n v="133.19999999999999"/>
    <n v="138.69999999999999"/>
    <n v="127.1"/>
    <n v="137.69999999999999"/>
    <n v="121.3"/>
    <n v="141.80000000000001"/>
    <n v="121.5"/>
    <n v="144.5"/>
    <n v="117.4"/>
    <n v="134.1"/>
    <n v="130"/>
    <n v="145.5"/>
    <n v="133.5"/>
    <n v="144.4"/>
    <n v="142.4"/>
    <n v="136.80000000000001"/>
    <n v="141.6"/>
    <s v="NA"/>
    <n v="135"/>
    <n v="134.30000000000001"/>
    <n v="131"/>
    <n v="119.2"/>
    <n v="128.30000000000001"/>
    <n v="135.69999999999999"/>
    <n v="123.7"/>
    <n v="127.5"/>
    <n v="132.9"/>
  </r>
  <r>
    <s v="Urban"/>
    <x v="4"/>
    <x v="3"/>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29.1"/>
  </r>
  <r>
    <s v="Rural+Urban"/>
    <x v="4"/>
    <x v="3"/>
    <n v="133"/>
    <n v="139.4"/>
    <n v="126.1"/>
    <n v="137.19999999999999"/>
    <n v="118.4"/>
    <n v="139.9"/>
    <n v="123.4"/>
    <n v="140.9"/>
    <n v="118.5"/>
    <n v="136.5"/>
    <n v="127.4"/>
    <n v="144.19999999999999"/>
    <n v="133.5"/>
    <n v="145.4"/>
    <n v="138"/>
    <n v="131.1"/>
    <n v="137"/>
    <n v="131.69999999999999"/>
    <n v="129.80000000000001"/>
    <n v="130.4"/>
    <n v="128.1"/>
    <n v="116.6"/>
    <n v="125.1"/>
    <n v="134.5"/>
    <n v="123.1"/>
    <n v="125.1"/>
    <n v="131.1"/>
  </r>
  <r>
    <s v="Rural"/>
    <x v="4"/>
    <x v="4"/>
    <n v="133.1"/>
    <n v="140.30000000000001"/>
    <n v="126.8"/>
    <n v="138.19999999999999"/>
    <n v="120.8"/>
    <n v="140.19999999999999"/>
    <n v="123.8"/>
    <n v="141.80000000000001"/>
    <n v="118.6"/>
    <n v="134"/>
    <n v="130.30000000000001"/>
    <n v="145.80000000000001"/>
    <n v="133.80000000000001"/>
    <n v="145.5"/>
    <n v="142.5"/>
    <n v="137.30000000000001"/>
    <n v="141.80000000000001"/>
    <s v="NA"/>
    <n v="135"/>
    <n v="134.9"/>
    <n v="131.4"/>
    <n v="119.4"/>
    <n v="129.4"/>
    <n v="136.30000000000001"/>
    <n v="123.7"/>
    <n v="127.9"/>
    <n v="133.30000000000001"/>
  </r>
  <r>
    <s v="Urban"/>
    <x v="4"/>
    <x v="4"/>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29.30000000000001"/>
  </r>
  <r>
    <s v="Rural+Urban"/>
    <x v="4"/>
    <x v="4"/>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r>
  <r>
    <s v="Rural"/>
    <x v="4"/>
    <x v="5"/>
    <n v="133.5"/>
    <n v="143.69999999999999"/>
    <n v="128"/>
    <n v="138.6"/>
    <n v="120.9"/>
    <n v="140.9"/>
    <n v="128.80000000000001"/>
    <n v="140.19999999999999"/>
    <n v="118.9"/>
    <n v="133.5"/>
    <n v="130.4"/>
    <n v="146.5"/>
    <n v="134.9"/>
    <n v="145.80000000000001"/>
    <n v="143.1"/>
    <n v="137.69999999999999"/>
    <n v="142.30000000000001"/>
    <s v="NA"/>
    <n v="134.80000000000001"/>
    <n v="135.19999999999999"/>
    <n v="131.30000000000001"/>
    <n v="119.4"/>
    <n v="129.80000000000001"/>
    <n v="136.9"/>
    <n v="124.1"/>
    <n v="128.1"/>
    <n v="133.9"/>
  </r>
  <r>
    <s v="Urban"/>
    <x v="4"/>
    <x v="5"/>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29.9"/>
  </r>
  <r>
    <s v="Rural+Urban"/>
    <x v="4"/>
    <x v="5"/>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r>
  <r>
    <s v="Rural"/>
    <x v="4"/>
    <x v="6"/>
    <n v="134"/>
    <n v="144.19999999999999"/>
    <n v="129.80000000000001"/>
    <n v="139"/>
    <n v="120.9"/>
    <n v="143.9"/>
    <n v="151.5"/>
    <n v="138.1"/>
    <n v="120"/>
    <n v="133.9"/>
    <n v="131.4"/>
    <n v="147.69999999999999"/>
    <n v="138.5"/>
    <n v="147.4"/>
    <n v="144.30000000000001"/>
    <n v="138.1"/>
    <n v="143.5"/>
    <s v="NA"/>
    <n v="135.30000000000001"/>
    <n v="136.1"/>
    <n v="132.1"/>
    <n v="119.1"/>
    <n v="130.6"/>
    <n v="138.6"/>
    <n v="124.4"/>
    <n v="128.6"/>
    <n v="136.19999999999999"/>
  </r>
  <r>
    <s v="Urban"/>
    <x v="4"/>
    <x v="6"/>
    <n v="132.80000000000001"/>
    <n v="148.4"/>
    <n v="129.4"/>
    <n v="137.69999999999999"/>
    <n v="113.4"/>
    <n v="139.4"/>
    <n v="175.1"/>
    <n v="124.7"/>
    <n v="121.5"/>
    <n v="137.80000000000001"/>
    <n v="124.4"/>
    <n v="143.69999999999999"/>
    <n v="139.80000000000001"/>
    <n v="150.5"/>
    <n v="131.6"/>
    <n v="123.7"/>
    <n v="130.4"/>
    <n v="132.6"/>
    <n v="119.7"/>
    <n v="127.2"/>
    <n v="125"/>
    <n v="113.2"/>
    <n v="123.5"/>
    <n v="135.5"/>
    <n v="122.4"/>
    <n v="123"/>
    <n v="131.80000000000001"/>
  </r>
  <r>
    <s v="Rural+Urban"/>
    <x v="4"/>
    <x v="6"/>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r>
  <r>
    <s v="Rural"/>
    <x v="4"/>
    <x v="7"/>
    <n v="134.80000000000001"/>
    <n v="143.1"/>
    <n v="130"/>
    <n v="139.4"/>
    <n v="120.5"/>
    <n v="148"/>
    <n v="162.9"/>
    <n v="137.4"/>
    <n v="120.8"/>
    <n v="134.69999999999999"/>
    <n v="131.6"/>
    <n v="148.69999999999999"/>
    <n v="140.6"/>
    <n v="149"/>
    <n v="145.30000000000001"/>
    <n v="139.19999999999999"/>
    <n v="144.5"/>
    <s v="NA"/>
    <n v="136.4"/>
    <n v="137.30000000000001"/>
    <n v="133"/>
    <n v="120.3"/>
    <n v="131.5"/>
    <n v="140.19999999999999"/>
    <n v="125.4"/>
    <n v="129.69999999999999"/>
    <n v="137.80000000000001"/>
  </r>
  <r>
    <s v="Urban"/>
    <x v="4"/>
    <x v="7"/>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n v="132.69999999999999"/>
  </r>
  <r>
    <s v="Rural+Urban"/>
    <x v="4"/>
    <x v="7"/>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r>
  <r>
    <s v="Rural"/>
    <x v="4"/>
    <x v="8"/>
    <n v="135.19999999999999"/>
    <n v="142"/>
    <n v="130.5"/>
    <n v="140.19999999999999"/>
    <n v="120.7"/>
    <n v="147.80000000000001"/>
    <n v="154.5"/>
    <n v="137.1"/>
    <n v="121"/>
    <n v="134.69999999999999"/>
    <n v="131.69999999999999"/>
    <n v="149.30000000000001"/>
    <n v="139.6"/>
    <n v="149.80000000000001"/>
    <n v="146.1"/>
    <n v="139.69999999999999"/>
    <n v="145.19999999999999"/>
    <s v="NA"/>
    <n v="137.4"/>
    <n v="137.9"/>
    <n v="133.4"/>
    <n v="121.2"/>
    <n v="132.30000000000001"/>
    <n v="139.6"/>
    <n v="126.7"/>
    <n v="130.30000000000001"/>
    <n v="137.6"/>
  </r>
  <r>
    <s v="Urban"/>
    <x v="4"/>
    <x v="8"/>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2.4"/>
  </r>
  <r>
    <s v="Rural+Urban"/>
    <x v="4"/>
    <x v="8"/>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r>
  <r>
    <s v="Rural"/>
    <x v="4"/>
    <x v="9"/>
    <n v="135.9"/>
    <n v="141.9"/>
    <n v="131"/>
    <n v="141.5"/>
    <n v="121.4"/>
    <n v="146.69999999999999"/>
    <n v="157.1"/>
    <n v="136.4"/>
    <n v="121.4"/>
    <n v="135.6"/>
    <n v="131.30000000000001"/>
    <n v="150.30000000000001"/>
    <n v="140.4"/>
    <n v="150.5"/>
    <n v="147.19999999999999"/>
    <n v="140.6"/>
    <n v="146.19999999999999"/>
    <s v="NA"/>
    <n v="138.1"/>
    <n v="138.4"/>
    <n v="134.19999999999999"/>
    <n v="121"/>
    <n v="133"/>
    <n v="140.1"/>
    <n v="127.4"/>
    <n v="130.69999999999999"/>
    <n v="138.30000000000001"/>
  </r>
  <r>
    <s v="Urban"/>
    <x v="4"/>
    <x v="9"/>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3.5"/>
  </r>
  <r>
    <s v="Rural+Urban"/>
    <x v="4"/>
    <x v="9"/>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r>
  <r>
    <s v="Rural"/>
    <x v="4"/>
    <x v="11"/>
    <n v="136.30000000000001"/>
    <n v="142.5"/>
    <n v="140.5"/>
    <n v="141.5"/>
    <n v="121.6"/>
    <n v="147.30000000000001"/>
    <n v="168"/>
    <n v="135.80000000000001"/>
    <n v="122.5"/>
    <n v="136"/>
    <n v="131.9"/>
    <n v="151.4"/>
    <n v="142.4"/>
    <n v="152.1"/>
    <n v="148.19999999999999"/>
    <n v="141.5"/>
    <n v="147.30000000000001"/>
    <s v="NA"/>
    <n v="141.1"/>
    <n v="139.4"/>
    <n v="135.80000000000001"/>
    <n v="121.6"/>
    <n v="133.69999999999999"/>
    <n v="141.5"/>
    <n v="128.1"/>
    <n v="131.69999999999999"/>
    <n v="140"/>
  </r>
  <r>
    <s v="Urban"/>
    <x v="4"/>
    <x v="11"/>
    <n v="134.30000000000001"/>
    <n v="142.1"/>
    <n v="146.69999999999999"/>
    <n v="139.5"/>
    <n v="115.2"/>
    <n v="136.4"/>
    <n v="185.2"/>
    <n v="122.2"/>
    <n v="123.9"/>
    <n v="138.30000000000001"/>
    <n v="125.4"/>
    <n v="146"/>
    <n v="141.5"/>
    <n v="156.19999999999999"/>
    <n v="135"/>
    <n v="125.4"/>
    <n v="133.5"/>
    <n v="138.6"/>
    <n v="125.7"/>
    <n v="128.80000000000001"/>
    <n v="127.4"/>
    <n v="115.3"/>
    <n v="125.1"/>
    <n v="136.6"/>
    <n v="124.9"/>
    <n v="124.9"/>
    <n v="134.80000000000001"/>
  </r>
  <r>
    <s v="Rural+Urban"/>
    <x v="4"/>
    <x v="11"/>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r>
  <r>
    <s v="Rural"/>
    <x v="4"/>
    <x v="12"/>
    <n v="136.4"/>
    <n v="143.69999999999999"/>
    <n v="144.80000000000001"/>
    <n v="141.9"/>
    <n v="123.1"/>
    <n v="147.19999999999999"/>
    <n v="161"/>
    <n v="133.80000000000001"/>
    <n v="121.9"/>
    <n v="135.80000000000001"/>
    <n v="131.1"/>
    <n v="151.4"/>
    <n v="141.5"/>
    <n v="153.19999999999999"/>
    <n v="148"/>
    <n v="141.9"/>
    <n v="147.19999999999999"/>
    <s v="NA"/>
    <n v="142.6"/>
    <n v="139.5"/>
    <n v="136.1"/>
    <n v="122"/>
    <n v="133.4"/>
    <n v="141.1"/>
    <n v="127.8"/>
    <n v="131.9"/>
    <n v="139.80000000000001"/>
  </r>
  <r>
    <s v="Urban"/>
    <x v="4"/>
    <x v="12"/>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4.1"/>
  </r>
  <r>
    <s v="Rural+Urban"/>
    <x v="4"/>
    <x v="12"/>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r>
  <r>
    <s v="Rural"/>
    <x v="5"/>
    <x v="0"/>
    <n v="136.6"/>
    <n v="144.4"/>
    <n v="143.80000000000001"/>
    <n v="142"/>
    <n v="123.2"/>
    <n v="147.9"/>
    <n v="152.1"/>
    <n v="131.80000000000001"/>
    <n v="119.5"/>
    <n v="136"/>
    <n v="131.19999999999999"/>
    <n v="151.80000000000001"/>
    <n v="140.4"/>
    <n v="153.6"/>
    <n v="148.30000000000001"/>
    <n v="142.30000000000001"/>
    <n v="147.5"/>
    <s v="NA"/>
    <n v="142.30000000000001"/>
    <n v="139.80000000000001"/>
    <n v="136"/>
    <n v="122.7"/>
    <n v="134.30000000000001"/>
    <n v="141.6"/>
    <n v="128.6"/>
    <n v="132.30000000000001"/>
    <n v="139.30000000000001"/>
  </r>
  <r>
    <s v="Urban"/>
    <x v="5"/>
    <x v="0"/>
    <n v="134.6"/>
    <n v="143.69999999999999"/>
    <n v="143.6"/>
    <n v="139.6"/>
    <n v="116.4"/>
    <n v="133.80000000000001"/>
    <n v="150.5"/>
    <n v="118.4"/>
    <n v="117.3"/>
    <n v="140.5"/>
    <n v="125.9"/>
    <n v="146.80000000000001"/>
    <n v="137.19999999999999"/>
    <n v="157.69999999999999"/>
    <n v="136"/>
    <n v="125.9"/>
    <n v="134.4"/>
    <n v="140.4"/>
    <n v="127.3"/>
    <n v="129.5"/>
    <n v="129"/>
    <n v="116.3"/>
    <n v="126.2"/>
    <n v="137.1"/>
    <n v="125.5"/>
    <n v="125.8"/>
    <n v="134.1"/>
  </r>
  <r>
    <s v="Rural+Urban"/>
    <x v="5"/>
    <x v="0"/>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r>
  <r>
    <s v="Rural"/>
    <x v="5"/>
    <x v="1"/>
    <n v="136.4"/>
    <n v="143.69999999999999"/>
    <n v="140.6"/>
    <n v="141.5"/>
    <n v="122.9"/>
    <n v="149.4"/>
    <n v="142.4"/>
    <n v="130.19999999999999"/>
    <n v="117.9"/>
    <n v="135.6"/>
    <n v="130.5"/>
    <n v="151.69999999999999"/>
    <n v="138.69999999999999"/>
    <n v="153.30000000000001"/>
    <n v="148.69999999999999"/>
    <n v="142.4"/>
    <n v="147.80000000000001"/>
    <s v="NA"/>
    <n v="142.4"/>
    <n v="139.9"/>
    <n v="136.19999999999999"/>
    <n v="123.3"/>
    <n v="134.30000000000001"/>
    <n v="141.5"/>
    <n v="128.80000000000001"/>
    <n v="132.5"/>
    <n v="138.5"/>
  </r>
  <r>
    <s v="Urban"/>
    <x v="5"/>
    <x v="1"/>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4"/>
  </r>
  <r>
    <s v="Rural+Urban"/>
    <x v="5"/>
    <x v="1"/>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r>
  <r>
    <s v="Rural"/>
    <x v="5"/>
    <x v="2"/>
    <n v="136.80000000000001"/>
    <n v="143.80000000000001"/>
    <n v="140"/>
    <n v="142"/>
    <n v="123.2"/>
    <n v="152.9"/>
    <n v="138"/>
    <n v="129.30000000000001"/>
    <n v="117.1"/>
    <n v="136.30000000000001"/>
    <n v="131.19999999999999"/>
    <n v="152.80000000000001"/>
    <n v="138.6"/>
    <n v="155.1"/>
    <n v="149.19999999999999"/>
    <n v="143"/>
    <n v="148.30000000000001"/>
    <s v="NA"/>
    <n v="142.6"/>
    <n v="139.9"/>
    <n v="136.69999999999999"/>
    <n v="124.6"/>
    <n v="135.1"/>
    <n v="142.69999999999999"/>
    <n v="129.30000000000001"/>
    <n v="133.30000000000001"/>
    <n v="138.69999999999999"/>
  </r>
  <r>
    <s v="Urban"/>
    <x v="5"/>
    <x v="2"/>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4"/>
  </r>
  <r>
    <s v="Rural+Urban"/>
    <x v="5"/>
    <x v="2"/>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r>
  <r>
    <s v="Rural"/>
    <x v="5"/>
    <x v="3"/>
    <n v="137.1"/>
    <n v="144.5"/>
    <n v="135.9"/>
    <n v="142.4"/>
    <n v="123.5"/>
    <n v="156.4"/>
    <n v="135.1"/>
    <n v="128.4"/>
    <n v="115.2"/>
    <n v="137.19999999999999"/>
    <n v="131.9"/>
    <n v="153.80000000000001"/>
    <n v="138.6"/>
    <n v="156.1"/>
    <n v="150.1"/>
    <n v="143.30000000000001"/>
    <n v="149.1"/>
    <s v="NA"/>
    <n v="143.80000000000001"/>
    <n v="140.9"/>
    <n v="137.6"/>
    <n v="125.3"/>
    <n v="136"/>
    <n v="143.69999999999999"/>
    <n v="130.4"/>
    <n v="134.19999999999999"/>
    <n v="139.1"/>
  </r>
  <r>
    <s v="Urban"/>
    <x v="5"/>
    <x v="3"/>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r>
  <r>
    <s v="Rural+Urban"/>
    <x v="5"/>
    <x v="3"/>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r>
  <r>
    <s v="Rural"/>
    <x v="5"/>
    <x v="4"/>
    <n v="137.4"/>
    <n v="145.69999999999999"/>
    <n v="135.5"/>
    <n v="142.9"/>
    <n v="123.6"/>
    <n v="157.5"/>
    <n v="137.80000000000001"/>
    <n v="127.2"/>
    <n v="111.8"/>
    <n v="137.4"/>
    <n v="132.19999999999999"/>
    <n v="154.30000000000001"/>
    <n v="139.1"/>
    <n v="157"/>
    <n v="150.80000000000001"/>
    <n v="144.1"/>
    <n v="149.80000000000001"/>
    <s v="NA"/>
    <n v="144.30000000000001"/>
    <n v="141.80000000000001"/>
    <n v="138.4"/>
    <n v="126.4"/>
    <n v="136.80000000000001"/>
    <n v="144.4"/>
    <n v="131.19999999999999"/>
    <n v="135.1"/>
    <n v="139.80000000000001"/>
  </r>
  <r>
    <s v="Urban"/>
    <x v="5"/>
    <x v="4"/>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r>
  <r>
    <s v="Rural+Urban"/>
    <x v="5"/>
    <x v="4"/>
    <n v="136.6"/>
    <n v="146.6"/>
    <n v="133.6"/>
    <n v="142.1"/>
    <n v="121"/>
    <n v="154.6"/>
    <n v="135.6"/>
    <n v="122.3"/>
    <n v="109.6"/>
    <n v="138.1"/>
    <n v="129.9"/>
    <n v="151.69999999999999"/>
    <n v="138.1"/>
    <n v="157.9"/>
    <n v="146"/>
    <n v="137.4"/>
    <n v="144.69999999999999"/>
    <n v="143.19999999999999"/>
    <n v="136.9"/>
    <n v="137.4"/>
    <n v="136"/>
    <n v="122.9"/>
    <n v="131.80000000000001"/>
    <n v="142.1"/>
    <n v="129.9"/>
    <n v="132.1"/>
    <n v="137.80000000000001"/>
  </r>
  <r>
    <s v="Rural"/>
    <x v="5"/>
    <x v="5"/>
    <n v="137.6"/>
    <n v="148.1"/>
    <n v="136.69999999999999"/>
    <n v="143.19999999999999"/>
    <n v="124"/>
    <n v="154.1"/>
    <n v="143.5"/>
    <n v="126"/>
    <n v="112.4"/>
    <n v="137.6"/>
    <n v="132.80000000000001"/>
    <n v="154.30000000000001"/>
    <n v="140"/>
    <n v="157.30000000000001"/>
    <n v="151.30000000000001"/>
    <n v="144.69999999999999"/>
    <n v="150.30000000000001"/>
    <s v="NA"/>
    <n v="145.1"/>
    <n v="142.19999999999999"/>
    <n v="138.4"/>
    <n v="127.4"/>
    <n v="137.80000000000001"/>
    <n v="145.1"/>
    <n v="131.4"/>
    <n v="135.6"/>
    <n v="140.5"/>
  </r>
  <r>
    <s v="Urban"/>
    <x v="5"/>
    <x v="5"/>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r>
  <r>
    <s v="Rural+Urban"/>
    <x v="5"/>
    <x v="5"/>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r>
  <r>
    <s v="Rural"/>
    <x v="5"/>
    <x v="6"/>
    <n v="138.4"/>
    <n v="149.30000000000001"/>
    <n v="139.30000000000001"/>
    <n v="143.4"/>
    <n v="124.1"/>
    <n v="153.30000000000001"/>
    <n v="154.19999999999999"/>
    <n v="126.4"/>
    <n v="114.3"/>
    <n v="138.19999999999999"/>
    <n v="132.80000000000001"/>
    <n v="154.80000000000001"/>
    <n v="142"/>
    <n v="156.1"/>
    <n v="151.5"/>
    <n v="145.1"/>
    <n v="150.6"/>
    <s v="NA"/>
    <n v="146.80000000000001"/>
    <n v="143.1"/>
    <n v="139"/>
    <n v="127.5"/>
    <n v="138.4"/>
    <n v="145.80000000000001"/>
    <n v="131.4"/>
    <n v="136"/>
    <n v="141.80000000000001"/>
  </r>
  <r>
    <s v="Urban"/>
    <x v="5"/>
    <x v="6"/>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r>
  <r>
    <s v="Rural+Urban"/>
    <x v="5"/>
    <x v="6"/>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r>
  <r>
    <s v="Rural"/>
    <x v="5"/>
    <x v="7"/>
    <n v="139.19999999999999"/>
    <n v="148.80000000000001"/>
    <n v="139.1"/>
    <n v="143.5"/>
    <n v="125"/>
    <n v="154.4"/>
    <n v="156.30000000000001"/>
    <n v="126.8"/>
    <n v="115.4"/>
    <n v="138.6"/>
    <n v="133.80000000000001"/>
    <n v="155.19999999999999"/>
    <n v="142.69999999999999"/>
    <n v="156.4"/>
    <n v="152.1"/>
    <n v="145.80000000000001"/>
    <n v="151.30000000000001"/>
    <s v="NA"/>
    <n v="147.69999999999999"/>
    <n v="143.80000000000001"/>
    <n v="139.4"/>
    <n v="128.30000000000001"/>
    <n v="138.6"/>
    <n v="146.9"/>
    <n v="131.30000000000001"/>
    <n v="136.6"/>
    <n v="142.5"/>
  </r>
  <r>
    <s v="Urban"/>
    <x v="5"/>
    <x v="7"/>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r>
  <r>
    <s v="Rural+Urban"/>
    <x v="5"/>
    <x v="7"/>
    <n v="138.30000000000001"/>
    <n v="148"/>
    <n v="138.1"/>
    <n v="142.6"/>
    <n v="122.2"/>
    <n v="150.6"/>
    <n v="156.6"/>
    <n v="122.4"/>
    <n v="114.7"/>
    <n v="139.4"/>
    <n v="131.1"/>
    <n v="153"/>
    <n v="141.69999999999999"/>
    <n v="157.9"/>
    <n v="147.30000000000001"/>
    <n v="138.80000000000001"/>
    <n v="146.1"/>
    <n v="144.6"/>
    <n v="140.9"/>
    <n v="139.4"/>
    <n v="137.69999999999999"/>
    <n v="124.3"/>
    <n v="133.6"/>
    <n v="146"/>
    <n v="130.1"/>
    <n v="133.9"/>
    <n v="140.4"/>
  </r>
  <r>
    <s v="Rural"/>
    <x v="5"/>
    <x v="8"/>
    <n v="139.4"/>
    <n v="147.19999999999999"/>
    <n v="136.6"/>
    <n v="143.69999999999999"/>
    <n v="124.6"/>
    <n v="150.1"/>
    <n v="149.4"/>
    <n v="125.4"/>
    <n v="114.4"/>
    <n v="138.69999999999999"/>
    <n v="133.1"/>
    <n v="155.9"/>
    <n v="141.30000000000001"/>
    <n v="157.69999999999999"/>
    <n v="152.1"/>
    <n v="146.1"/>
    <n v="151.30000000000001"/>
    <s v="NA"/>
    <n v="149"/>
    <n v="144"/>
    <n v="140"/>
    <n v="129.9"/>
    <n v="140"/>
    <n v="147.6"/>
    <n v="132"/>
    <n v="137.4"/>
    <n v="142.1"/>
  </r>
  <r>
    <s v="Urban"/>
    <x v="5"/>
    <x v="8"/>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r>
  <r>
    <s v="Rural+Urban"/>
    <x v="5"/>
    <x v="8"/>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r>
  <r>
    <s v="Rural"/>
    <x v="5"/>
    <x v="9"/>
    <n v="139.30000000000001"/>
    <n v="147.6"/>
    <n v="134.6"/>
    <n v="141.9"/>
    <n v="123.5"/>
    <n v="144.5"/>
    <n v="147.6"/>
    <n v="121.4"/>
    <n v="112.3"/>
    <n v="139.5"/>
    <n v="134.6"/>
    <n v="155.19999999999999"/>
    <n v="140.19999999999999"/>
    <n v="159.6"/>
    <n v="150.69999999999999"/>
    <n v="144.5"/>
    <n v="149.80000000000001"/>
    <s v="NA"/>
    <n v="149.69999999999999"/>
    <n v="147.5"/>
    <n v="144.80000000000001"/>
    <n v="130.80000000000001"/>
    <n v="140.1"/>
    <n v="148"/>
    <n v="134.4"/>
    <n v="139.80000000000001"/>
    <n v="142.19999999999999"/>
  </r>
  <r>
    <s v="Urban"/>
    <x v="5"/>
    <x v="9"/>
    <n v="137.6"/>
    <n v="144.9"/>
    <n v="133.5"/>
    <n v="141.5"/>
    <n v="118"/>
    <n v="139.5"/>
    <n v="153"/>
    <n v="113.2"/>
    <n v="112.8"/>
    <n v="141.1"/>
    <n v="127.6"/>
    <n v="152"/>
    <n v="139.4"/>
    <n v="164"/>
    <n v="141.5"/>
    <n v="129.80000000000001"/>
    <n v="139.69999999999999"/>
    <n v="146.30000000000001"/>
    <n v="133.4"/>
    <n v="135.1"/>
    <n v="136.19999999999999"/>
    <n v="123.3"/>
    <n v="130.69999999999999"/>
    <n v="145.5"/>
    <n v="130.4"/>
    <n v="132.5"/>
    <n v="138.9"/>
  </r>
  <r>
    <s v="Rural+Urban"/>
    <x v="5"/>
    <x v="9"/>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r>
  <r>
    <s v="Rural"/>
    <x v="5"/>
    <x v="11"/>
    <n v="137.1"/>
    <n v="150.80000000000001"/>
    <n v="136.69999999999999"/>
    <n v="141.9"/>
    <n v="122.8"/>
    <n v="143.9"/>
    <n v="147.5"/>
    <n v="121"/>
    <n v="111.6"/>
    <n v="140.6"/>
    <n v="137.5"/>
    <n v="156.1"/>
    <n v="140"/>
    <n v="161.9"/>
    <n v="151.69999999999999"/>
    <n v="145.5"/>
    <n v="150.80000000000001"/>
    <s v="NA"/>
    <n v="150.30000000000001"/>
    <n v="148"/>
    <n v="145.4"/>
    <n v="130.30000000000001"/>
    <n v="143.1"/>
    <n v="150.19999999999999"/>
    <n v="133.1"/>
    <n v="140.1"/>
    <n v="142.4"/>
  </r>
  <r>
    <s v="Urban"/>
    <x v="5"/>
    <x v="11"/>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r>
  <r>
    <s v="Rural+Urban"/>
    <x v="5"/>
    <x v="11"/>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r>
  <r>
    <s v="Rural"/>
    <x v="5"/>
    <x v="12"/>
    <n v="137.1"/>
    <n v="151.9"/>
    <n v="137.4"/>
    <n v="142.4"/>
    <n v="124.2"/>
    <n v="140.19999999999999"/>
    <n v="136.6"/>
    <n v="120.9"/>
    <n v="109.9"/>
    <n v="140.19999999999999"/>
    <n v="137.80000000000001"/>
    <n v="156"/>
    <n v="138.5"/>
    <n v="162.4"/>
    <n v="151.6"/>
    <n v="145.9"/>
    <n v="150.80000000000001"/>
    <s v="NA"/>
    <n v="149"/>
    <n v="149.5"/>
    <n v="149.6"/>
    <n v="128.9"/>
    <n v="143.30000000000001"/>
    <n v="155.1"/>
    <n v="133.19999999999999"/>
    <n v="141.6"/>
    <n v="141.9"/>
  </r>
  <r>
    <s v="Urban"/>
    <x v="5"/>
    <x v="12"/>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r>
  <r>
    <s v="Rural+Urban"/>
    <x v="5"/>
    <x v="12"/>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r>
  <r>
    <s v="Rural"/>
    <x v="6"/>
    <x v="0"/>
    <n v="136.6"/>
    <n v="152.5"/>
    <n v="138.19999999999999"/>
    <n v="142.4"/>
    <n v="123.9"/>
    <n v="135.5"/>
    <n v="131.69999999999999"/>
    <n v="121.3"/>
    <n v="108.4"/>
    <n v="138.9"/>
    <n v="137"/>
    <n v="155.80000000000001"/>
    <n v="137.4"/>
    <n v="162.69999999999999"/>
    <n v="150.6"/>
    <n v="145.1"/>
    <n v="149.9"/>
    <s v="NA"/>
    <n v="146.19999999999999"/>
    <n v="150.1"/>
    <n v="149.6"/>
    <n v="128.6"/>
    <n v="142.9"/>
    <n v="155.19999999999999"/>
    <n v="133.5"/>
    <n v="141.69999999999999"/>
    <n v="141"/>
  </r>
  <r>
    <s v="Urban"/>
    <x v="6"/>
    <x v="0"/>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r>
  <r>
    <s v="Rural+Urban"/>
    <x v="6"/>
    <x v="0"/>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r>
  <r>
    <s v="Rural"/>
    <x v="6"/>
    <x v="1"/>
    <n v="136.80000000000001"/>
    <n v="153"/>
    <n v="139.1"/>
    <n v="142.5"/>
    <n v="124.1"/>
    <n v="135.80000000000001"/>
    <n v="128.69999999999999"/>
    <n v="121.5"/>
    <n v="108.3"/>
    <n v="139.19999999999999"/>
    <n v="137.4"/>
    <n v="156.19999999999999"/>
    <n v="137.19999999999999"/>
    <n v="162.80000000000001"/>
    <n v="150.5"/>
    <n v="146.1"/>
    <n v="149.9"/>
    <s v="NA"/>
    <n v="145.30000000000001"/>
    <n v="150.1"/>
    <n v="149.9"/>
    <n v="129.19999999999999"/>
    <n v="143.4"/>
    <n v="155.5"/>
    <n v="134.9"/>
    <n v="142.19999999999999"/>
    <n v="141"/>
  </r>
  <r>
    <s v="Urban"/>
    <x v="6"/>
    <x v="1"/>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r>
  <r>
    <s v="Rural+Urban"/>
    <x v="6"/>
    <x v="1"/>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r>
  <r>
    <s v="Rural"/>
    <x v="6"/>
    <x v="2"/>
    <n v="136.9"/>
    <n v="154.1"/>
    <n v="138.69999999999999"/>
    <n v="142.5"/>
    <n v="124.1"/>
    <n v="136.1"/>
    <n v="128.19999999999999"/>
    <n v="122.3"/>
    <n v="108.3"/>
    <n v="138.9"/>
    <n v="137.4"/>
    <n v="156.4"/>
    <n v="137.30000000000001"/>
    <n v="162.9"/>
    <n v="150.80000000000001"/>
    <n v="146.1"/>
    <n v="150.1"/>
    <s v="NA"/>
    <n v="146.4"/>
    <n v="150"/>
    <n v="150.4"/>
    <n v="129.9"/>
    <n v="143.80000000000001"/>
    <n v="155.5"/>
    <n v="134"/>
    <n v="142.4"/>
    <n v="141.19999999999999"/>
  </r>
  <r>
    <s v="Urban"/>
    <x v="6"/>
    <x v="2"/>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r>
  <r>
    <s v="Rural+Urban"/>
    <x v="6"/>
    <x v="2"/>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r>
  <r>
    <s v="Rural"/>
    <x v="6"/>
    <x v="4"/>
    <n v="137.4"/>
    <n v="159.5"/>
    <n v="134.5"/>
    <n v="142.6"/>
    <n v="124"/>
    <n v="143.69999999999999"/>
    <n v="133.4"/>
    <n v="125.1"/>
    <n v="109.3"/>
    <n v="139.30000000000001"/>
    <n v="137.69999999999999"/>
    <n v="156.4"/>
    <n v="139.19999999999999"/>
    <n v="163.30000000000001"/>
    <n v="151.30000000000001"/>
    <n v="146.6"/>
    <n v="150.69999999999999"/>
    <s v="NA"/>
    <n v="146.9"/>
    <n v="149.5"/>
    <n v="151.30000000000001"/>
    <n v="130.19999999999999"/>
    <n v="145.9"/>
    <n v="156.69999999999999"/>
    <n v="133.9"/>
    <n v="142.9"/>
    <n v="142.4"/>
  </r>
  <r>
    <s v="Urban"/>
    <x v="6"/>
    <x v="4"/>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r>
  <r>
    <s v="Rural+Urban"/>
    <x v="6"/>
    <x v="4"/>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r>
  <r>
    <s v="Rural"/>
    <x v="6"/>
    <x v="5"/>
    <n v="137.80000000000001"/>
    <n v="163.5"/>
    <n v="136.19999999999999"/>
    <n v="143.19999999999999"/>
    <n v="124.3"/>
    <n v="143.30000000000001"/>
    <n v="140.6"/>
    <n v="128.69999999999999"/>
    <n v="110.6"/>
    <n v="140.4"/>
    <n v="138"/>
    <n v="156.6"/>
    <n v="141"/>
    <n v="164.2"/>
    <n v="151.4"/>
    <n v="146.5"/>
    <n v="150.69999999999999"/>
    <s v="NA"/>
    <n v="147.80000000000001"/>
    <n v="149.6"/>
    <n v="151.69999999999999"/>
    <n v="130.19999999999999"/>
    <n v="146.4"/>
    <n v="157.69999999999999"/>
    <n v="134.80000000000001"/>
    <n v="143.30000000000001"/>
    <n v="143.6"/>
  </r>
  <r>
    <s v="Urban"/>
    <x v="6"/>
    <x v="5"/>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2.1"/>
  </r>
  <r>
    <s v="Rural+Urban"/>
    <x v="6"/>
    <x v="5"/>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r>
  <r>
    <s v="Rural"/>
    <x v="6"/>
    <x v="6"/>
    <n v="138.4"/>
    <n v="164"/>
    <n v="138.4"/>
    <n v="143.9"/>
    <n v="124.4"/>
    <n v="146.4"/>
    <n v="150.1"/>
    <n v="130.6"/>
    <n v="110.8"/>
    <n v="141.69999999999999"/>
    <n v="138.5"/>
    <n v="156.69999999999999"/>
    <n v="143"/>
    <n v="164.5"/>
    <n v="151.6"/>
    <n v="146.6"/>
    <n v="150.9"/>
    <s v="NA"/>
    <n v="146.80000000000001"/>
    <n v="150"/>
    <n v="152.19999999999999"/>
    <n v="131.19999999999999"/>
    <n v="147.5"/>
    <n v="159.1"/>
    <n v="136.1"/>
    <n v="144.19999999999999"/>
    <n v="144.9"/>
  </r>
  <r>
    <s v="Urban"/>
    <x v="6"/>
    <x v="6"/>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r>
  <r>
    <s v="Rural+Urban"/>
    <x v="6"/>
    <x v="6"/>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r>
  <r>
    <s v="Rural"/>
    <x v="6"/>
    <x v="7"/>
    <n v="139.19999999999999"/>
    <n v="161.9"/>
    <n v="137.1"/>
    <n v="144.6"/>
    <n v="124.7"/>
    <n v="145.5"/>
    <n v="156.19999999999999"/>
    <n v="131.5"/>
    <n v="111.7"/>
    <n v="142.69999999999999"/>
    <n v="138.5"/>
    <n v="156.9"/>
    <n v="144"/>
    <n v="165.1"/>
    <n v="151.80000000000001"/>
    <n v="146.6"/>
    <n v="151.1"/>
    <s v="NA"/>
    <n v="146.4"/>
    <n v="150.19999999999999"/>
    <n v="152.69999999999999"/>
    <n v="131.4"/>
    <n v="148"/>
    <n v="159.69999999999999"/>
    <n v="138.80000000000001"/>
    <n v="144.9"/>
    <n v="145.69999999999999"/>
  </r>
  <r>
    <s v="Urban"/>
    <x v="6"/>
    <x v="7"/>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r>
  <r>
    <s v="Rural+Urban"/>
    <x v="6"/>
    <x v="7"/>
    <n v="140.1"/>
    <n v="160.6"/>
    <n v="138.5"/>
    <n v="144.69999999999999"/>
    <n v="122.9"/>
    <n v="149.4"/>
    <n v="167.4"/>
    <n v="130.9"/>
    <n v="112"/>
    <n v="142.6"/>
    <n v="134.9"/>
    <n v="156.6"/>
    <n v="145.9"/>
    <n v="165.8"/>
    <n v="149.1"/>
    <n v="140.6"/>
    <n v="147.9"/>
    <n v="151.6"/>
    <n v="138.5"/>
    <n v="144.5"/>
    <n v="148.5"/>
    <n v="125.8"/>
    <n v="140.9"/>
    <n v="154.9"/>
    <n v="138.4"/>
    <n v="140.19999999999999"/>
    <n v="145"/>
  </r>
  <r>
    <s v="Rural"/>
    <x v="6"/>
    <x v="8"/>
    <n v="140.1"/>
    <n v="161.9"/>
    <n v="138.30000000000001"/>
    <n v="145.69999999999999"/>
    <n v="125.1"/>
    <n v="143.80000000000001"/>
    <n v="163.4"/>
    <n v="132.19999999999999"/>
    <n v="112.8"/>
    <n v="144.19999999999999"/>
    <n v="138.5"/>
    <n v="157.19999999999999"/>
    <n v="145.5"/>
    <n v="165.7"/>
    <n v="151.69999999999999"/>
    <n v="146.6"/>
    <n v="151"/>
    <s v="NA"/>
    <n v="146.9"/>
    <n v="150.30000000000001"/>
    <n v="153.4"/>
    <n v="131.6"/>
    <n v="148.30000000000001"/>
    <n v="160.19999999999999"/>
    <n v="140.19999999999999"/>
    <n v="145.4"/>
    <n v="146.69999999999999"/>
  </r>
  <r>
    <s v="Urban"/>
    <x v="6"/>
    <x v="8"/>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r>
  <r>
    <s v="Rural+Urban"/>
    <x v="6"/>
    <x v="8"/>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r>
  <r>
    <s v="Rural"/>
    <x v="6"/>
    <x v="9"/>
    <n v="141"/>
    <n v="161.6"/>
    <n v="141.19999999999999"/>
    <n v="146.5"/>
    <n v="125.6"/>
    <n v="145.69999999999999"/>
    <n v="178.8"/>
    <n v="133.1"/>
    <n v="113.6"/>
    <n v="145.5"/>
    <n v="138.6"/>
    <n v="157.4"/>
    <n v="148.30000000000001"/>
    <n v="166.3"/>
    <n v="151.69999999999999"/>
    <n v="146.69999999999999"/>
    <n v="151"/>
    <s v="NA"/>
    <n v="147.69999999999999"/>
    <n v="150.6"/>
    <n v="153.69999999999999"/>
    <n v="131.69999999999999"/>
    <n v="148.69999999999999"/>
    <n v="160.69999999999999"/>
    <n v="140.30000000000001"/>
    <n v="145.69999999999999"/>
    <n v="148.30000000000001"/>
  </r>
  <r>
    <s v="Urban"/>
    <x v="6"/>
    <x v="9"/>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r>
  <r>
    <s v="Rural+Urban"/>
    <x v="6"/>
    <x v="9"/>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r>
  <r>
    <s v="Rural"/>
    <x v="6"/>
    <x v="11"/>
    <n v="141.80000000000001"/>
    <n v="163.69999999999999"/>
    <n v="143.80000000000001"/>
    <n v="147.1"/>
    <n v="126"/>
    <n v="146.19999999999999"/>
    <n v="191.4"/>
    <n v="136.19999999999999"/>
    <n v="113.8"/>
    <n v="147.30000000000001"/>
    <n v="138.69999999999999"/>
    <n v="157.69999999999999"/>
    <n v="150.9"/>
    <n v="167.2"/>
    <n v="152.30000000000001"/>
    <n v="147"/>
    <n v="151.5"/>
    <s v="NA"/>
    <n v="148.4"/>
    <n v="150.9"/>
    <n v="154.30000000000001"/>
    <n v="132.1"/>
    <n v="149.1"/>
    <n v="160.80000000000001"/>
    <n v="140.6"/>
    <n v="146.1"/>
    <n v="149.9"/>
  </r>
  <r>
    <s v="Urban"/>
    <x v="6"/>
    <x v="11"/>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r>
  <r>
    <s v="Rural+Urban"/>
    <x v="6"/>
    <x v="11"/>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r>
  <r>
    <s v="Rural"/>
    <x v="6"/>
    <x v="12"/>
    <n v="142.80000000000001"/>
    <n v="165.3"/>
    <n v="149.5"/>
    <n v="148.69999999999999"/>
    <n v="127.5"/>
    <n v="144.30000000000001"/>
    <n v="209.5"/>
    <n v="138.80000000000001"/>
    <n v="113.6"/>
    <n v="149.1"/>
    <n v="139.30000000000001"/>
    <n v="158.30000000000001"/>
    <n v="154.30000000000001"/>
    <n v="167.8"/>
    <n v="152.6"/>
    <n v="147.30000000000001"/>
    <n v="151.9"/>
    <s v="NA"/>
    <n v="149.9"/>
    <n v="151.19999999999999"/>
    <n v="154.80000000000001"/>
    <n v="135"/>
    <n v="149.5"/>
    <n v="161.1"/>
    <n v="140.6"/>
    <n v="147.1"/>
    <n v="152.30000000000001"/>
  </r>
  <r>
    <s v="Urban"/>
    <x v="6"/>
    <x v="12"/>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r>
  <r>
    <s v="Rural+Urban"/>
    <x v="6"/>
    <x v="12"/>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r>
  <r>
    <s v="Rural"/>
    <x v="7"/>
    <x v="0"/>
    <n v="143.69999999999999"/>
    <n v="167.3"/>
    <n v="153.5"/>
    <n v="150.5"/>
    <n v="132"/>
    <n v="142.19999999999999"/>
    <n v="191.5"/>
    <n v="141.1"/>
    <n v="113.8"/>
    <n v="151.6"/>
    <n v="139.69999999999999"/>
    <n v="158.69999999999999"/>
    <n v="153"/>
    <n v="168.6"/>
    <n v="152.80000000000001"/>
    <n v="147.4"/>
    <n v="152.1"/>
    <s v="NA"/>
    <n v="150.4"/>
    <n v="151.69999999999999"/>
    <n v="155.69999999999999"/>
    <n v="136.30000000000001"/>
    <n v="150.1"/>
    <n v="161.69999999999999"/>
    <n v="142.5"/>
    <n v="148.1"/>
    <n v="151.9"/>
  </r>
  <r>
    <s v="Urban"/>
    <x v="7"/>
    <x v="0"/>
    <n v="145.6"/>
    <n v="167.6"/>
    <n v="157"/>
    <n v="149.30000000000001"/>
    <n v="126.3"/>
    <n v="144.4"/>
    <n v="207.8"/>
    <n v="139.1"/>
    <n v="114.8"/>
    <n v="149.5"/>
    <n v="131.1"/>
    <n v="158.5"/>
    <n v="154.4"/>
    <n v="170.8"/>
    <n v="147"/>
    <n v="133.19999999999999"/>
    <n v="144.9"/>
    <n v="153.9"/>
    <n v="135.1"/>
    <n v="140.1"/>
    <n v="143.80000000000001"/>
    <n v="126.1"/>
    <n v="137.19999999999999"/>
    <n v="152.1"/>
    <n v="142.1"/>
    <n v="138.4"/>
    <n v="148.19999999999999"/>
  </r>
  <r>
    <s v="Rural+Urban"/>
    <x v="7"/>
    <x v="0"/>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r>
  <r>
    <s v="Rural"/>
    <x v="7"/>
    <x v="1"/>
    <n v="144.19999999999999"/>
    <n v="167.5"/>
    <n v="150.9"/>
    <n v="150.9"/>
    <n v="133.69999999999999"/>
    <n v="140.69999999999999"/>
    <n v="165.1"/>
    <n v="141.80000000000001"/>
    <n v="113.1"/>
    <n v="152.80000000000001"/>
    <n v="140.1"/>
    <n v="159.19999999999999"/>
    <n v="149.80000000000001"/>
    <n v="169.4"/>
    <n v="153"/>
    <n v="147.5"/>
    <n v="152.30000000000001"/>
    <s v="NA"/>
    <n v="152.30000000000001"/>
    <n v="151.80000000000001"/>
    <n v="156.19999999999999"/>
    <n v="136"/>
    <n v="150.4"/>
    <n v="161.9"/>
    <n v="143.4"/>
    <n v="148.4"/>
    <n v="150.4"/>
  </r>
  <r>
    <s v="Urban"/>
    <x v="7"/>
    <x v="1"/>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r>
  <r>
    <s v="Rural+Urban"/>
    <x v="7"/>
    <x v="1"/>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r>
  <r>
    <s v="Rural"/>
    <x v="7"/>
    <x v="2"/>
    <n v="144.4"/>
    <n v="166.8"/>
    <n v="147.6"/>
    <n v="151.69999999999999"/>
    <n v="133.30000000000001"/>
    <n v="141.80000000000001"/>
    <n v="152.30000000000001"/>
    <n v="141.80000000000001"/>
    <n v="112.6"/>
    <n v="154"/>
    <n v="140.1"/>
    <n v="160"/>
    <n v="148.19999999999999"/>
    <n v="170.5"/>
    <n v="153.4"/>
    <n v="147.6"/>
    <n v="152.5"/>
    <s v="NA"/>
    <n v="153.4"/>
    <n v="151.5"/>
    <n v="156.69999999999999"/>
    <n v="135.80000000000001"/>
    <n v="151.19999999999999"/>
    <n v="161.19999999999999"/>
    <n v="145.1"/>
    <n v="148.6"/>
    <n v="149.80000000000001"/>
  </r>
  <r>
    <s v="Urban"/>
    <x v="7"/>
    <x v="2"/>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r>
  <r>
    <s v="Rural+Urban"/>
    <x v="7"/>
    <x v="2"/>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r>
  <r>
    <s v="Rural"/>
    <x v="7"/>
    <x v="3"/>
    <n v="147.19999999999999"/>
    <n v="167.15"/>
    <n v="146.9"/>
    <n v="155.6"/>
    <n v="137.1"/>
    <n v="147.30000000000001"/>
    <n v="162.69999999999999"/>
    <n v="150.19999999999999"/>
    <n v="119.8"/>
    <n v="158.69999999999999"/>
    <n v="139.19999999999999"/>
    <n v="159.6"/>
    <n v="150.1"/>
    <n v="169.95"/>
    <n v="153.19999999999999"/>
    <n v="147.55000000000001"/>
    <n v="152"/>
    <s v="NA"/>
    <n v="148.4"/>
    <n v="151.6"/>
    <n v="154.30000000000001"/>
    <n v="135.9"/>
    <n v="150.80000000000001"/>
    <n v="161.55000000000001"/>
    <n v="144.25"/>
    <n v="148.5"/>
    <n v="150.10000000000002"/>
  </r>
  <r>
    <s v="Urban"/>
    <x v="7"/>
    <x v="3"/>
    <n v="151.80000000000001"/>
    <n v="167.55"/>
    <n v="151.9"/>
    <n v="155.5"/>
    <n v="131.6"/>
    <n v="152.9"/>
    <n v="180"/>
    <n v="150.80000000000001"/>
    <n v="121.2"/>
    <n v="154"/>
    <n v="133.5"/>
    <n v="159.05000000000001"/>
    <n v="153.5"/>
    <n v="172.65"/>
    <n v="147.5"/>
    <n v="133.65"/>
    <n v="145.4"/>
    <n v="155.6"/>
    <n v="137.1"/>
    <n v="140.6"/>
    <n v="144.80000000000001"/>
    <n v="124.9"/>
    <n v="137.80000000000001"/>
    <n v="152.35"/>
    <n v="144.4"/>
    <n v="138.55000000000001"/>
    <n v="147.5"/>
  </r>
  <r>
    <s v="Rural+Urban"/>
    <x v="7"/>
    <x v="3"/>
    <n v="148.69999999999999"/>
    <n v="167.3"/>
    <n v="148.80000000000001"/>
    <n v="155.6"/>
    <n v="135.1"/>
    <n v="149.9"/>
    <n v="168.6"/>
    <n v="150.4"/>
    <n v="120.3"/>
    <n v="157.1"/>
    <n v="136.80000000000001"/>
    <n v="159.35"/>
    <n v="151.4"/>
    <n v="170.65"/>
    <n v="151"/>
    <n v="141.80000000000001"/>
    <n v="149.65"/>
    <n v="155.6"/>
    <n v="144.1"/>
    <n v="146.4"/>
    <n v="150.69999999999999"/>
    <n v="130.1"/>
    <n v="143.44999999999999"/>
    <n v="156.15"/>
    <n v="144.30000000000001"/>
    <n v="143.69999999999999"/>
    <n v="148.85"/>
  </r>
  <r>
    <s v="Rural"/>
    <x v="7"/>
    <x v="4"/>
    <n v="145.80000000000001"/>
    <n v="166.8"/>
    <n v="147.25"/>
    <n v="153.64999999999998"/>
    <n v="135.19999999999999"/>
    <n v="144.55000000000001"/>
    <n v="157.5"/>
    <n v="146"/>
    <n v="116.19999999999999"/>
    <n v="156.35"/>
    <n v="139.64999999999998"/>
    <n v="160"/>
    <n v="149.14999999999998"/>
    <n v="170.5"/>
    <n v="153.4"/>
    <n v="147.6"/>
    <n v="152.5"/>
    <s v="NA"/>
    <n v="150.9"/>
    <n v="151.5"/>
    <n v="155.5"/>
    <n v="135.80000000000001"/>
    <n v="151.19999999999999"/>
    <n v="161.19999999999999"/>
    <n v="145.1"/>
    <n v="148.6"/>
    <n v="149.80000000000001"/>
  </r>
  <r>
    <s v="Urban"/>
    <x v="7"/>
    <x v="4"/>
    <n v="149.15"/>
    <n v="167.5"/>
    <n v="150.4"/>
    <n v="153.30000000000001"/>
    <n v="129.55000000000001"/>
    <n v="148.10000000000002"/>
    <n v="173.5"/>
    <n v="145.25"/>
    <n v="117.80000000000001"/>
    <n v="152.75"/>
    <n v="132.69999999999999"/>
    <n v="159.1"/>
    <n v="151.80000000000001"/>
    <n v="173.3"/>
    <n v="147.69999999999999"/>
    <n v="133.80000000000001"/>
    <n v="145.6"/>
    <n v="155.05000000000001"/>
    <n v="139.25"/>
    <n v="140.80000000000001"/>
    <n v="144.9"/>
    <n v="124.6"/>
    <n v="137.9"/>
    <n v="152.5"/>
    <n v="145.30000000000001"/>
    <n v="138.69999999999999"/>
    <n v="147.30000000000001"/>
  </r>
  <r>
    <s v="Rural+Urban"/>
    <x v="7"/>
    <x v="4"/>
    <n v="146.89999999999998"/>
    <n v="167"/>
    <n v="148.44999999999999"/>
    <n v="153.55000000000001"/>
    <n v="133.14999999999998"/>
    <n v="146.19999999999999"/>
    <n v="162.94999999999999"/>
    <n v="145.75"/>
    <n v="116.75"/>
    <n v="155.14999999999998"/>
    <n v="136.75"/>
    <n v="159.6"/>
    <n v="150.15"/>
    <n v="171.2"/>
    <n v="151.19999999999999"/>
    <n v="141.9"/>
    <n v="149.80000000000001"/>
    <n v="155.05000000000001"/>
    <n v="146.5"/>
    <n v="146.4"/>
    <n v="151.5"/>
    <n v="129.9"/>
    <n v="143.69999999999999"/>
    <n v="156.1"/>
    <n v="145.19999999999999"/>
    <n v="143.80000000000001"/>
    <n v="148.6"/>
  </r>
  <r>
    <s v="Rural"/>
    <x v="7"/>
    <x v="5"/>
    <n v="148.19999999999999"/>
    <n v="190.3"/>
    <n v="149.4"/>
    <n v="153.30000000000001"/>
    <n v="138.19999999999999"/>
    <n v="143.19999999999999"/>
    <n v="148.9"/>
    <n v="150.30000000000001"/>
    <n v="113.2"/>
    <n v="159.80000000000001"/>
    <n v="142.1"/>
    <n v="161.80000000000001"/>
    <n v="152.30000000000001"/>
    <n v="182.4"/>
    <n v="154.69999999999999"/>
    <n v="150"/>
    <n v="154.1"/>
    <s v="NA"/>
    <n v="144.9"/>
    <n v="151.69999999999999"/>
    <n v="158.19999999999999"/>
    <n v="141.4"/>
    <n v="153.19999999999999"/>
    <n v="161.80000000000001"/>
    <n v="151.19999999999999"/>
    <n v="151.69999999999999"/>
    <n v="152.69999999999999"/>
  </r>
  <r>
    <s v="Urban"/>
    <x v="7"/>
    <x v="5"/>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s v="Rural+Urban"/>
    <x v="7"/>
    <x v="5"/>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s v="Rural"/>
    <x v="7"/>
    <x v="6"/>
    <n v="148.19999999999999"/>
    <n v="190.3"/>
    <n v="149.4"/>
    <n v="153.30000000000001"/>
    <n v="138.19999999999999"/>
    <n v="143.19999999999999"/>
    <n v="148.9"/>
    <n v="150.30000000000001"/>
    <n v="113.2"/>
    <n v="159.80000000000001"/>
    <n v="142.1"/>
    <n v="161.80000000000001"/>
    <n v="152.30000000000001"/>
    <n v="182.4"/>
    <n v="154.69999999999999"/>
    <n v="150"/>
    <n v="154.1"/>
    <s v="NA"/>
    <n v="144.9"/>
    <n v="151.69999999999999"/>
    <n v="158.19999999999999"/>
    <n v="141.4"/>
    <n v="153.19999999999999"/>
    <n v="161.80000000000001"/>
    <n v="151.19999999999999"/>
    <n v="151.69999999999999"/>
    <n v="152.69999999999999"/>
  </r>
  <r>
    <s v="Urban"/>
    <x v="7"/>
    <x v="6"/>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s v="Rural+Urban"/>
    <x v="7"/>
    <x v="6"/>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s v="Rural"/>
    <x v="7"/>
    <x v="7"/>
    <n v="147.6"/>
    <n v="187.2"/>
    <n v="148.4"/>
    <n v="153.30000000000001"/>
    <n v="139.80000000000001"/>
    <n v="146.9"/>
    <n v="171"/>
    <n v="149.9"/>
    <n v="114.2"/>
    <n v="160"/>
    <n v="143.5"/>
    <n v="161.5"/>
    <n v="155.30000000000001"/>
    <n v="180.9"/>
    <n v="155.1"/>
    <n v="149.30000000000001"/>
    <n v="154.30000000000001"/>
    <s v="NA"/>
    <n v="145.80000000000001"/>
    <n v="151.9"/>
    <n v="158.80000000000001"/>
    <n v="143.6"/>
    <n v="152.19999999999999"/>
    <n v="162.69999999999999"/>
    <n v="153.6"/>
    <n v="153"/>
    <n v="154.69999999999999"/>
  </r>
  <r>
    <s v="Urban"/>
    <x v="7"/>
    <x v="7"/>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r>
  <r>
    <s v="Rural+Urban"/>
    <x v="7"/>
    <x v="7"/>
    <n v="148.9"/>
    <n v="190.9"/>
    <n v="150.80000000000001"/>
    <n v="153.30000000000001"/>
    <n v="137.4"/>
    <n v="150.4"/>
    <n v="178.1"/>
    <n v="150.4"/>
    <n v="115.1"/>
    <n v="160"/>
    <n v="140.6"/>
    <n v="162.30000000000001"/>
    <n v="157"/>
    <n v="182.6"/>
    <n v="153.1"/>
    <n v="143.4"/>
    <n v="151.69999999999999"/>
    <n v="155.5"/>
    <n v="143"/>
    <n v="148.4"/>
    <n v="155"/>
    <n v="138.5"/>
    <n v="146"/>
    <n v="158.5"/>
    <n v="154.30000000000001"/>
    <n v="149"/>
    <n v="153.9"/>
  </r>
  <r>
    <s v="Rural"/>
    <x v="7"/>
    <x v="8"/>
    <n v="146.9"/>
    <n v="183.9"/>
    <n v="149.5"/>
    <n v="153.4"/>
    <n v="140.4"/>
    <n v="147"/>
    <n v="178.8"/>
    <n v="149.30000000000001"/>
    <n v="115.1"/>
    <n v="160"/>
    <n v="145.4"/>
    <n v="161.6"/>
    <n v="156.1"/>
    <n v="182.9"/>
    <n v="155.4"/>
    <n v="149.9"/>
    <n v="154.6"/>
    <s v="NA"/>
    <n v="146.4"/>
    <n v="151.6"/>
    <n v="159.1"/>
    <n v="144.6"/>
    <n v="152.80000000000001"/>
    <n v="161.1"/>
    <n v="157.4"/>
    <n v="153.69999999999999"/>
    <n v="155.4"/>
  </r>
  <r>
    <s v="Urban"/>
    <x v="7"/>
    <x v="8"/>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r>
  <r>
    <s v="Rural+Urban"/>
    <x v="7"/>
    <x v="8"/>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r>
  <r>
    <s v="Rural"/>
    <x v="7"/>
    <x v="9"/>
    <n v="146"/>
    <n v="186.3"/>
    <n v="159.19999999999999"/>
    <n v="153.6"/>
    <n v="142.6"/>
    <n v="147.19999999999999"/>
    <n v="200.6"/>
    <n v="150.30000000000001"/>
    <n v="115.3"/>
    <n v="160.9"/>
    <n v="147.4"/>
    <n v="161.9"/>
    <n v="159.6"/>
    <n v="182.7"/>
    <n v="155.69999999999999"/>
    <n v="150.6"/>
    <n v="155"/>
    <s v="NA"/>
    <n v="146.80000000000001"/>
    <n v="152"/>
    <n v="159.5"/>
    <n v="146.4"/>
    <n v="152.4"/>
    <n v="162.5"/>
    <n v="156.19999999999999"/>
    <n v="154.30000000000001"/>
    <n v="157.5"/>
  </r>
  <r>
    <s v="Urban"/>
    <x v="7"/>
    <x v="9"/>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r>
  <r>
    <s v="Rural+Urban"/>
    <x v="7"/>
    <x v="9"/>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r>
  <r>
    <s v="Rural"/>
    <x v="7"/>
    <x v="11"/>
    <n v="145.4"/>
    <n v="188.6"/>
    <n v="171.6"/>
    <n v="153.80000000000001"/>
    <n v="145.4"/>
    <n v="146.5"/>
    <n v="222.2"/>
    <n v="155.9"/>
    <n v="114.9"/>
    <n v="162"/>
    <n v="150"/>
    <n v="162.69999999999999"/>
    <n v="163.4"/>
    <n v="183.4"/>
    <n v="156.30000000000001"/>
    <n v="151"/>
    <n v="155.5"/>
    <s v="NA"/>
    <n v="147.5"/>
    <n v="152.80000000000001"/>
    <n v="160.4"/>
    <n v="146.1"/>
    <n v="153.6"/>
    <n v="161.6"/>
    <n v="156.19999999999999"/>
    <n v="154.5"/>
    <n v="159.80000000000001"/>
  </r>
  <r>
    <s v="Urban"/>
    <x v="7"/>
    <x v="11"/>
    <n v="149.69999999999999"/>
    <n v="195.5"/>
    <n v="176.9"/>
    <n v="153.9"/>
    <n v="138"/>
    <n v="150.5"/>
    <n v="245.3"/>
    <n v="158.69999999999999"/>
    <n v="117.2"/>
    <n v="161.4"/>
    <n v="141.5"/>
    <n v="165.1"/>
    <n v="167"/>
    <n v="188.8"/>
    <n v="151.1"/>
    <n v="136.4"/>
    <n v="148.80000000000001"/>
    <n v="158"/>
    <n v="137.30000000000001"/>
    <n v="145.1"/>
    <n v="152"/>
    <n v="135.19999999999999"/>
    <n v="144.4"/>
    <n v="156.4"/>
    <n v="157.9"/>
    <n v="146.6"/>
    <n v="156.69999999999999"/>
  </r>
  <r>
    <s v="Rural+Urban"/>
    <x v="7"/>
    <x v="11"/>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r>
  <r>
    <s v="Rural"/>
    <x v="7"/>
    <x v="12"/>
    <n v="144.6"/>
    <n v="188.5"/>
    <n v="173.4"/>
    <n v="154"/>
    <n v="150"/>
    <n v="145.9"/>
    <n v="225.2"/>
    <n v="159.5"/>
    <n v="114.4"/>
    <n v="163.5"/>
    <n v="153.4"/>
    <n v="163.6"/>
    <n v="164.5"/>
    <n v="183.6"/>
    <n v="157"/>
    <n v="151.6"/>
    <n v="156.30000000000001"/>
    <s v="NA"/>
    <n v="148.69999999999999"/>
    <n v="153.4"/>
    <n v="161.6"/>
    <n v="146.4"/>
    <n v="153.9"/>
    <n v="162.9"/>
    <n v="156.6"/>
    <n v="155.19999999999999"/>
    <n v="160.69999999999999"/>
  </r>
  <r>
    <s v="Urban"/>
    <x v="7"/>
    <x v="12"/>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56.9"/>
  </r>
  <r>
    <s v="Rural+Urban"/>
    <x v="7"/>
    <x v="12"/>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r>
  <r>
    <s v="Rural"/>
    <x v="8"/>
    <x v="0"/>
    <n v="143.4"/>
    <n v="187.5"/>
    <n v="173.4"/>
    <n v="154"/>
    <n v="154.80000000000001"/>
    <n v="147"/>
    <n v="187.8"/>
    <n v="159.5"/>
    <n v="113.8"/>
    <n v="164.5"/>
    <n v="156.1"/>
    <n v="164.3"/>
    <n v="159.6"/>
    <n v="184.6"/>
    <n v="157.5"/>
    <n v="152.4"/>
    <n v="156.80000000000001"/>
    <s v="NA"/>
    <n v="150.9"/>
    <n v="153.9"/>
    <n v="162.5"/>
    <n v="147.5"/>
    <n v="155.1"/>
    <n v="163.5"/>
    <n v="156.19999999999999"/>
    <n v="155.9"/>
    <n v="158.5"/>
  </r>
  <r>
    <s v="Urban"/>
    <x v="8"/>
    <x v="0"/>
    <n v="148"/>
    <n v="194.8"/>
    <n v="178.4"/>
    <n v="154.4"/>
    <n v="144.1"/>
    <n v="152.6"/>
    <n v="206.8"/>
    <n v="162.1"/>
    <n v="116.3"/>
    <n v="163"/>
    <n v="145.9"/>
    <n v="167.2"/>
    <n v="163.4"/>
    <n v="191.8"/>
    <n v="152.5"/>
    <n v="137.30000000000001"/>
    <n v="150.19999999999999"/>
    <n v="157.69999999999999"/>
    <n v="142.9"/>
    <n v="145.69999999999999"/>
    <n v="154.1"/>
    <n v="136.9"/>
    <n v="145.4"/>
    <n v="156.1"/>
    <n v="157.69999999999999"/>
    <n v="147.6"/>
    <n v="156"/>
  </r>
  <r>
    <s v="Rural+Urban"/>
    <x v="8"/>
    <x v="0"/>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r>
  <r>
    <s v="Rural"/>
    <x v="8"/>
    <x v="1"/>
    <n v="142.80000000000001"/>
    <n v="184"/>
    <n v="168"/>
    <n v="154.4"/>
    <n v="163"/>
    <n v="147.80000000000001"/>
    <n v="149.69999999999999"/>
    <n v="158.30000000000001"/>
    <n v="111.8"/>
    <n v="165"/>
    <n v="160"/>
    <n v="165.8"/>
    <n v="154.69999999999999"/>
    <n v="186.5"/>
    <n v="159.1"/>
    <n v="153.9"/>
    <n v="158.4"/>
    <s v="NA"/>
    <n v="154.4"/>
    <n v="154.80000000000001"/>
    <n v="164.3"/>
    <n v="150.19999999999999"/>
    <n v="157"/>
    <n v="163.6"/>
    <n v="155.19999999999999"/>
    <n v="157.19999999999999"/>
    <n v="156.69999999999999"/>
  </r>
  <r>
    <s v="Urban"/>
    <x v="8"/>
    <x v="1"/>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r>
  <r>
    <s v="Rural+Urban"/>
    <x v="8"/>
    <x v="1"/>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r>
  <r>
    <s v="Rural"/>
    <x v="8"/>
    <x v="2"/>
    <n v="142.5"/>
    <n v="189.4"/>
    <n v="163.19999999999999"/>
    <n v="154.5"/>
    <n v="168.2"/>
    <n v="150.5"/>
    <n v="141"/>
    <n v="159.19999999999999"/>
    <n v="111.7"/>
    <n v="164"/>
    <n v="160.6"/>
    <n v="166.4"/>
    <n v="154.5"/>
    <n v="186.1"/>
    <n v="159.6"/>
    <n v="154.4"/>
    <n v="158.9"/>
    <s v="-"/>
    <n v="156"/>
    <n v="154.80000000000001"/>
    <n v="164.6"/>
    <n v="151.30000000000001"/>
    <n v="157.80000000000001"/>
    <n v="163.80000000000001"/>
    <n v="153.1"/>
    <n v="157.30000000000001"/>
    <n v="156.69999999999999"/>
  </r>
  <r>
    <s v="Urban"/>
    <x v="8"/>
    <x v="2"/>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r>
  <r>
    <s v="Rural+Urban"/>
    <x v="8"/>
    <x v="2"/>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r>
  <r>
    <s v="Rural"/>
    <x v="8"/>
    <x v="3"/>
    <n v="142.69999999999999"/>
    <n v="195.5"/>
    <n v="163.4"/>
    <n v="155"/>
    <n v="175.2"/>
    <n v="160.6"/>
    <n v="135.1"/>
    <n v="161.1"/>
    <n v="112.2"/>
    <n v="164.4"/>
    <n v="161.9"/>
    <n v="166.8"/>
    <n v="155.6"/>
    <n v="186.8"/>
    <n v="160.69999999999999"/>
    <n v="155.1"/>
    <n v="159.9"/>
    <s v="-"/>
    <n v="156"/>
    <n v="155.5"/>
    <n v="165.3"/>
    <n v="151.69999999999999"/>
    <n v="158.6"/>
    <n v="164.1"/>
    <n v="154.6"/>
    <n v="158"/>
    <n v="157.6"/>
  </r>
  <r>
    <s v="Urban"/>
    <x v="8"/>
    <x v="3"/>
    <n v="147.6"/>
    <n v="202.5"/>
    <n v="166.4"/>
    <n v="156"/>
    <n v="161.4"/>
    <n v="168.8"/>
    <n v="161.6"/>
    <n v="162.80000000000001"/>
    <n v="114.8"/>
    <n v="162.80000000000001"/>
    <n v="151.5"/>
    <n v="171.4"/>
    <n v="162"/>
    <n v="194.4"/>
    <n v="155.9"/>
    <n v="139.30000000000001"/>
    <n v="153.4"/>
    <n v="161.4"/>
    <n v="154.9"/>
    <n v="147.6"/>
    <n v="157.5"/>
    <n v="142.1"/>
    <n v="149.1"/>
    <n v="157.6"/>
    <n v="156.6"/>
    <n v="150.5"/>
    <n v="158"/>
  </r>
  <r>
    <s v="Rural+Urban"/>
    <x v="8"/>
    <x v="3"/>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r>
  <r>
    <s v="Rural"/>
    <x v="8"/>
    <x v="4"/>
    <n v="145.1"/>
    <n v="198.5"/>
    <n v="168.6"/>
    <n v="155.80000000000001"/>
    <n v="184.4"/>
    <n v="162.30000000000001"/>
    <n v="138.4"/>
    <n v="165.1"/>
    <n v="114.3"/>
    <n v="169.7"/>
    <n v="164.6"/>
    <n v="169.8"/>
    <n v="158.69999999999999"/>
    <n v="189.6"/>
    <n v="165.3"/>
    <n v="160.6"/>
    <n v="164.5"/>
    <s v="NA"/>
    <n v="161.69999999999999"/>
    <n v="158.80000000000001"/>
    <n v="169.1"/>
    <n v="153.19999999999999"/>
    <n v="160"/>
    <n v="167.6"/>
    <n v="159.30000000000001"/>
    <n v="161.1"/>
    <n v="161.1"/>
  </r>
  <r>
    <s v="Urban"/>
    <x v="8"/>
    <x v="4"/>
    <n v="148.80000000000001"/>
    <n v="204.3"/>
    <n v="173"/>
    <n v="156.5"/>
    <n v="168.8"/>
    <n v="172.5"/>
    <n v="166.5"/>
    <n v="165.9"/>
    <n v="115.9"/>
    <n v="165.2"/>
    <n v="152"/>
    <n v="171.1"/>
    <n v="164.2"/>
    <n v="198.2"/>
    <n v="156.5"/>
    <n v="140.19999999999999"/>
    <n v="154.1"/>
    <n v="161.6"/>
    <n v="155.5"/>
    <n v="150.1"/>
    <n v="160.4"/>
    <n v="145"/>
    <n v="152.6"/>
    <n v="156.6"/>
    <n v="157.5"/>
    <n v="152.30000000000001"/>
    <n v="159.5"/>
  </r>
  <r>
    <s v="Rural+Urban"/>
    <x v="8"/>
    <x v="4"/>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r>
  <r>
    <s v="Rural"/>
    <x v="8"/>
    <x v="5"/>
    <n v="145.6"/>
    <n v="200.1"/>
    <n v="179.3"/>
    <n v="156.1"/>
    <n v="190.4"/>
    <n v="158.6"/>
    <n v="144.69999999999999"/>
    <n v="165.5"/>
    <n v="114.6"/>
    <n v="170"/>
    <n v="165.5"/>
    <n v="171.7"/>
    <n v="160.5"/>
    <n v="189.1"/>
    <n v="165.3"/>
    <n v="159.9"/>
    <n v="164.6"/>
    <s v="NA"/>
    <n v="162.1"/>
    <n v="159.19999999999999"/>
    <n v="169.7"/>
    <n v="154.19999999999999"/>
    <n v="160.4"/>
    <n v="166.8"/>
    <n v="159.4"/>
    <n v="161.5"/>
    <n v="162.1"/>
  </r>
  <r>
    <s v="Urban"/>
    <x v="8"/>
    <x v="5"/>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r>
  <r>
    <s v="Rural+Urban"/>
    <x v="8"/>
    <x v="5"/>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r>
  <r>
    <s v="Rural"/>
    <x v="8"/>
    <x v="6"/>
    <n v="145.1"/>
    <n v="204.5"/>
    <n v="180.4"/>
    <n v="157.1"/>
    <n v="188.7"/>
    <n v="157.69999999999999"/>
    <n v="152.80000000000001"/>
    <n v="163.6"/>
    <n v="113.9"/>
    <n v="169.7"/>
    <n v="166.2"/>
    <n v="171"/>
    <n v="161.69999999999999"/>
    <n v="189.7"/>
    <n v="166"/>
    <n v="161.1"/>
    <n v="165.3"/>
    <s v="NA"/>
    <n v="162.5"/>
    <n v="160.30000000000001"/>
    <n v="170.4"/>
    <n v="157.1"/>
    <n v="160.69999999999999"/>
    <n v="167.2"/>
    <n v="160.4"/>
    <n v="162.80000000000001"/>
    <n v="163.19999999999999"/>
  </r>
  <r>
    <s v="Urban"/>
    <x v="8"/>
    <x v="6"/>
    <n v="149.1"/>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r>
  <r>
    <s v="Rural+Urban"/>
    <x v="8"/>
    <x v="6"/>
    <n v="146.4"/>
    <n v="206.8"/>
    <n v="182.2"/>
    <n v="157.5"/>
    <n v="182.1"/>
    <n v="163.9"/>
    <n v="164.2"/>
    <n v="164"/>
    <n v="114.5"/>
    <n v="168.3"/>
    <n v="160.9"/>
    <n v="172.2"/>
    <n v="164"/>
    <n v="191.2"/>
    <n v="162.80000000000001"/>
    <n v="153.1"/>
    <n v="161.4"/>
    <n v="161.5"/>
    <n v="160.69999999999999"/>
    <n v="155.80000000000001"/>
    <n v="167"/>
    <n v="153.1"/>
    <n v="155.30000000000001"/>
    <n v="163.19999999999999"/>
    <n v="160.1"/>
    <n v="159"/>
    <n v="162.5"/>
  </r>
  <r>
    <s v="Rural"/>
    <x v="8"/>
    <x v="7"/>
    <n v="144.9"/>
    <n v="202.3"/>
    <n v="176.5"/>
    <n v="157.5"/>
    <n v="190.9"/>
    <n v="155.69999999999999"/>
    <n v="153.9"/>
    <n v="162.80000000000001"/>
    <n v="115.2"/>
    <n v="169.8"/>
    <n v="167.6"/>
    <n v="171.9"/>
    <n v="161.80000000000001"/>
    <n v="190.2"/>
    <n v="167"/>
    <n v="162.6"/>
    <n v="166.3"/>
    <s v="NA"/>
    <n v="163.1"/>
    <n v="160.9"/>
    <n v="171.1"/>
    <n v="157.69999999999999"/>
    <n v="161.1"/>
    <n v="167.5"/>
    <n v="160.30000000000001"/>
    <n v="163.30000000000001"/>
    <n v="163.6"/>
  </r>
  <r>
    <s v="Urban"/>
    <x v="8"/>
    <x v="7"/>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r>
  <r>
    <s v="Rural+Urban"/>
    <x v="8"/>
    <x v="7"/>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r>
  <r>
    <s v="Rural"/>
    <x v="8"/>
    <x v="8"/>
    <n v="145.4"/>
    <n v="202.1"/>
    <n v="172"/>
    <n v="158"/>
    <n v="195.5"/>
    <n v="152.69999999999999"/>
    <n v="151.4"/>
    <n v="163.9"/>
    <n v="119.3"/>
    <n v="170.1"/>
    <n v="168.3"/>
    <n v="172.8"/>
    <n v="162.1"/>
    <n v="190.5"/>
    <n v="167.7"/>
    <n v="163.6"/>
    <n v="167.1"/>
    <s v="NA"/>
    <n v="163.69999999999999"/>
    <n v="161.30000000000001"/>
    <n v="171.9"/>
    <n v="157.80000000000001"/>
    <n v="162.69999999999999"/>
    <n v="168.5"/>
    <n v="160.19999999999999"/>
    <n v="163.80000000000001"/>
    <n v="164"/>
  </r>
  <r>
    <s v="Urban"/>
    <x v="8"/>
    <x v="8"/>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r>
  <r>
    <s v="Rural+Urban"/>
    <x v="8"/>
    <x v="8"/>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r>
  <r>
    <s v="Rural"/>
    <x v="8"/>
    <x v="9"/>
    <n v="146.1"/>
    <n v="202.5"/>
    <n v="170.1"/>
    <n v="158.4"/>
    <n v="198.8"/>
    <n v="152.6"/>
    <n v="170.4"/>
    <n v="165.2"/>
    <n v="121.6"/>
    <n v="170.6"/>
    <n v="168.8"/>
    <n v="173.6"/>
    <n v="165.5"/>
    <n v="191.2"/>
    <n v="168.9"/>
    <n v="164.8"/>
    <n v="168.3"/>
    <s v="NA"/>
    <n v="165.5"/>
    <n v="162"/>
    <n v="172.5"/>
    <n v="159.5"/>
    <n v="163.19999999999999"/>
    <n v="169"/>
    <n v="161.1"/>
    <n v="164.7"/>
    <n v="166.3"/>
  </r>
  <r>
    <s v="Urban"/>
    <x v="8"/>
    <x v="9"/>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r>
  <r>
    <s v="Rural+Urban"/>
    <x v="8"/>
    <x v="9"/>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r>
  <r>
    <s v="Rural"/>
    <x v="8"/>
    <x v="11"/>
    <n v="146.9"/>
    <n v="199.8"/>
    <n v="171.5"/>
    <n v="159.1"/>
    <n v="198.4"/>
    <n v="153.19999999999999"/>
    <n v="183.9"/>
    <n v="165.4"/>
    <n v="122.1"/>
    <n v="170.8"/>
    <n v="169.1"/>
    <n v="174.3"/>
    <n v="167.5"/>
    <n v="191.4"/>
    <n v="170.4"/>
    <n v="166"/>
    <n v="169.8"/>
    <s v="NA"/>
    <n v="165.3"/>
    <n v="162.9"/>
    <n v="173.4"/>
    <n v="158.9"/>
    <n v="163.80000000000001"/>
    <n v="169.3"/>
    <n v="162.4"/>
    <n v="165.2"/>
    <n v="167.6"/>
  </r>
  <r>
    <s v="Urban"/>
    <x v="8"/>
    <x v="11"/>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r>
  <r>
    <s v="Rural+Urban"/>
    <x v="8"/>
    <x v="11"/>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r>
  <r>
    <s v="Rural"/>
    <x v="8"/>
    <x v="12"/>
    <n v="147.4"/>
    <n v="197"/>
    <n v="176.5"/>
    <n v="159.80000000000001"/>
    <n v="195.8"/>
    <n v="152"/>
    <n v="172.3"/>
    <n v="164.5"/>
    <n v="120.6"/>
    <n v="171.7"/>
    <n v="169.7"/>
    <n v="175.1"/>
    <n v="165.8"/>
    <n v="190.8"/>
    <n v="171.8"/>
    <n v="167.3"/>
    <n v="171.2"/>
    <s v="NA"/>
    <n v="165.6"/>
    <n v="163.9"/>
    <n v="174"/>
    <n v="160.1"/>
    <n v="164.5"/>
    <n v="169.7"/>
    <n v="162.80000000000001"/>
    <n v="166"/>
    <n v="167"/>
  </r>
  <r>
    <s v="Urban"/>
    <x v="8"/>
    <x v="12"/>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r>
  <r>
    <s v="Rural+Urban"/>
    <x v="8"/>
    <x v="12"/>
    <n v="148.69999999999999"/>
    <n v="198.8"/>
    <n v="177.9"/>
    <n v="159.9"/>
    <n v="187.6"/>
    <n v="154.9"/>
    <n v="188.3"/>
    <n v="164.4"/>
    <n v="121"/>
    <n v="170.5"/>
    <n v="164.2"/>
    <n v="176.5"/>
    <n v="168.2"/>
    <n v="192.4"/>
    <n v="168.5"/>
    <n v="158.69999999999999"/>
    <n v="167"/>
    <n v="163.4"/>
    <n v="164.1"/>
    <n v="160.19999999999999"/>
    <n v="170.6"/>
    <n v="155.69999999999999"/>
    <n v="160.6"/>
    <n v="164.4"/>
    <n v="162.6"/>
    <n v="162"/>
    <n v="166.2"/>
  </r>
  <r>
    <s v="Rural"/>
    <x v="9"/>
    <x v="0"/>
    <n v="148.30000000000001"/>
    <n v="196.9"/>
    <n v="178"/>
    <n v="160.5"/>
    <n v="192.6"/>
    <n v="151.19999999999999"/>
    <n v="159.19999999999999"/>
    <n v="164"/>
    <n v="119.3"/>
    <n v="173.3"/>
    <n v="169.8"/>
    <n v="175.8"/>
    <n v="164.1"/>
    <n v="190.7"/>
    <n v="173.2"/>
    <n v="169.3"/>
    <n v="172.7"/>
    <s v="NA"/>
    <n v="165.8"/>
    <n v="164.9"/>
    <n v="174.7"/>
    <n v="160.80000000000001"/>
    <n v="164.9"/>
    <n v="169.9"/>
    <n v="163.19999999999999"/>
    <n v="166.6"/>
    <n v="166.4"/>
  </r>
  <r>
    <s v="Urban"/>
    <x v="9"/>
    <x v="0"/>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5"/>
  </r>
  <r>
    <s v="Rural+Urban"/>
    <x v="9"/>
    <x v="0"/>
    <n v="149.5"/>
    <n v="198.7"/>
    <n v="178.8"/>
    <n v="160.5"/>
    <n v="184.7"/>
    <n v="153.69999999999999"/>
    <n v="174.3"/>
    <n v="163.9"/>
    <n v="120"/>
    <n v="172.1"/>
    <n v="164.3"/>
    <n v="177.3"/>
    <n v="166.4"/>
    <n v="192.2"/>
    <n v="169.9"/>
    <n v="160.69999999999999"/>
    <n v="168.5"/>
    <n v="164.5"/>
    <n v="164.2"/>
    <n v="161.1"/>
    <n v="171.4"/>
    <n v="156.5"/>
    <n v="161.19999999999999"/>
    <n v="164.7"/>
    <n v="163"/>
    <n v="162.69999999999999"/>
    <n v="165.7"/>
  </r>
  <r>
    <s v="Rural"/>
    <x v="9"/>
    <x v="1"/>
    <n v="148.80000000000001"/>
    <n v="198.1"/>
    <n v="175.5"/>
    <n v="160.69999999999999"/>
    <n v="192.6"/>
    <n v="151.4"/>
    <n v="155.19999999999999"/>
    <n v="163.9"/>
    <n v="118.1"/>
    <n v="175.4"/>
    <n v="170.5"/>
    <n v="176.3"/>
    <n v="163.9"/>
    <n v="191.5"/>
    <n v="174.1"/>
    <n v="171"/>
    <n v="173.7"/>
    <s v="NA"/>
    <n v="167.4"/>
    <n v="165.7"/>
    <n v="175.3"/>
    <n v="161.19999999999999"/>
    <n v="165.5"/>
    <n v="170.3"/>
    <n v="164.5"/>
    <n v="167.3"/>
    <n v="166.7"/>
  </r>
  <r>
    <s v="Urban"/>
    <x v="9"/>
    <x v="1"/>
    <n v="152.5"/>
    <n v="205.2"/>
    <n v="176.4"/>
    <n v="160.6"/>
    <n v="171.5"/>
    <n v="156.4"/>
    <n v="198"/>
    <n v="163.19999999999999"/>
    <n v="120.6"/>
    <n v="172.2"/>
    <n v="156.69999999999999"/>
    <n v="180"/>
    <n v="170.2"/>
    <n v="196.5"/>
    <n v="165.7"/>
    <n v="150.4"/>
    <n v="163.4"/>
    <n v="165.5"/>
    <n v="163"/>
    <n v="157.4"/>
    <n v="167.2"/>
    <n v="153.1"/>
    <n v="159.5"/>
    <n v="162"/>
    <n v="164.2"/>
    <n v="159.4"/>
    <n v="165.5"/>
  </r>
  <r>
    <s v="Rural+Urban"/>
    <x v="9"/>
    <x v="1"/>
    <n v="150"/>
    <n v="200.6"/>
    <n v="175.8"/>
    <n v="160.69999999999999"/>
    <n v="184.9"/>
    <n v="153.69999999999999"/>
    <n v="169.7"/>
    <n v="163.69999999999999"/>
    <n v="118.9"/>
    <n v="174.3"/>
    <n v="164.7"/>
    <n v="178"/>
    <n v="166.2"/>
    <n v="192.8"/>
    <n v="170.8"/>
    <n v="162.4"/>
    <n v="169.6"/>
    <n v="165.5"/>
    <n v="165.7"/>
    <n v="161.80000000000001"/>
    <n v="172.2"/>
    <n v="156.9"/>
    <n v="162.1"/>
    <n v="165.4"/>
    <n v="164.4"/>
    <n v="163.5"/>
    <n v="166.1"/>
  </r>
  <r>
    <s v="Rural"/>
    <x v="9"/>
    <x v="2"/>
    <n v="150.19999999999999"/>
    <n v="208"/>
    <n v="167.9"/>
    <n v="162"/>
    <n v="203.1"/>
    <n v="155.9"/>
    <n v="155.80000000000001"/>
    <n v="164.2"/>
    <n v="118.1"/>
    <n v="178.7"/>
    <n v="171.2"/>
    <n v="177.4"/>
    <n v="166.6"/>
    <n v="192.3"/>
    <n v="175.4"/>
    <n v="173.2"/>
    <n v="175.1"/>
    <s v="NA"/>
    <n v="168.9"/>
    <n v="166.5"/>
    <n v="176"/>
    <n v="162"/>
    <n v="166.6"/>
    <n v="170.6"/>
    <n v="167.4"/>
    <n v="168.3"/>
    <n v="168.7"/>
  </r>
  <r>
    <s v="Urban"/>
    <x v="9"/>
    <x v="2"/>
    <n v="153.69999999999999"/>
    <n v="215.8"/>
    <n v="167.7"/>
    <n v="162.6"/>
    <n v="180"/>
    <n v="159.6"/>
    <n v="188.4"/>
    <n v="163.4"/>
    <n v="120.3"/>
    <n v="174.7"/>
    <n v="157.1"/>
    <n v="181.5"/>
    <n v="171.5"/>
    <n v="197.5"/>
    <n v="167.1"/>
    <n v="152.6"/>
    <n v="164.9"/>
    <n v="165.3"/>
    <n v="164.5"/>
    <n v="158.6"/>
    <n v="168.2"/>
    <n v="154.19999999999999"/>
    <n v="160.80000000000001"/>
    <n v="162.69999999999999"/>
    <n v="166.8"/>
    <n v="160.6"/>
    <n v="166.5"/>
  </r>
  <r>
    <s v="Rural+Urban"/>
    <x v="9"/>
    <x v="2"/>
    <n v="151.30000000000001"/>
    <n v="210.7"/>
    <n v="167.8"/>
    <n v="162.19999999999999"/>
    <n v="194.6"/>
    <n v="157.6"/>
    <n v="166.9"/>
    <n v="163.9"/>
    <n v="118.8"/>
    <n v="177.4"/>
    <n v="165.3"/>
    <n v="179.3"/>
    <n v="168.4"/>
    <n v="193.7"/>
    <n v="172.1"/>
    <n v="164.6"/>
    <n v="171.1"/>
    <n v="165.3"/>
    <n v="167.2"/>
    <n v="162.80000000000001"/>
    <n v="173"/>
    <n v="157.9"/>
    <n v="163.30000000000001"/>
    <n v="166"/>
    <n v="167.2"/>
    <n v="164.6"/>
    <n v="167.7"/>
  </r>
  <r>
    <s v="Rural"/>
    <x v="9"/>
    <x v="3"/>
    <n v="151.80000000000001"/>
    <n v="209.7"/>
    <n v="164.5"/>
    <n v="163.80000000000001"/>
    <n v="207.4"/>
    <n v="169.7"/>
    <n v="153.6"/>
    <n v="165.1"/>
    <n v="118.2"/>
    <n v="182.9"/>
    <n v="172.4"/>
    <n v="178.9"/>
    <n v="168.6"/>
    <n v="192.8"/>
    <n v="177.5"/>
    <n v="175.1"/>
    <n v="177.1"/>
    <s v="NA"/>
    <n v="173.3"/>
    <n v="167.7"/>
    <n v="177"/>
    <n v="166.2"/>
    <n v="167.2"/>
    <n v="170.9"/>
    <n v="169"/>
    <n v="170.2"/>
    <n v="170.8"/>
  </r>
  <r>
    <s v="Urban"/>
    <x v="9"/>
    <x v="3"/>
    <n v="155.4"/>
    <n v="215.8"/>
    <n v="164.6"/>
    <n v="164.2"/>
    <n v="186"/>
    <n v="175.9"/>
    <n v="190.7"/>
    <n v="164"/>
    <n v="120.5"/>
    <n v="178"/>
    <n v="157.5"/>
    <n v="183.3"/>
    <n v="174.5"/>
    <n v="197.1"/>
    <n v="168.4"/>
    <n v="154.5"/>
    <n v="166.3"/>
    <n v="167"/>
    <n v="170.5"/>
    <n v="159.80000000000001"/>
    <n v="169"/>
    <n v="159.30000000000001"/>
    <n v="162.19999999999999"/>
    <n v="164"/>
    <n v="168.4"/>
    <n v="163.1"/>
    <n v="169.2"/>
  </r>
  <r>
    <s v="Rural+Urban"/>
    <x v="9"/>
    <x v="3"/>
    <n v="152.9"/>
    <n v="211.8"/>
    <n v="164.5"/>
    <n v="163.9"/>
    <n v="199.5"/>
    <n v="172.6"/>
    <n v="166.2"/>
    <n v="164.7"/>
    <n v="119"/>
    <n v="181.3"/>
    <n v="166.2"/>
    <n v="180.9"/>
    <n v="170.8"/>
    <n v="193.9"/>
    <n v="173.9"/>
    <n v="166.5"/>
    <n v="172.8"/>
    <n v="167"/>
    <n v="172.2"/>
    <n v="164"/>
    <n v="174"/>
    <n v="162.6"/>
    <n v="164.4"/>
    <n v="166.9"/>
    <n v="168.8"/>
    <n v="166.8"/>
    <n v="170.1"/>
  </r>
  <r>
    <s v="Rural"/>
    <x v="9"/>
    <x v="4"/>
    <n v="152.9"/>
    <n v="214.7"/>
    <n v="161.4"/>
    <n v="164.6"/>
    <n v="209.9"/>
    <n v="168"/>
    <n v="160.4"/>
    <n v="165"/>
    <n v="118.9"/>
    <n v="186.6"/>
    <n v="173.2"/>
    <n v="180.4"/>
    <n v="170.8"/>
    <n v="192.9"/>
    <n v="179.3"/>
    <n v="177.2"/>
    <n v="179"/>
    <s v="NA"/>
    <n v="175.3"/>
    <n v="168.9"/>
    <n v="177.7"/>
    <n v="167.1"/>
    <n v="167.6"/>
    <n v="171.8"/>
    <n v="168.5"/>
    <n v="170.9"/>
    <n v="172.5"/>
  </r>
  <r>
    <s v="Urban"/>
    <x v="9"/>
    <x v="4"/>
    <n v="156.69999999999999"/>
    <n v="221.2"/>
    <n v="164.1"/>
    <n v="165.4"/>
    <n v="189.5"/>
    <n v="174.5"/>
    <n v="203.2"/>
    <n v="164.1"/>
    <n v="121.2"/>
    <n v="181.4"/>
    <n v="158.5"/>
    <n v="184.9"/>
    <n v="177.5"/>
    <n v="197.5"/>
    <n v="170"/>
    <n v="155.9"/>
    <n v="167.8"/>
    <n v="167.5"/>
    <n v="173.5"/>
    <n v="161.1"/>
    <n v="170.1"/>
    <n v="159.4"/>
    <n v="163.19999999999999"/>
    <n v="165.2"/>
    <n v="168.2"/>
    <n v="163.80000000000001"/>
    <n v="170.8"/>
  </r>
  <r>
    <s v="Rural+Urban"/>
    <x v="9"/>
    <x v="4"/>
    <n v="154.1"/>
    <n v="217"/>
    <n v="162.4"/>
    <n v="164.9"/>
    <n v="202.4"/>
    <n v="171"/>
    <n v="174.9"/>
    <n v="164.7"/>
    <n v="119.7"/>
    <n v="184.9"/>
    <n v="167.1"/>
    <n v="182.5"/>
    <n v="173.3"/>
    <n v="194.1"/>
    <n v="175.6"/>
    <n v="168.4"/>
    <n v="174.6"/>
    <n v="167.5"/>
    <n v="174.6"/>
    <n v="165.2"/>
    <n v="174.8"/>
    <n v="163"/>
    <n v="165.1"/>
    <n v="167.9"/>
    <n v="168.4"/>
    <n v="167.5"/>
    <n v="171.7"/>
  </r>
  <r>
    <s v="Rural"/>
    <x v="9"/>
    <x v="5"/>
    <n v="153.80000000000001"/>
    <n v="217.2"/>
    <n v="169.6"/>
    <n v="165.4"/>
    <n v="208.1"/>
    <n v="165.8"/>
    <n v="167.3"/>
    <n v="164.6"/>
    <n v="119.1"/>
    <n v="188.9"/>
    <n v="174.2"/>
    <n v="181.9"/>
    <n v="172.4"/>
    <n v="192.9"/>
    <n v="180.7"/>
    <n v="178.7"/>
    <n v="180.4"/>
    <s v="NA"/>
    <n v="176.7"/>
    <n v="170.3"/>
    <n v="178.2"/>
    <n v="165.5"/>
    <n v="168"/>
    <n v="172.6"/>
    <n v="169.5"/>
    <n v="171"/>
    <n v="173.6"/>
  </r>
  <r>
    <s v="Urban"/>
    <x v="9"/>
    <x v="5"/>
    <n v="157.5"/>
    <n v="223.4"/>
    <n v="172.8"/>
    <n v="166.4"/>
    <n v="188.6"/>
    <n v="174.1"/>
    <n v="211.5"/>
    <n v="163.6"/>
    <n v="121.4"/>
    <n v="183.5"/>
    <n v="159.1"/>
    <n v="186.3"/>
    <n v="179.3"/>
    <n v="198.3"/>
    <n v="171.6"/>
    <n v="157.4"/>
    <n v="169.4"/>
    <n v="166.8"/>
    <n v="174.9"/>
    <n v="162.1"/>
    <n v="170.9"/>
    <n v="157.19999999999999"/>
    <n v="164.1"/>
    <n v="166.5"/>
    <n v="169.2"/>
    <n v="163.80000000000001"/>
    <n v="171.4"/>
  </r>
  <r>
    <s v="Rural+Urban"/>
    <x v="9"/>
    <x v="5"/>
    <n v="155"/>
    <n v="219.4"/>
    <n v="170.8"/>
    <n v="165.8"/>
    <n v="200.9"/>
    <n v="169.7"/>
    <n v="182.3"/>
    <n v="164.3"/>
    <n v="119.9"/>
    <n v="187.1"/>
    <n v="167.9"/>
    <n v="183.9"/>
    <n v="174.9"/>
    <n v="194.3"/>
    <n v="177.1"/>
    <n v="169.9"/>
    <n v="176"/>
    <n v="166.8"/>
    <n v="176"/>
    <n v="166.4"/>
    <n v="175.4"/>
    <n v="161.1"/>
    <n v="165.8"/>
    <n v="169"/>
    <n v="169.4"/>
    <n v="167.5"/>
    <n v="172.6"/>
  </r>
  <r>
    <s v="Rural"/>
    <x v="9"/>
    <x v="6"/>
    <n v="155.19999999999999"/>
    <n v="210.8"/>
    <n v="174.3"/>
    <n v="166.3"/>
    <n v="202.2"/>
    <n v="169.6"/>
    <n v="168.6"/>
    <n v="164.4"/>
    <n v="119.2"/>
    <n v="191.8"/>
    <n v="174.5"/>
    <n v="183.1"/>
    <n v="172.5"/>
    <n v="193.2"/>
    <n v="182"/>
    <n v="180.3"/>
    <n v="181.7"/>
    <s v="NA"/>
    <n v="179.6"/>
    <n v="171.3"/>
    <n v="178.8"/>
    <n v="166.3"/>
    <n v="168.6"/>
    <n v="174.7"/>
    <n v="169.7"/>
    <n v="171.8"/>
    <n v="174.3"/>
  </r>
  <r>
    <s v="Urban"/>
    <x v="9"/>
    <x v="6"/>
    <n v="159.30000000000001"/>
    <n v="217.1"/>
    <n v="176.6"/>
    <n v="167.1"/>
    <n v="184.8"/>
    <n v="179.5"/>
    <n v="208.5"/>
    <n v="164"/>
    <n v="121.5"/>
    <n v="186.3"/>
    <n v="159.80000000000001"/>
    <n v="187.7"/>
    <n v="179.4"/>
    <n v="198.6"/>
    <n v="172.7"/>
    <n v="158.69999999999999"/>
    <n v="170.6"/>
    <n v="167.8"/>
    <n v="179.5"/>
    <n v="163.1"/>
    <n v="171.7"/>
    <n v="157.4"/>
    <n v="164.6"/>
    <n v="169.1"/>
    <n v="169.8"/>
    <n v="164.7"/>
    <n v="172.3"/>
  </r>
  <r>
    <s v="Rural+Urban"/>
    <x v="9"/>
    <x v="6"/>
    <n v="156.5"/>
    <n v="213"/>
    <n v="175.2"/>
    <n v="166.6"/>
    <n v="195.8"/>
    <n v="174.2"/>
    <n v="182.1"/>
    <n v="164.3"/>
    <n v="120"/>
    <n v="190"/>
    <n v="168.4"/>
    <n v="185.2"/>
    <n v="175"/>
    <n v="194.6"/>
    <n v="178.3"/>
    <n v="171.3"/>
    <n v="177.3"/>
    <n v="167.8"/>
    <n v="179.6"/>
    <n v="167.4"/>
    <n v="176.1"/>
    <n v="161.6"/>
    <n v="166.3"/>
    <n v="171.4"/>
    <n v="169.7"/>
    <n v="168.4"/>
    <n v="173.4"/>
  </r>
  <r>
    <s v="Rural"/>
    <x v="9"/>
    <x v="7"/>
    <n v="159.5"/>
    <n v="204.1"/>
    <n v="168.3"/>
    <n v="167.9"/>
    <n v="198.1"/>
    <n v="169.2"/>
    <n v="173.1"/>
    <n v="167.1"/>
    <n v="120.2"/>
    <n v="195.6"/>
    <n v="174.8"/>
    <n v="184"/>
    <n v="173.9"/>
    <n v="193.7"/>
    <n v="183.2"/>
    <n v="181.7"/>
    <n v="183"/>
    <s v="NA"/>
    <n v="179.1"/>
    <n v="172.3"/>
    <n v="179.4"/>
    <n v="166.6"/>
    <n v="169.3"/>
    <n v="175.7"/>
    <n v="171.1"/>
    <n v="172.6"/>
    <n v="175.3"/>
  </r>
  <r>
    <s v="Urban"/>
    <x v="9"/>
    <x v="7"/>
    <n v="162.1"/>
    <n v="210.9"/>
    <n v="170.6"/>
    <n v="168.4"/>
    <n v="182.5"/>
    <n v="177.1"/>
    <n v="213.1"/>
    <n v="167.3"/>
    <n v="122.2"/>
    <n v="189.7"/>
    <n v="160.5"/>
    <n v="188.9"/>
    <n v="180.4"/>
    <n v="198.7"/>
    <n v="173.7"/>
    <n v="160"/>
    <n v="171.6"/>
    <n v="169"/>
    <n v="178.4"/>
    <n v="164.2"/>
    <n v="172.6"/>
    <n v="157.69999999999999"/>
    <n v="165.1"/>
    <n v="169.9"/>
    <n v="171.4"/>
    <n v="165.4"/>
    <n v="173.1"/>
  </r>
  <r>
    <s v="Rural+Urban"/>
    <x v="9"/>
    <x v="7"/>
    <n v="160.30000000000001"/>
    <n v="206.5"/>
    <n v="169.2"/>
    <n v="168.1"/>
    <n v="192.4"/>
    <n v="172.9"/>
    <n v="186.7"/>
    <n v="167.2"/>
    <n v="120.9"/>
    <n v="193.6"/>
    <n v="168.8"/>
    <n v="186.3"/>
    <n v="176.3"/>
    <n v="195"/>
    <n v="179.5"/>
    <n v="172.7"/>
    <n v="178.5"/>
    <n v="169"/>
    <n v="178.8"/>
    <n v="168.5"/>
    <n v="176.8"/>
    <n v="161.9"/>
    <n v="166.9"/>
    <n v="172.3"/>
    <n v="171.2"/>
    <n v="169.1"/>
    <n v="174.3"/>
  </r>
  <r>
    <s v="Rural"/>
    <x v="9"/>
    <x v="8"/>
    <n v="162.9"/>
    <n v="206.7"/>
    <n v="169"/>
    <n v="169.5"/>
    <n v="194.1"/>
    <n v="164.1"/>
    <n v="176.9"/>
    <n v="169"/>
    <n v="120.8"/>
    <n v="199.1"/>
    <n v="175.4"/>
    <n v="184.8"/>
    <n v="175.5"/>
    <n v="194.5"/>
    <n v="184.7"/>
    <n v="183.3"/>
    <n v="184.5"/>
    <s v="NA"/>
    <n v="179.7"/>
    <n v="173.6"/>
    <n v="180.2"/>
    <n v="166.9"/>
    <n v="170"/>
    <n v="176.2"/>
    <n v="170.8"/>
    <n v="173.1"/>
    <n v="176.4"/>
  </r>
  <r>
    <s v="Urban"/>
    <x v="9"/>
    <x v="8"/>
    <n v="164.9"/>
    <n v="213.7"/>
    <n v="170.9"/>
    <n v="170.1"/>
    <n v="179.3"/>
    <n v="167.5"/>
    <n v="220.8"/>
    <n v="169.2"/>
    <n v="123.1"/>
    <n v="193.6"/>
    <n v="161.1"/>
    <n v="190.4"/>
    <n v="181.8"/>
    <n v="199.7"/>
    <n v="175"/>
    <n v="161.69999999999999"/>
    <n v="173"/>
    <n v="169.5"/>
    <n v="179.2"/>
    <n v="165"/>
    <n v="173.8"/>
    <n v="158.19999999999999"/>
    <n v="165.8"/>
    <n v="170.9"/>
    <n v="171.1"/>
    <n v="166.1"/>
    <n v="174.1"/>
  </r>
  <r>
    <s v="Rural+Urban"/>
    <x v="9"/>
    <x v="8"/>
    <n v="163.5"/>
    <n v="209.2"/>
    <n v="169.7"/>
    <n v="169.7"/>
    <n v="188.7"/>
    <n v="165.7"/>
    <n v="191.8"/>
    <n v="169.1"/>
    <n v="121.6"/>
    <n v="197.3"/>
    <n v="169.4"/>
    <n v="187.4"/>
    <n v="177.8"/>
    <n v="195.9"/>
    <n v="180.9"/>
    <n v="174.3"/>
    <n v="179.9"/>
    <n v="169.5"/>
    <n v="179.5"/>
    <n v="169.5"/>
    <n v="177.8"/>
    <n v="162.30000000000001"/>
    <n v="167.6"/>
    <n v="173.1"/>
    <n v="170.9"/>
    <n v="169.7"/>
    <n v="175.3"/>
  </r>
  <r>
    <s v="Rural"/>
    <x v="9"/>
    <x v="9"/>
    <n v="164.7"/>
    <n v="208.8"/>
    <n v="170.3"/>
    <n v="170.9"/>
    <n v="191.6"/>
    <n v="162.19999999999999"/>
    <n v="184.8"/>
    <n v="169.7"/>
    <n v="121.1"/>
    <n v="201.6"/>
    <n v="175.8"/>
    <n v="185.6"/>
    <n v="177.4"/>
    <n v="194.9"/>
    <n v="186.1"/>
    <n v="184.4"/>
    <n v="185.9"/>
    <s v="NA"/>
    <n v="180.8"/>
    <n v="174.4"/>
    <n v="181.2"/>
    <n v="167.4"/>
    <n v="170.6"/>
    <n v="176.5"/>
    <n v="172"/>
    <n v="173.9"/>
    <n v="177.9"/>
  </r>
  <r>
    <s v="Urban"/>
    <x v="9"/>
    <x v="9"/>
    <n v="166.4"/>
    <n v="214.9"/>
    <n v="171.9"/>
    <n v="171"/>
    <n v="177.7"/>
    <n v="165.7"/>
    <n v="228.6"/>
    <n v="169.9"/>
    <n v="123.4"/>
    <n v="196.4"/>
    <n v="161.6"/>
    <n v="191.5"/>
    <n v="183.3"/>
    <n v="200.1"/>
    <n v="175.5"/>
    <n v="162.6"/>
    <n v="173.6"/>
    <n v="171.2"/>
    <n v="180"/>
    <n v="166"/>
    <n v="174.7"/>
    <n v="158.80000000000001"/>
    <n v="166.3"/>
    <n v="171.2"/>
    <n v="172.3"/>
    <n v="166.8"/>
    <n v="175.3"/>
  </r>
  <r>
    <s v="Rural+Urban"/>
    <x v="9"/>
    <x v="9"/>
    <n v="165.2"/>
    <n v="210.9"/>
    <n v="170.9"/>
    <n v="170.9"/>
    <n v="186.5"/>
    <n v="163.80000000000001"/>
    <n v="199.7"/>
    <n v="169.8"/>
    <n v="121.9"/>
    <n v="199.9"/>
    <n v="169.9"/>
    <n v="188.3"/>
    <n v="179.6"/>
    <n v="196.3"/>
    <n v="181.9"/>
    <n v="175.3"/>
    <n v="181"/>
    <n v="171.2"/>
    <n v="180.5"/>
    <n v="170.4"/>
    <n v="178.7"/>
    <n v="162.9"/>
    <n v="168.2"/>
    <n v="173.4"/>
    <n v="172.1"/>
    <n v="170.5"/>
    <n v="176.7"/>
  </r>
  <r>
    <s v="Rural"/>
    <x v="9"/>
    <x v="11"/>
    <n v="166.9"/>
    <n v="207.2"/>
    <n v="180.2"/>
    <n v="172.3"/>
    <n v="194"/>
    <n v="159.1"/>
    <n v="171.6"/>
    <n v="170.2"/>
    <n v="121.5"/>
    <n v="204.8"/>
    <n v="176.4"/>
    <n v="186.9"/>
    <n v="176.6"/>
    <n v="195.5"/>
    <n v="187.2"/>
    <n v="185.2"/>
    <n v="186.9"/>
    <s v="NA"/>
    <n v="181.9"/>
    <n v="175.5"/>
    <n v="182.3"/>
    <n v="167.5"/>
    <n v="170.8"/>
    <n v="176.9"/>
    <n v="173.4"/>
    <n v="174.6"/>
    <n v="177.8"/>
  </r>
  <r>
    <s v="Urban"/>
    <x v="9"/>
    <x v="11"/>
    <n v="168.4"/>
    <n v="213.4"/>
    <n v="183.2"/>
    <n v="172.3"/>
    <n v="180"/>
    <n v="162.6"/>
    <n v="205.5"/>
    <n v="171"/>
    <n v="123.4"/>
    <n v="198.8"/>
    <n v="162.1"/>
    <n v="192.4"/>
    <n v="181.3"/>
    <n v="200.6"/>
    <n v="176.7"/>
    <n v="163.5"/>
    <n v="174.7"/>
    <n v="171.8"/>
    <n v="180.3"/>
    <n v="166.9"/>
    <n v="175.8"/>
    <n v="158.9"/>
    <n v="166.7"/>
    <n v="171.5"/>
    <n v="173.8"/>
    <n v="167.4"/>
    <n v="174.1"/>
  </r>
  <r>
    <s v="Rural+Urban"/>
    <x v="9"/>
    <x v="11"/>
    <n v="167.4"/>
    <n v="209.4"/>
    <n v="181.4"/>
    <n v="172.3"/>
    <n v="188.9"/>
    <n v="160.69999999999999"/>
    <n v="183.1"/>
    <n v="170.5"/>
    <n v="122.1"/>
    <n v="202.8"/>
    <n v="170.4"/>
    <n v="189.5"/>
    <n v="178.3"/>
    <n v="196.9"/>
    <n v="183.1"/>
    <n v="176.2"/>
    <n v="182.1"/>
    <n v="171.8"/>
    <n v="181.3"/>
    <n v="171.4"/>
    <n v="179.8"/>
    <n v="163"/>
    <n v="168.5"/>
    <n v="173.7"/>
    <n v="173.6"/>
    <n v="171.1"/>
    <n v="176.5"/>
  </r>
  <r>
    <s v="Rural"/>
    <x v="9"/>
    <x v="12"/>
    <n v="168.8"/>
    <n v="206.9"/>
    <n v="189.1"/>
    <n v="173.4"/>
    <n v="193.9"/>
    <n v="156.69999999999999"/>
    <n v="150.19999999999999"/>
    <n v="170.5"/>
    <n v="121.2"/>
    <n v="207.5"/>
    <n v="176.8"/>
    <n v="187.7"/>
    <n v="174.4"/>
    <n v="195.9"/>
    <n v="188.1"/>
    <n v="185.9"/>
    <n v="187.8"/>
    <s v="NA"/>
    <n v="182.8"/>
    <n v="176.4"/>
    <n v="183.5"/>
    <n v="167.8"/>
    <n v="171.2"/>
    <n v="177.3"/>
    <n v="175.7"/>
    <n v="175.5"/>
    <n v="177.1"/>
  </r>
  <r>
    <s v="Urban"/>
    <x v="9"/>
    <x v="12"/>
    <n v="170.2"/>
    <n v="212.9"/>
    <n v="191.9"/>
    <n v="173.9"/>
    <n v="179.1"/>
    <n v="159.5"/>
    <n v="178.7"/>
    <n v="171.3"/>
    <n v="123.1"/>
    <n v="200.5"/>
    <n v="162.80000000000001"/>
    <n v="193.3"/>
    <n v="178.6"/>
    <n v="201.1"/>
    <n v="177.7"/>
    <n v="164.5"/>
    <n v="175.7"/>
    <n v="170.7"/>
    <n v="180.6"/>
    <n v="167.3"/>
    <n v="177.2"/>
    <n v="159.4"/>
    <n v="167.1"/>
    <n v="171.8"/>
    <n v="176"/>
    <n v="168.2"/>
    <n v="174.1"/>
  </r>
  <r>
    <s v="Rural+Urban"/>
    <x v="9"/>
    <x v="12"/>
    <n v="169.2"/>
    <n v="209"/>
    <n v="190.2"/>
    <n v="173.6"/>
    <n v="188.5"/>
    <n v="158"/>
    <n v="159.9"/>
    <n v="170.8"/>
    <n v="121.8"/>
    <n v="205.2"/>
    <n v="171"/>
    <n v="190.3"/>
    <n v="175.9"/>
    <n v="197.3"/>
    <n v="184"/>
    <n v="177"/>
    <n v="183"/>
    <n v="170.7"/>
    <n v="182"/>
    <n v="172.1"/>
    <n v="181.1"/>
    <n v="163.4"/>
    <n v="168.9"/>
    <n v="174.1"/>
    <n v="175.8"/>
    <n v="172"/>
    <n v="175.7"/>
  </r>
  <r>
    <s v="Rural"/>
    <x v="10"/>
    <x v="0"/>
    <n v="174"/>
    <n v="208.3"/>
    <n v="192.9"/>
    <n v="174.3"/>
    <n v="192.6"/>
    <n v="156.30000000000001"/>
    <n v="142.9"/>
    <n v="170.7"/>
    <n v="120.3"/>
    <n v="210.5"/>
    <n v="176.9"/>
    <n v="188.5"/>
    <n v="175"/>
    <n v="196.9"/>
    <n v="189"/>
    <n v="186.3"/>
    <n v="188.6"/>
    <s v="NA"/>
    <n v="183.2"/>
    <n v="177.2"/>
    <n v="184.7"/>
    <n v="168.2"/>
    <n v="171.8"/>
    <n v="177.8"/>
    <n v="178.4"/>
    <n v="176.5"/>
    <n v="177.8"/>
  </r>
  <r>
    <s v="Urban"/>
    <x v="10"/>
    <x v="0"/>
    <n v="173.3"/>
    <n v="215.2"/>
    <n v="197"/>
    <n v="175.2"/>
    <n v="178"/>
    <n v="160.5"/>
    <n v="175.3"/>
    <n v="171.2"/>
    <n v="122.7"/>
    <n v="204.3"/>
    <n v="163.69999999999999"/>
    <n v="194.3"/>
    <n v="179.5"/>
    <n v="201.6"/>
    <n v="178.7"/>
    <n v="165.3"/>
    <n v="176.6"/>
    <n v="172.1"/>
    <n v="180.1"/>
    <n v="168"/>
    <n v="178.5"/>
    <n v="159.5"/>
    <n v="167.8"/>
    <n v="171.8"/>
    <n v="178.8"/>
    <n v="168.9"/>
    <n v="174.9"/>
  </r>
  <r>
    <s v="Rural+Urban"/>
    <x v="10"/>
    <x v="0"/>
    <n v="173.8"/>
    <n v="210.7"/>
    <n v="194.5"/>
    <n v="174.6"/>
    <n v="187.2"/>
    <n v="158.30000000000001"/>
    <n v="153.9"/>
    <n v="170.9"/>
    <n v="121.1"/>
    <n v="208.4"/>
    <n v="171.4"/>
    <n v="191.2"/>
    <n v="176.7"/>
    <n v="198.2"/>
    <n v="184.9"/>
    <n v="177.6"/>
    <n v="183.8"/>
    <n v="172.1"/>
    <n v="182"/>
    <n v="172.9"/>
    <n v="182.3"/>
    <n v="163.6"/>
    <n v="169.5"/>
    <n v="174.3"/>
    <n v="178.6"/>
    <n v="172.8"/>
    <n v="176.5"/>
  </r>
  <r>
    <s v="Rural"/>
    <x v="10"/>
    <x v="1"/>
    <n v="174.2"/>
    <n v="205.2"/>
    <n v="173.9"/>
    <n v="177"/>
    <n v="183.4"/>
    <n v="167.2"/>
    <n v="140.9"/>
    <n v="170.4"/>
    <n v="119.1"/>
    <n v="212.1"/>
    <n v="177.6"/>
    <n v="189.9"/>
    <n v="174.8"/>
    <n v="198.3"/>
    <n v="190"/>
    <n v="187"/>
    <n v="189.6"/>
    <s v="NA"/>
    <n v="181.6"/>
    <n v="178.6"/>
    <n v="186.6"/>
    <n v="169"/>
    <n v="172.8"/>
    <n v="178.5"/>
    <n v="180.7"/>
    <n v="177.9"/>
    <n v="178"/>
  </r>
  <r>
    <s v="Urban"/>
    <x v="10"/>
    <x v="1"/>
    <n v="174.7"/>
    <n v="212.2"/>
    <n v="177.2"/>
    <n v="177.9"/>
    <n v="172.2"/>
    <n v="172.1"/>
    <n v="175.8"/>
    <n v="172.2"/>
    <n v="121.9"/>
    <n v="204.8"/>
    <n v="164.9"/>
    <n v="196.6"/>
    <n v="180.7"/>
    <n v="202.7"/>
    <n v="180.3"/>
    <n v="167"/>
    <n v="178.2"/>
    <n v="173.5"/>
    <n v="182.8"/>
    <n v="169.2"/>
    <n v="180.8"/>
    <n v="159.80000000000001"/>
    <n v="168.4"/>
    <n v="172.5"/>
    <n v="181.4"/>
    <n v="170"/>
    <n v="176.3"/>
  </r>
  <r>
    <s v="Rural+Urban"/>
    <x v="10"/>
    <x v="1"/>
    <n v="174.4"/>
    <n v="207.7"/>
    <n v="175.2"/>
    <n v="177.3"/>
    <n v="179.3"/>
    <n v="169.5"/>
    <n v="152.69999999999999"/>
    <n v="171"/>
    <n v="120"/>
    <n v="209.7"/>
    <n v="172.3"/>
    <n v="193"/>
    <n v="177"/>
    <n v="199.5"/>
    <n v="186.2"/>
    <n v="178.7"/>
    <n v="185.1"/>
    <n v="173.5"/>
    <n v="182.1"/>
    <n v="174.2"/>
    <n v="184.4"/>
    <n v="164.2"/>
    <n v="170.3"/>
    <n v="175"/>
    <n v="181"/>
    <n v="174.1"/>
    <n v="177.2"/>
  </r>
  <r>
    <s v="Rural"/>
    <x v="10"/>
    <x v="2"/>
    <n v="174.3"/>
    <n v="205.2"/>
    <n v="173.9"/>
    <n v="177"/>
    <n v="183.3"/>
    <n v="167.2"/>
    <n v="140.9"/>
    <n v="170.5"/>
    <n v="119.1"/>
    <n v="212.1"/>
    <n v="177.6"/>
    <n v="189.9"/>
    <n v="174.8"/>
    <n v="198.4"/>
    <n v="190"/>
    <n v="187"/>
    <n v="189.6"/>
    <s v="NA"/>
    <n v="181.4"/>
    <n v="178.6"/>
    <n v="186.6"/>
    <n v="169"/>
    <n v="172.8"/>
    <n v="178.5"/>
    <n v="180.7"/>
    <n v="177.9"/>
    <n v="178"/>
  </r>
  <r>
    <s v="Urban"/>
    <x v="10"/>
    <x v="2"/>
    <n v="174.7"/>
    <n v="212.2"/>
    <n v="177.2"/>
    <n v="177.9"/>
    <n v="172.2"/>
    <n v="172.1"/>
    <n v="175.9"/>
    <n v="172.2"/>
    <n v="121.9"/>
    <n v="204.8"/>
    <n v="164.9"/>
    <n v="196.6"/>
    <n v="180.8"/>
    <n v="202.7"/>
    <n v="180.2"/>
    <n v="167"/>
    <n v="178.2"/>
    <n v="173.5"/>
    <n v="182.6"/>
    <n v="169.2"/>
    <n v="180.8"/>
    <n v="159.80000000000001"/>
    <n v="168.4"/>
    <n v="172.5"/>
    <n v="181.5"/>
    <n v="170"/>
    <n v="176.3"/>
  </r>
  <r>
    <s v="Rural+Urban"/>
    <x v="10"/>
    <x v="2"/>
    <n v="174.4"/>
    <n v="207.7"/>
    <n v="175.2"/>
    <n v="177.3"/>
    <n v="179.2"/>
    <n v="169.5"/>
    <n v="152.80000000000001"/>
    <n v="171.1"/>
    <n v="120"/>
    <n v="209.7"/>
    <n v="172.3"/>
    <n v="193"/>
    <n v="177"/>
    <n v="199.5"/>
    <n v="186.1"/>
    <n v="178.7"/>
    <n v="185.1"/>
    <n v="173.5"/>
    <n v="181.9"/>
    <n v="174.2"/>
    <n v="184.4"/>
    <n v="164.2"/>
    <n v="170.3"/>
    <n v="175"/>
    <n v="181"/>
    <n v="174.1"/>
    <n v="177.2"/>
  </r>
  <r>
    <s v="Rural"/>
    <x v="10"/>
    <x v="3"/>
    <n v="173.3"/>
    <n v="206.9"/>
    <n v="167.9"/>
    <n v="178.2"/>
    <n v="178.5"/>
    <n v="173.7"/>
    <n v="142.80000000000001"/>
    <n v="172.8"/>
    <n v="120.4"/>
    <n v="215.5"/>
    <n v="178.2"/>
    <n v="190.5"/>
    <n v="175.5"/>
    <n v="199.5"/>
    <n v="190.7"/>
    <n v="187.3"/>
    <n v="190.2"/>
    <s v="-"/>
    <n v="181.5"/>
    <n v="179.1"/>
    <n v="187.2"/>
    <n v="169.4"/>
    <n v="173.2"/>
    <n v="179.4"/>
    <n v="183.8"/>
    <n v="178.9"/>
    <n v="178.8"/>
  </r>
  <r>
    <s v="Urban"/>
    <x v="10"/>
    <x v="3"/>
    <n v="174.8"/>
    <n v="213.7"/>
    <n v="172.4"/>
    <n v="178.8"/>
    <n v="168.7"/>
    <n v="179.2"/>
    <n v="179.9"/>
    <n v="174.7"/>
    <n v="123.1"/>
    <n v="207.8"/>
    <n v="165.5"/>
    <n v="197"/>
    <n v="182.1"/>
    <n v="203.5"/>
    <n v="181"/>
    <n v="167.7"/>
    <n v="178.9"/>
    <n v="175.2"/>
    <n v="182.1"/>
    <n v="169.6"/>
    <n v="181.5"/>
    <n v="160.1"/>
    <n v="168.8"/>
    <n v="174.2"/>
    <n v="184.4"/>
    <n v="170.9"/>
    <n v="177.4"/>
  </r>
  <r>
    <s v="Rural+Urban"/>
    <x v="10"/>
    <x v="3"/>
    <n v="173.8"/>
    <n v="209.3"/>
    <n v="169.6"/>
    <n v="178.4"/>
    <n v="174.9"/>
    <n v="176.3"/>
    <n v="155.4"/>
    <n v="173.4"/>
    <n v="121.3"/>
    <n v="212.9"/>
    <n v="172.9"/>
    <n v="193.5"/>
    <n v="177.9"/>
    <n v="200.6"/>
    <n v="186.9"/>
    <n v="179.2"/>
    <n v="185.7"/>
    <n v="175.2"/>
    <n v="181.7"/>
    <n v="174.6"/>
    <n v="185"/>
    <n v="164.5"/>
    <n v="170.7"/>
    <n v="176.4"/>
    <n v="184"/>
    <n v="175"/>
    <n v="178.1"/>
  </r>
  <r>
    <s v="Rural"/>
    <x v="10"/>
    <x v="4"/>
    <n v="173.2"/>
    <n v="211.5"/>
    <n v="171"/>
    <n v="179.6"/>
    <n v="173.3"/>
    <n v="169"/>
    <n v="148.69999999999999"/>
    <n v="174.9"/>
    <n v="121.9"/>
    <n v="221"/>
    <n v="178.7"/>
    <n v="191.1"/>
    <n v="176.8"/>
    <n v="199.9"/>
    <n v="191.2"/>
    <n v="187.9"/>
    <n v="190.8"/>
    <s v="-"/>
    <n v="182.5"/>
    <n v="179.8"/>
    <n v="187.8"/>
    <n v="169.7"/>
    <n v="173.8"/>
    <n v="180.3"/>
    <n v="184.9"/>
    <n v="179.5"/>
    <n v="179.8"/>
  </r>
  <r>
    <s v="Urban"/>
    <x v="10"/>
    <x v="4"/>
    <n v="174.7"/>
    <n v="219.4"/>
    <n v="176.7"/>
    <n v="179.4"/>
    <n v="164.4"/>
    <n v="175.8"/>
    <n v="185"/>
    <n v="176.9"/>
    <n v="124.2"/>
    <n v="211.9"/>
    <n v="165.9"/>
    <n v="197.7"/>
    <n v="183.1"/>
    <n v="204.2"/>
    <n v="181.3"/>
    <n v="168.1"/>
    <n v="179.3"/>
    <n v="175.6"/>
    <n v="183.4"/>
    <n v="170.1"/>
    <n v="182.2"/>
    <n v="160.4"/>
    <n v="169.2"/>
    <n v="174.8"/>
    <n v="185.6"/>
    <n v="171.6"/>
    <n v="178.2"/>
  </r>
  <r>
    <s v="Rural+Urban"/>
    <x v="10"/>
    <x v="4"/>
    <n v="173.7"/>
    <n v="214.3"/>
    <n v="173.2"/>
    <n v="179.5"/>
    <n v="170"/>
    <n v="172.2"/>
    <n v="161"/>
    <n v="175.6"/>
    <n v="122.7"/>
    <n v="218"/>
    <n v="173.4"/>
    <n v="194.2"/>
    <n v="179.1"/>
    <n v="201"/>
    <n v="187.3"/>
    <n v="179.7"/>
    <n v="186.2"/>
    <n v="175.6"/>
    <n v="182.8"/>
    <n v="175.2"/>
    <n v="185.7"/>
    <n v="164.8"/>
    <n v="171.2"/>
    <n v="177.1"/>
    <n v="185.2"/>
    <n v="175.7"/>
    <n v="17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04CCF1-2D82-4CBD-B3D5-81C6100CE87F}" name="PivotTable1"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K6" firstHeaderRow="0" firstDataRow="1" firstDataCol="1" rowPageCount="2" colPageCount="1"/>
  <pivotFields count="32">
    <pivotField axis="axisPage" multipleItemSelectionAllowed="1" showAll="0">
      <items count="4">
        <item x="0"/>
        <item h="1" x="2"/>
        <item h="1" x="1"/>
        <item t="default"/>
      </items>
    </pivotField>
    <pivotField axis="axisPage" multipleItemSelectionAllowed="1" showAll="0">
      <items count="12">
        <item h="1" x="0"/>
        <item h="1" x="1"/>
        <item h="1" x="2"/>
        <item h="1" x="3"/>
        <item h="1" x="4"/>
        <item h="1" x="5"/>
        <item h="1" x="6"/>
        <item h="1" x="7"/>
        <item h="1" x="8"/>
        <item h="1" x="9"/>
        <item x="10"/>
        <item t="default"/>
      </items>
    </pivotField>
    <pivotField axis="axisRow" showAll="0">
      <items count="14">
        <item h="1" x="0"/>
        <item h="1" x="1"/>
        <item h="1" x="2"/>
        <item h="1" x="3"/>
        <item x="4"/>
        <item h="1" x="5"/>
        <item h="1" x="6"/>
        <item h="1" x="7"/>
        <item h="1" x="8"/>
        <item h="1" x="9"/>
        <item h="1" x="11"/>
        <item h="1" x="12"/>
        <item h="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dataField="1" showAll="0"/>
    <pivotField showAll="0"/>
    <pivotField showAll="0"/>
    <pivotField dataField="1" showAll="0"/>
    <pivotField dataField="1" showAll="0"/>
    <pivotField dataField="1" showAll="0"/>
    <pivotField dataField="1" showAll="0"/>
    <pivotField showAll="0"/>
    <pivotField dataField="1" showAll="0"/>
    <pivotField dataField="1" showAll="0"/>
    <pivotField dataField="1" showAll="0"/>
    <pivotField showAll="0"/>
  </pivotFields>
  <rowFields count="1">
    <field x="2"/>
  </rowFields>
  <rowItems count="2">
    <i>
      <x v="4"/>
    </i>
    <i t="grand">
      <x/>
    </i>
  </rowItems>
  <colFields count="1">
    <field x="-2"/>
  </colFields>
  <colItems count="10">
    <i>
      <x/>
    </i>
    <i i="1">
      <x v="1"/>
    </i>
    <i i="2">
      <x v="2"/>
    </i>
    <i i="3">
      <x v="3"/>
    </i>
    <i i="4">
      <x v="4"/>
    </i>
    <i i="5">
      <x v="5"/>
    </i>
    <i i="6">
      <x v="6"/>
    </i>
    <i i="7">
      <x v="7"/>
    </i>
    <i i="8">
      <x v="8"/>
    </i>
    <i i="9">
      <x v="9"/>
    </i>
  </colItems>
  <pageFields count="2">
    <pageField fld="1" hier="-1"/>
    <pageField fld="0" hier="-1"/>
  </pageFields>
  <dataFields count="10">
    <dataField name="Average of Food_bucket" fld="15" subtotal="average" baseField="2" baseItem="4"/>
    <dataField name="Average of CF_Bucket" fld="20" subtotal="average" baseField="2" baseItem="4"/>
    <dataField name="Average of Pan, tobacco and intoxicants" fld="17" subtotal="average" baseField="2" baseItem="4"/>
    <dataField name="Average of Fuel and light" fld="23" subtotal="average" baseField="2" baseItem="4"/>
    <dataField name="Average of Household goods and services" fld="24" subtotal="average" baseField="2" baseItem="4"/>
    <dataField name="Average of Health" fld="25" subtotal="average" baseField="2" baseItem="4"/>
    <dataField name="Average of Transport and communication" fld="26" subtotal="average" baseField="2" baseItem="4"/>
    <dataField name="Average of Education" fld="28" subtotal="average" baseField="2" baseItem="4"/>
    <dataField name="Average of Personal care and effects" fld="29" subtotal="average" baseField="2" baseItem="4"/>
    <dataField name="Average of Miscellaneous" fld="30" subtotal="average" baseField="2" baseItem="4"/>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8771A0-95AF-4A7E-8F79-C833BA2520B0}" name="PivotTable8" cacheId="3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5" firstHeaderRow="1" firstDataRow="1" firstDataCol="1" rowPageCount="1" colPageCount="1"/>
  <pivotFields count="29">
    <pivotField axis="axisPage" multipleItemSelectionAllowed="1" showAll="0">
      <items count="4">
        <item h="1" x="0"/>
        <item x="2"/>
        <item x="1"/>
        <item t="default"/>
      </items>
    </pivotField>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12">
    <i>
      <x/>
    </i>
    <i>
      <x v="1"/>
    </i>
    <i>
      <x v="2"/>
    </i>
    <i>
      <x v="3"/>
    </i>
    <i>
      <x v="4"/>
    </i>
    <i>
      <x v="5"/>
    </i>
    <i>
      <x v="6"/>
    </i>
    <i>
      <x v="7"/>
    </i>
    <i>
      <x v="8"/>
    </i>
    <i>
      <x v="9"/>
    </i>
    <i>
      <x v="10"/>
    </i>
    <i t="grand">
      <x/>
    </i>
  </rowItems>
  <colItems count="1">
    <i/>
  </colItems>
  <pageFields count="1">
    <pageField fld="0" hier="-1"/>
  </pageFields>
  <dataFields count="1">
    <dataField name="Average of Combined" fld="27" subtotal="average" baseField="1"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09FA8A-9AB1-484F-B1DF-08E43537F1DD}" name="PivotTable11"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9" firstHeaderRow="1" firstDataRow="1" firstDataCol="1" rowPageCount="1" colPageCount="1"/>
  <pivotFields count="32">
    <pivotField showAll="0"/>
    <pivotField axis="axisPage" multipleItemSelectionAllowed="1" showAll="0">
      <items count="12">
        <item h="1" x="0"/>
        <item h="1" x="1"/>
        <item h="1" x="2"/>
        <item h="1" x="3"/>
        <item h="1" x="4"/>
        <item h="1" x="5"/>
        <item h="1" x="6"/>
        <item h="1" x="7"/>
        <item h="1" x="8"/>
        <item h="1" x="9"/>
        <item x="10"/>
        <item t="default"/>
      </items>
    </pivotField>
    <pivotField axis="axisRow" showAll="0">
      <items count="14">
        <item x="0"/>
        <item x="1"/>
        <item x="2"/>
        <item x="3"/>
        <item x="4"/>
        <item x="5"/>
        <item x="6"/>
        <item x="7"/>
        <item x="8"/>
        <item x="9"/>
        <item x="11"/>
        <item x="12"/>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pageFields count="1">
    <pageField fld="1" hier="-1"/>
  </pageFields>
  <dataFields count="1">
    <dataField name="Average of Food_bucket" fld="15" subtotal="average" baseField="2"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293879-FA12-4521-8F99-795BBD1D2893}" name="PivotTable14" cacheId="3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M9" firstHeaderRow="0" firstDataRow="1" firstDataCol="1" rowPageCount="1" colPageCount="1"/>
  <pivotFields count="30">
    <pivotField showAll="0"/>
    <pivotField axis="axisPage" multipleItemSelectionAllowed="1" showAll="0">
      <items count="12">
        <item h="1" x="0"/>
        <item h="1" x="1"/>
        <item h="1" x="2"/>
        <item h="1" x="3"/>
        <item h="1" x="4"/>
        <item h="1" x="5"/>
        <item h="1" x="6"/>
        <item h="1" x="7"/>
        <item h="1" x="8"/>
        <item h="1" x="9"/>
        <item x="10"/>
        <item t="default"/>
      </items>
    </pivotField>
    <pivotField axis="axisRow" showAll="0">
      <items count="14">
        <item x="0"/>
        <item x="1"/>
        <item x="2"/>
        <item x="3"/>
        <item x="4"/>
        <item x="5"/>
        <item x="6"/>
        <item x="7"/>
        <item x="8"/>
        <item x="9"/>
        <item x="11"/>
        <item x="12"/>
        <item x="10"/>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2"/>
  </colFields>
  <colItems count="12">
    <i>
      <x/>
    </i>
    <i i="1">
      <x v="1"/>
    </i>
    <i i="2">
      <x v="2"/>
    </i>
    <i i="3">
      <x v="3"/>
    </i>
    <i i="4">
      <x v="4"/>
    </i>
    <i i="5">
      <x v="5"/>
    </i>
    <i i="6">
      <x v="6"/>
    </i>
    <i i="7">
      <x v="7"/>
    </i>
    <i i="8">
      <x v="8"/>
    </i>
    <i i="9">
      <x v="9"/>
    </i>
    <i i="10">
      <x v="10"/>
    </i>
    <i i="11">
      <x v="11"/>
    </i>
  </colItems>
  <pageFields count="1">
    <pageField fld="1" hier="-1"/>
  </pageFields>
  <dataFields count="12">
    <dataField name="Average of Cereals and products" fld="3" subtotal="average" baseField="2" baseItem="0"/>
    <dataField name="Average of Meat and fish" fld="4" subtotal="average" baseField="2" baseItem="0"/>
    <dataField name="Average of Egg" fld="5" subtotal="average" baseField="2" baseItem="0"/>
    <dataField name="Average of Milk and products" fld="6" subtotal="average" baseField="2" baseItem="0"/>
    <dataField name="Average of Oils and fats" fld="7" subtotal="average" baseField="2" baseItem="0"/>
    <dataField name="Average of Fruits" fld="8" subtotal="average" baseField="2" baseItem="0"/>
    <dataField name="Average of Vegetables" fld="9" subtotal="average" baseField="2" baseItem="0"/>
    <dataField name="Average of Pulses and products" fld="10" subtotal="average" baseField="2" baseItem="0"/>
    <dataField name="Average of Sugar and Confectionery" fld="11" subtotal="average" baseField="2" baseItem="0"/>
    <dataField name="Average of Spices" fld="12" subtotal="average" baseField="2" baseItem="0"/>
    <dataField name="Average of Non-alcoholic beverages" fld="13" subtotal="average" baseField="2" baseItem="0"/>
    <dataField name="Average of Prepared meals, snacks, sweets etc." fld="14" subtotal="average" baseField="2"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593055-BE36-4DF2-8BC7-9AA8ECA7B557}" name="PivotTable15"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16" firstHeaderRow="0" firstDataRow="1" firstDataCol="1" rowPageCount="1" colPageCount="1"/>
  <pivotFields count="32">
    <pivotField showAll="0"/>
    <pivotField axis="axisPage" multipleItemSelectionAllowed="1" showAll="0">
      <items count="12">
        <item h="1" x="0"/>
        <item h="1" x="1"/>
        <item h="1" x="2"/>
        <item h="1" x="3"/>
        <item h="1" x="4"/>
        <item h="1" x="5"/>
        <item h="1" x="6"/>
        <item x="7"/>
        <item h="1" x="8"/>
        <item h="1" x="9"/>
        <item h="1" x="10"/>
        <item t="default"/>
      </items>
    </pivotField>
    <pivotField axis="axisRow" showAll="0">
      <items count="14">
        <item x="0"/>
        <item x="1"/>
        <item x="2"/>
        <item x="3"/>
        <item x="4"/>
        <item x="5"/>
        <item x="6"/>
        <item x="7"/>
        <item x="8"/>
        <item x="9"/>
        <item x="11"/>
        <item x="12"/>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Fields count="1">
    <field x="-2"/>
  </colFields>
  <colItems count="4">
    <i>
      <x/>
    </i>
    <i i="1">
      <x v="1"/>
    </i>
    <i i="2">
      <x v="2"/>
    </i>
    <i i="3">
      <x v="3"/>
    </i>
  </colItems>
  <pageFields count="1">
    <pageField fld="1" hier="-1"/>
  </pageFields>
  <dataFields count="4">
    <dataField name="Average of Food_bucket" fld="15" subtotal="average" baseField="2" baseItem="0"/>
    <dataField name="Average of Health" fld="25" subtotal="average" baseField="2" baseItem="0"/>
    <dataField name="Average of Fuel and light" fld="23" subtotal="average" baseField="2" baseItem="0"/>
    <dataField name="Average of Household goods and services" fld="24" subtotal="average" baseField="2"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52B216-91E4-4990-BA21-AC6F0649E532}" name="PivotTable1"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G16" firstHeaderRow="0" firstDataRow="1" firstDataCol="1" rowPageCount="1" colPageCount="1"/>
  <pivotFields count="32">
    <pivotField showAll="0"/>
    <pivotField axis="axisPage" multipleItemSelectionAllowed="1" showAll="0">
      <items count="12">
        <item h="1" x="0"/>
        <item h="1" x="1"/>
        <item h="1" x="2"/>
        <item h="1" x="3"/>
        <item h="1" x="4"/>
        <item h="1" x="5"/>
        <item h="1" x="6"/>
        <item x="7"/>
        <item h="1" x="8"/>
        <item h="1" x="9"/>
        <item h="1" x="10"/>
        <item t="default"/>
      </items>
    </pivotField>
    <pivotField axis="axisRow" showAll="0">
      <items count="14">
        <item x="0"/>
        <item x="1"/>
        <item x="2"/>
        <item x="3"/>
        <item x="4"/>
        <item x="5"/>
        <item x="6"/>
        <item x="7"/>
        <item x="8"/>
        <item x="9"/>
        <item x="11"/>
        <item x="12"/>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Fields count="1">
    <field x="-2"/>
  </colFields>
  <colItems count="6">
    <i>
      <x/>
    </i>
    <i i="1">
      <x v="1"/>
    </i>
    <i i="2">
      <x v="2"/>
    </i>
    <i i="3">
      <x v="3"/>
    </i>
    <i i="4">
      <x v="4"/>
    </i>
    <i i="5">
      <x v="5"/>
    </i>
  </colItems>
  <pageFields count="1">
    <pageField fld="1" hier="-1"/>
  </pageFields>
  <dataFields count="6">
    <dataField name="Average of Food_bucket" fld="15" subtotal="average" baseField="2" baseItem="0"/>
    <dataField name="Average of Household goods and services" fld="24" subtotal="average" baseField="2" baseItem="0"/>
    <dataField name="Average of Housing" fld="22" subtotal="average" baseField="2" baseItem="0"/>
    <dataField name="Average of Transport and communication" fld="26" subtotal="average" baseField="2" baseItem="0"/>
    <dataField name="Average of Health" fld="25" subtotal="average" baseField="2" baseItem="0"/>
    <dataField name="Average of Fuel and light" fld="23" subtotal="average" baseField="2"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917FC1-4CD5-41E0-846B-A03D5DF53A68}" name="PivotTable1"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H9" firstHeaderRow="0" firstDataRow="1" firstDataCol="1" rowPageCount="1" colPageCount="1"/>
  <pivotFields count="32">
    <pivotField showAll="0"/>
    <pivotField axis="axisPage" multipleItemSelectionAllowed="1" showAll="0">
      <items count="12">
        <item h="1" x="0"/>
        <item h="1" x="1"/>
        <item h="1" x="2"/>
        <item h="1" x="3"/>
        <item h="1" x="4"/>
        <item h="1" x="5"/>
        <item h="1" x="6"/>
        <item h="1" x="7"/>
        <item h="1" x="8"/>
        <item h="1" x="9"/>
        <item x="10"/>
        <item t="default"/>
      </items>
    </pivotField>
    <pivotField axis="axisRow" showAll="0">
      <items count="14">
        <item x="0"/>
        <item x="1"/>
        <item x="2"/>
        <item x="3"/>
        <item x="4"/>
        <item x="5"/>
        <item x="6"/>
        <item x="7"/>
        <item x="8"/>
        <item x="9"/>
        <item x="11"/>
        <item x="12"/>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s>
  <rowFields count="1">
    <field x="2"/>
  </rowFields>
  <rowItems count="6">
    <i>
      <x/>
    </i>
    <i>
      <x v="1"/>
    </i>
    <i>
      <x v="2"/>
    </i>
    <i>
      <x v="3"/>
    </i>
    <i>
      <x v="4"/>
    </i>
    <i t="grand">
      <x/>
    </i>
  </rowItems>
  <colFields count="1">
    <field x="-2"/>
  </colFields>
  <colItems count="7">
    <i>
      <x/>
    </i>
    <i i="1">
      <x v="1"/>
    </i>
    <i i="2">
      <x v="2"/>
    </i>
    <i i="3">
      <x v="3"/>
    </i>
    <i i="4">
      <x v="4"/>
    </i>
    <i i="5">
      <x v="5"/>
    </i>
    <i i="6">
      <x v="6"/>
    </i>
  </colItems>
  <pageFields count="1">
    <pageField fld="1" hier="-1"/>
  </pageFields>
  <dataFields count="7">
    <dataField name="Average of Food_bucket" fld="15" subtotal="average" baseField="2" baseItem="0"/>
    <dataField name="Average of Household goods and services" fld="24" subtotal="average" baseField="2" baseItem="0"/>
    <dataField name="Average of Fuel and light" fld="23" subtotal="average" baseField="2" baseItem="0"/>
    <dataField name="Average of CF_Bucket" fld="20" subtotal="average" baseField="2" baseItem="0"/>
    <dataField name="Average of Housing" fld="22" subtotal="average" baseField="2" baseItem="0"/>
    <dataField name="Average of Health" fld="25" subtotal="average" baseField="2" baseItem="0"/>
    <dataField name="Average of Transport and communication" fld="26"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6C08A9F-60B5-4B18-BD92-5A6142C240A1}"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5A9DC33D-CCB9-426E-93BB-C26C2C209E96}" sourceName="Sector">
  <pivotTables>
    <pivotTable tabId="32" name="PivotTable1"/>
  </pivotTables>
  <data>
    <tabular pivotCacheId="1894407456">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B76DD404-D648-4CBA-98A3-8F73539055B6}" cache="Slicer_Sector" caption="Secto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1" xr10:uid="{48E18101-8090-4F21-A39E-871F1AEC5C3C}" cache="Slicer_Sector" caption="Sector" style="SlicerStyleLight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CCE5C65-F115-42DB-B904-14D7F4004EDF}" name="Table3_2" displayName="Table3_2" ref="A1:AD373" tableType="queryTable" totalsRowShown="0">
  <autoFilter ref="A1:AD373" xr:uid="{3CCE5C65-F115-42DB-B904-14D7F4004EDF}"/>
  <tableColumns count="30">
    <tableColumn id="1" xr3:uid="{0431EEDE-4EEF-491C-A59B-25335A7D905B}" uniqueName="1" name="Sector" queryTableFieldId="1" dataDxfId="1"/>
    <tableColumn id="2" xr3:uid="{D1932E09-516B-4BB5-85F5-DABBA5003589}" uniqueName="2" name="Year" queryTableFieldId="2"/>
    <tableColumn id="3" xr3:uid="{279F800F-52FF-4884-A8B2-BE8DC575D29C}" uniqueName="3" name="Month" queryTableFieldId="3" dataDxfId="0"/>
    <tableColumn id="4" xr3:uid="{106F463A-A241-4ECB-A54B-A89D430FB462}" uniqueName="4" name="Cereals and products" queryTableFieldId="4"/>
    <tableColumn id="5" xr3:uid="{C8167C9A-4FCC-4612-8DA6-E74BAEFA0942}" uniqueName="5" name="Meat and fish" queryTableFieldId="5"/>
    <tableColumn id="6" xr3:uid="{80D85FEF-8903-43A5-A980-E1527C5BAB3C}" uniqueName="6" name="Egg" queryTableFieldId="6"/>
    <tableColumn id="7" xr3:uid="{B501F931-2447-4077-8674-F7CEB977DB2E}" uniqueName="7" name="Milk and products" queryTableFieldId="7"/>
    <tableColumn id="8" xr3:uid="{1168AB5C-C3F4-4986-AADA-D7914D47E0DE}" uniqueName="8" name="Oils and fats" queryTableFieldId="8"/>
    <tableColumn id="9" xr3:uid="{E3E67840-3093-4579-A6CD-92C73DCE76B3}" uniqueName="9" name="Fruits" queryTableFieldId="9"/>
    <tableColumn id="10" xr3:uid="{BD9DB640-FE79-4E84-937E-7B3D5BA95E2A}" uniqueName="10" name="Vegetables" queryTableFieldId="10"/>
    <tableColumn id="11" xr3:uid="{7CD4F9FD-BD6D-4DCB-ADD8-90904230C293}" uniqueName="11" name="Pulses and products" queryTableFieldId="11"/>
    <tableColumn id="12" xr3:uid="{923221AD-D3FD-47D2-AD66-E8FF78601021}" uniqueName="12" name="Sugar and Confectionery" queryTableFieldId="12"/>
    <tableColumn id="13" xr3:uid="{D9B6A98E-1275-4A2C-AA38-A8D729D6B6B5}" uniqueName="13" name="Spices" queryTableFieldId="13"/>
    <tableColumn id="14" xr3:uid="{9113F769-7F0F-4123-BD90-D1BAFA96D636}" uniqueName="14" name="Non-alcoholic beverages" queryTableFieldId="14"/>
    <tableColumn id="15" xr3:uid="{10B7D805-3B95-4520-BCDC-8585494B88BD}" uniqueName="15" name="Prepared meals, snacks, sweets etc." queryTableFieldId="15"/>
    <tableColumn id="16" xr3:uid="{B3E35E84-FB3F-415E-B189-9C5579316695}" uniqueName="16" name="Food and beverages" queryTableFieldId="16"/>
    <tableColumn id="17" xr3:uid="{F264677D-DCF9-4833-8F1F-42952915913B}" uniqueName="17" name="Pan, tobacco and intoxicants" queryTableFieldId="17"/>
    <tableColumn id="18" xr3:uid="{AC99EF0C-6287-47C8-9839-CF70D00F5BDA}" uniqueName="18" name="Clothing" queryTableFieldId="18"/>
    <tableColumn id="19" xr3:uid="{F4D0F055-CEB7-4ACD-BFBC-534F9849FA98}" uniqueName="19" name="Footwear" queryTableFieldId="19"/>
    <tableColumn id="20" xr3:uid="{EBFE71B3-4E0C-47D2-BF47-DFFF2BF7D8D6}" uniqueName="20" name="Clothing and footwear" queryTableFieldId="20"/>
    <tableColumn id="21" xr3:uid="{E975D70C-8E7B-4EBD-8948-31877D230DCF}" uniqueName="21" name="Housing" queryTableFieldId="21"/>
    <tableColumn id="22" xr3:uid="{469993CE-086F-4161-B0E1-80D8A2E5B3D9}" uniqueName="22" name="Fuel and light" queryTableFieldId="22"/>
    <tableColumn id="23" xr3:uid="{55CA6A95-FF9A-4B4F-B32F-CE6DE9F1E3E6}" uniqueName="23" name="Household goods and services" queryTableFieldId="23"/>
    <tableColumn id="24" xr3:uid="{3EEE8503-7EAC-48EA-98FD-FE75FE1A1707}" uniqueName="24" name="Health" queryTableFieldId="24"/>
    <tableColumn id="25" xr3:uid="{2C5C0B16-D1F4-4809-888D-A2F2530649A0}" uniqueName="25" name="Transport and communication" queryTableFieldId="25"/>
    <tableColumn id="26" xr3:uid="{687CC3B6-8B6E-4CF4-A7AB-3AC8E1D2427A}" uniqueName="26" name="Recreation and amusement" queryTableFieldId="26"/>
    <tableColumn id="27" xr3:uid="{3434ECBF-D8BF-4CDD-A9FD-4409D2E3D290}" uniqueName="27" name="Education" queryTableFieldId="27"/>
    <tableColumn id="28" xr3:uid="{5E419B9B-4D65-41C6-934E-CE932A3DD78F}" uniqueName="28" name="Personal care and effects" queryTableFieldId="28"/>
    <tableColumn id="29" xr3:uid="{E5443170-E8E6-423E-9723-297D7E7C5D0D}" uniqueName="29" name="Miscellaneous" queryTableFieldId="29"/>
    <tableColumn id="30" xr3:uid="{C42E5978-BF71-48E2-9A06-76079748FEF8}" uniqueName="30" name="General index" queryTableFieldId="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B80595-4BDA-4BB5-AD88-9E0944192098}" name="Table3" displayName="Table3" ref="A1:AD373" totalsRowShown="0">
  <autoFilter ref="A1:AD373" xr:uid="{DBB80595-4BDA-4BB5-AD88-9E0944192098}"/>
  <tableColumns count="30">
    <tableColumn id="1" xr3:uid="{54BFA897-6737-4D15-A71A-62EB9FEF738B}" name="Sector"/>
    <tableColumn id="2" xr3:uid="{0269D068-D69A-45B6-ACA8-B50689344B69}" name="Year"/>
    <tableColumn id="3" xr3:uid="{C8E59EFC-3787-4169-86F0-99C8BD8B6609}" name="Month"/>
    <tableColumn id="4" xr3:uid="{2B03251E-D106-4363-850C-F419FDC7E8CC}" name="Cereals and products"/>
    <tableColumn id="5" xr3:uid="{A8304DC7-3EED-445B-A10A-758D996BB998}" name="Meat and fish"/>
    <tableColumn id="6" xr3:uid="{879D94BD-E9E0-40D3-AEF8-7A12623058AF}" name="Egg"/>
    <tableColumn id="7" xr3:uid="{D80A6B54-3C6E-40DC-B2CD-6C71F1285A20}" name="Milk and products"/>
    <tableColumn id="8" xr3:uid="{2CFC406F-E3CF-4BB5-BF88-A94C6331DB17}" name="Oils and fats"/>
    <tableColumn id="9" xr3:uid="{80D56297-A412-462D-BFE5-48CDEB47B3C6}" name="Fruits"/>
    <tableColumn id="10" xr3:uid="{8CA33F9C-714C-47FB-A297-65AD7D04F72D}" name="Vegetables"/>
    <tableColumn id="11" xr3:uid="{1180346B-5F63-4A70-82EA-859539203333}" name="Pulses and products"/>
    <tableColumn id="12" xr3:uid="{EC33C260-5366-42DA-906A-41A5718861A0}" name="Sugar and Confectionery"/>
    <tableColumn id="13" xr3:uid="{1F13A623-3F4D-41F4-A61C-0F95726F8CA0}" name="Spices"/>
    <tableColumn id="14" xr3:uid="{F8CB9A74-2C0F-4D1A-B65C-803237FFFB14}" name="Non-alcoholic beverages"/>
    <tableColumn id="15" xr3:uid="{1CCF4C07-5C64-4246-B8CC-E5686FE52B0D}" name="Prepared meals, snacks, sweets etc."/>
    <tableColumn id="16" xr3:uid="{BB2D3775-BA36-48D3-9654-8E4EE840559B}" name="Food and beverages"/>
    <tableColumn id="17" xr3:uid="{991DBDE9-51D5-48FA-B38E-57769A2020B6}" name="Pan, tobacco and intoxicants"/>
    <tableColumn id="18" xr3:uid="{6399B425-CE51-4DFE-BDA4-0DDFAD02F7B9}" name="Clothing"/>
    <tableColumn id="19" xr3:uid="{4F5031FE-A8C9-463A-AFBA-08FB57EA5B82}" name="Footwear"/>
    <tableColumn id="20" xr3:uid="{DFD0CE84-76D0-4A01-8000-773CDF61BC84}" name="Clothing and footwear"/>
    <tableColumn id="21" xr3:uid="{DEA58508-2D6B-4777-B87C-A3472FA4A92C}" name="Housing"/>
    <tableColumn id="22" xr3:uid="{6781AA39-32D8-4FFA-BFE2-FE79B80C2631}" name="Fuel and light"/>
    <tableColumn id="23" xr3:uid="{BC84DE4E-BBEF-4811-8D1D-75B136852950}" name="Household goods and services"/>
    <tableColumn id="24" xr3:uid="{02893CC2-ECF0-4EF2-A1D7-239303960757}" name="Health"/>
    <tableColumn id="25" xr3:uid="{81633F95-6151-477B-B4ED-2E78426AB36A}" name="Transport and communication"/>
    <tableColumn id="26" xr3:uid="{426BEDA9-786A-455B-8E80-7FF85398F1D4}" name="Recreation and amusement"/>
    <tableColumn id="27" xr3:uid="{E1B25E67-928E-45CE-98EB-F1EB17A02759}" name="Education"/>
    <tableColumn id="28" xr3:uid="{AE9DCE01-B783-4D98-AECD-CFC341473E0D}" name="Personal care and effects"/>
    <tableColumn id="29" xr3:uid="{51A9B584-75A0-43B4-9E51-79051B9818CD}" name="Miscellaneous"/>
    <tableColumn id="30" xr3:uid="{6C73C19A-B466-4F90-9B05-E3C1E0BE7814}" name="General index"/>
  </tableColumns>
  <tableStyleInfo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7.bin"/><Relationship Id="rId1" Type="http://schemas.openxmlformats.org/officeDocument/2006/relationships/pivotTable" Target="../pivotTables/pivotTable1.xml"/><Relationship Id="rId4" Type="http://schemas.microsoft.com/office/2007/relationships/slicer" Target="../slicers/slicer1.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8.bin"/><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9.bin"/><Relationship Id="rId1" Type="http://schemas.openxmlformats.org/officeDocument/2006/relationships/pivotTable" Target="../pivotTables/pivotTable3.xm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1.bin"/><Relationship Id="rId1" Type="http://schemas.openxmlformats.org/officeDocument/2006/relationships/pivotTable" Target="../pivotTables/pivotTable5.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ivotTable" Target="../pivotTables/pivotTable6.xm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ivotTable" Target="../pivotTables/pivotTable7.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7629F-6E0A-4B5D-BA30-0740B6C45596}">
  <dimension ref="A1:AD373"/>
  <sheetViews>
    <sheetView workbookViewId="0"/>
  </sheetViews>
  <sheetFormatPr defaultRowHeight="15"/>
  <cols>
    <col min="1" max="1" width="11.85546875" bestFit="1" customWidth="1"/>
    <col min="2" max="2" width="7.28515625" bestFit="1" customWidth="1"/>
    <col min="3" max="3" width="10.85546875" bestFit="1" customWidth="1"/>
    <col min="4" max="4" width="22" bestFit="1" customWidth="1"/>
    <col min="5" max="5" width="15.5703125" bestFit="1" customWidth="1"/>
    <col min="6" max="6" width="6.28515625" bestFit="1" customWidth="1"/>
    <col min="7" max="7" width="19.28515625" bestFit="1" customWidth="1"/>
    <col min="8" max="8" width="14.140625" bestFit="1" customWidth="1"/>
    <col min="9" max="9" width="8.28515625" bestFit="1" customWidth="1"/>
    <col min="10" max="10" width="13.28515625" bestFit="1" customWidth="1"/>
    <col min="11" max="11" width="21.140625" bestFit="1" customWidth="1"/>
    <col min="12" max="12" width="25.28515625" bestFit="1" customWidth="1"/>
    <col min="13" max="13" width="8.85546875" bestFit="1" customWidth="1"/>
    <col min="14" max="14" width="25.5703125" bestFit="1" customWidth="1"/>
    <col min="15" max="15" width="35.5703125" bestFit="1" customWidth="1"/>
    <col min="16" max="16" width="21.28515625" bestFit="1" customWidth="1"/>
    <col min="17" max="17" width="28.85546875" bestFit="1" customWidth="1"/>
    <col min="18" max="18" width="10.7109375" bestFit="1" customWidth="1"/>
    <col min="19" max="19" width="11.7109375" bestFit="1" customWidth="1"/>
    <col min="20" max="20" width="23.28515625" bestFit="1" customWidth="1"/>
    <col min="21" max="21" width="10.42578125" bestFit="1" customWidth="1"/>
    <col min="22" max="22" width="15.42578125" bestFit="1" customWidth="1"/>
    <col min="23" max="23" width="30.42578125" bestFit="1" customWidth="1"/>
    <col min="25" max="25" width="30.140625" bestFit="1" customWidth="1"/>
    <col min="26" max="26" width="28.140625" bestFit="1" customWidth="1"/>
    <col min="27" max="27" width="12" bestFit="1" customWidth="1"/>
    <col min="28" max="28" width="25.85546875" bestFit="1" customWidth="1"/>
    <col min="29" max="29" width="16.28515625" bestFit="1" customWidth="1"/>
    <col min="30" max="30" width="16" bestFit="1" customWidth="1"/>
  </cols>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s="6" t="s">
        <v>30</v>
      </c>
      <c r="B2">
        <v>2013</v>
      </c>
      <c r="C2" s="6"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c r="A3" s="6" t="s">
        <v>33</v>
      </c>
      <c r="B3">
        <v>2013</v>
      </c>
      <c r="C3" s="6"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c r="A4" s="6" t="s">
        <v>34</v>
      </c>
      <c r="B4">
        <v>2013</v>
      </c>
      <c r="C4" s="6"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c r="A5" s="6" t="s">
        <v>30</v>
      </c>
      <c r="B5">
        <v>2013</v>
      </c>
      <c r="C5" s="6"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c r="A6" s="6" t="s">
        <v>33</v>
      </c>
      <c r="B6">
        <v>2013</v>
      </c>
      <c r="C6" s="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c r="A7" s="6" t="s">
        <v>34</v>
      </c>
      <c r="B7">
        <v>2013</v>
      </c>
      <c r="C7" s="6"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c r="A8" s="6" t="s">
        <v>30</v>
      </c>
      <c r="B8">
        <v>2013</v>
      </c>
      <c r="C8" s="6"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c r="A9" s="6" t="s">
        <v>33</v>
      </c>
      <c r="B9">
        <v>2013</v>
      </c>
      <c r="C9" s="6"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c r="A10" s="6" t="s">
        <v>34</v>
      </c>
      <c r="B10">
        <v>2013</v>
      </c>
      <c r="C10" s="6"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c r="A11" s="6" t="s">
        <v>30</v>
      </c>
      <c r="B11">
        <v>2013</v>
      </c>
      <c r="C11" s="6"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c r="A12" s="6" t="s">
        <v>33</v>
      </c>
      <c r="B12">
        <v>2013</v>
      </c>
      <c r="C12" s="6"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c r="A13" s="6" t="s">
        <v>34</v>
      </c>
      <c r="B13">
        <v>2013</v>
      </c>
      <c r="C13" s="6"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c r="A14" s="6" t="s">
        <v>30</v>
      </c>
      <c r="B14">
        <v>2013</v>
      </c>
      <c r="C14" s="6"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c r="A15" s="6" t="s">
        <v>33</v>
      </c>
      <c r="B15">
        <v>2013</v>
      </c>
      <c r="C15" s="6"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c r="A16" s="6" t="s">
        <v>34</v>
      </c>
      <c r="B16">
        <v>2013</v>
      </c>
      <c r="C16" s="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c r="A17" s="6" t="s">
        <v>30</v>
      </c>
      <c r="B17">
        <v>2013</v>
      </c>
      <c r="C17" s="6"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c r="A18" s="6" t="s">
        <v>33</v>
      </c>
      <c r="B18">
        <v>2013</v>
      </c>
      <c r="C18" s="6"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c r="A19" s="6" t="s">
        <v>34</v>
      </c>
      <c r="B19">
        <v>2013</v>
      </c>
      <c r="C19" s="6"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c r="A20" s="6" t="s">
        <v>30</v>
      </c>
      <c r="B20">
        <v>2013</v>
      </c>
      <c r="C20" s="6"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c r="A21" s="6" t="s">
        <v>33</v>
      </c>
      <c r="B21">
        <v>2013</v>
      </c>
      <c r="C21" s="6"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c r="A22" s="6" t="s">
        <v>34</v>
      </c>
      <c r="B22">
        <v>2013</v>
      </c>
      <c r="C22" s="6"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c r="A23" s="6" t="s">
        <v>30</v>
      </c>
      <c r="B23">
        <v>2013</v>
      </c>
      <c r="C23" s="6"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c r="A24" s="6" t="s">
        <v>33</v>
      </c>
      <c r="B24">
        <v>2013</v>
      </c>
      <c r="C24" s="6"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c r="A25" s="6" t="s">
        <v>34</v>
      </c>
      <c r="B25">
        <v>2013</v>
      </c>
      <c r="C25" s="6"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c r="A26" s="6" t="s">
        <v>30</v>
      </c>
      <c r="B26">
        <v>2013</v>
      </c>
      <c r="C26" s="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c r="A27" s="6" t="s">
        <v>33</v>
      </c>
      <c r="B27">
        <v>2013</v>
      </c>
      <c r="C27" s="6"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c r="A28" s="6" t="s">
        <v>34</v>
      </c>
      <c r="B28">
        <v>2013</v>
      </c>
      <c r="C28" s="6"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c r="A29" s="6" t="s">
        <v>30</v>
      </c>
      <c r="B29">
        <v>2013</v>
      </c>
      <c r="C29" s="6"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c r="A30" s="6" t="s">
        <v>33</v>
      </c>
      <c r="B30">
        <v>2013</v>
      </c>
      <c r="C30" s="6"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c r="A31" s="6" t="s">
        <v>34</v>
      </c>
      <c r="B31">
        <v>2013</v>
      </c>
      <c r="C31" s="6"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c r="A32" s="6" t="s">
        <v>30</v>
      </c>
      <c r="B32">
        <v>2013</v>
      </c>
      <c r="C32" s="6"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c r="A33" s="6" t="s">
        <v>33</v>
      </c>
      <c r="B33">
        <v>2013</v>
      </c>
      <c r="C33" s="6"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c r="A34" s="6" t="s">
        <v>34</v>
      </c>
      <c r="B34">
        <v>2013</v>
      </c>
      <c r="C34" s="6"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c r="A35" s="6" t="s">
        <v>30</v>
      </c>
      <c r="B35">
        <v>2013</v>
      </c>
      <c r="C35" s="6"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c r="A36" s="6" t="s">
        <v>33</v>
      </c>
      <c r="B36">
        <v>2013</v>
      </c>
      <c r="C36" s="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c r="A37" s="6" t="s">
        <v>34</v>
      </c>
      <c r="B37">
        <v>2013</v>
      </c>
      <c r="C37" s="6"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c r="A38" s="6" t="s">
        <v>30</v>
      </c>
      <c r="B38">
        <v>2014</v>
      </c>
      <c r="C38" s="6"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c r="A39" s="6" t="s">
        <v>33</v>
      </c>
      <c r="B39">
        <v>2014</v>
      </c>
      <c r="C39" s="6"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c r="A40" s="6" t="s">
        <v>34</v>
      </c>
      <c r="B40">
        <v>2014</v>
      </c>
      <c r="C40" s="6"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c r="A41" s="6" t="s">
        <v>30</v>
      </c>
      <c r="B41">
        <v>2014</v>
      </c>
      <c r="C41" s="6"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c r="A42" s="6" t="s">
        <v>33</v>
      </c>
      <c r="B42">
        <v>2014</v>
      </c>
      <c r="C42" s="6"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c r="A43" s="6" t="s">
        <v>34</v>
      </c>
      <c r="B43">
        <v>2014</v>
      </c>
      <c r="C43" s="6"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c r="A44" s="6" t="s">
        <v>30</v>
      </c>
      <c r="B44">
        <v>2014</v>
      </c>
      <c r="C44" s="6"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c r="A45" s="6" t="s">
        <v>33</v>
      </c>
      <c r="B45">
        <v>2014</v>
      </c>
      <c r="C45" s="6"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c r="A46" s="6" t="s">
        <v>34</v>
      </c>
      <c r="B46">
        <v>2014</v>
      </c>
      <c r="C46" s="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c r="A47" s="6" t="s">
        <v>30</v>
      </c>
      <c r="B47">
        <v>2014</v>
      </c>
      <c r="C47" s="6"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c r="A48" s="6" t="s">
        <v>33</v>
      </c>
      <c r="B48">
        <v>2014</v>
      </c>
      <c r="C48" s="6"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c r="A49" s="6" t="s">
        <v>34</v>
      </c>
      <c r="B49">
        <v>2014</v>
      </c>
      <c r="C49" s="6"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c r="A50" s="6" t="s">
        <v>30</v>
      </c>
      <c r="B50">
        <v>2014</v>
      </c>
      <c r="C50" s="6"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c r="A51" s="6" t="s">
        <v>33</v>
      </c>
      <c r="B51">
        <v>2014</v>
      </c>
      <c r="C51" s="6"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c r="A52" s="6" t="s">
        <v>34</v>
      </c>
      <c r="B52">
        <v>2014</v>
      </c>
      <c r="C52" s="6"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c r="A53" s="6" t="s">
        <v>30</v>
      </c>
      <c r="B53">
        <v>2014</v>
      </c>
      <c r="C53" s="6"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c r="A54" s="6" t="s">
        <v>33</v>
      </c>
      <c r="B54">
        <v>2014</v>
      </c>
      <c r="C54" s="6"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c r="A55" s="6" t="s">
        <v>34</v>
      </c>
      <c r="B55">
        <v>2014</v>
      </c>
      <c r="C55" s="6"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c r="A56" s="6" t="s">
        <v>30</v>
      </c>
      <c r="B56">
        <v>2014</v>
      </c>
      <c r="C56" s="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c r="A57" s="6" t="s">
        <v>33</v>
      </c>
      <c r="B57">
        <v>2014</v>
      </c>
      <c r="C57" s="6"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c r="A58" s="6" t="s">
        <v>34</v>
      </c>
      <c r="B58">
        <v>2014</v>
      </c>
      <c r="C58" s="6"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c r="A59" s="6" t="s">
        <v>30</v>
      </c>
      <c r="B59">
        <v>2014</v>
      </c>
      <c r="C59" s="6"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c r="A60" s="6" t="s">
        <v>33</v>
      </c>
      <c r="B60">
        <v>2014</v>
      </c>
      <c r="C60" s="6"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c r="A61" s="6" t="s">
        <v>34</v>
      </c>
      <c r="B61">
        <v>2014</v>
      </c>
      <c r="C61" s="6"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c r="A62" s="6" t="s">
        <v>30</v>
      </c>
      <c r="B62">
        <v>2014</v>
      </c>
      <c r="C62" s="6"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c r="A63" s="6" t="s">
        <v>33</v>
      </c>
      <c r="B63">
        <v>2014</v>
      </c>
      <c r="C63" s="6"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c r="A64" s="6" t="s">
        <v>34</v>
      </c>
      <c r="B64">
        <v>2014</v>
      </c>
      <c r="C64" s="6"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c r="A65" s="6" t="s">
        <v>30</v>
      </c>
      <c r="B65">
        <v>2014</v>
      </c>
      <c r="C65" s="6"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c r="A66" s="6" t="s">
        <v>33</v>
      </c>
      <c r="B66">
        <v>2014</v>
      </c>
      <c r="C66" s="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c r="A67" s="6" t="s">
        <v>34</v>
      </c>
      <c r="B67">
        <v>2014</v>
      </c>
      <c r="C67" s="6"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c r="A68" s="6" t="s">
        <v>30</v>
      </c>
      <c r="B68">
        <v>2014</v>
      </c>
      <c r="C68" s="6"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c r="A69" s="6" t="s">
        <v>33</v>
      </c>
      <c r="B69">
        <v>2014</v>
      </c>
      <c r="C69" s="6"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c r="A70" s="6" t="s">
        <v>34</v>
      </c>
      <c r="B70">
        <v>2014</v>
      </c>
      <c r="C70" s="6"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c r="A71" s="6" t="s">
        <v>30</v>
      </c>
      <c r="B71">
        <v>2014</v>
      </c>
      <c r="C71" s="6"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c r="A72" s="6" t="s">
        <v>33</v>
      </c>
      <c r="B72">
        <v>2014</v>
      </c>
      <c r="C72" s="6"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c r="A73" s="6" t="s">
        <v>34</v>
      </c>
      <c r="B73">
        <v>2014</v>
      </c>
      <c r="C73" s="6"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c r="A74" s="6" t="s">
        <v>30</v>
      </c>
      <c r="B74">
        <v>2015</v>
      </c>
      <c r="C74" s="6"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c r="A75" s="6" t="s">
        <v>33</v>
      </c>
      <c r="B75">
        <v>2015</v>
      </c>
      <c r="C75" s="6"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c r="A76" s="6" t="s">
        <v>34</v>
      </c>
      <c r="B76">
        <v>2015</v>
      </c>
      <c r="C76" s="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c r="A77" s="6" t="s">
        <v>30</v>
      </c>
      <c r="B77">
        <v>2015</v>
      </c>
      <c r="C77" s="6"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c r="A78" s="6" t="s">
        <v>33</v>
      </c>
      <c r="B78">
        <v>2015</v>
      </c>
      <c r="C78" s="6"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c r="A79" s="6" t="s">
        <v>34</v>
      </c>
      <c r="B79">
        <v>2015</v>
      </c>
      <c r="C79" s="6"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c r="A80" s="6" t="s">
        <v>30</v>
      </c>
      <c r="B80">
        <v>2015</v>
      </c>
      <c r="C80" s="6"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c r="A81" s="6" t="s">
        <v>33</v>
      </c>
      <c r="B81">
        <v>2015</v>
      </c>
      <c r="C81" s="6"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c r="A82" s="6" t="s">
        <v>34</v>
      </c>
      <c r="B82">
        <v>2015</v>
      </c>
      <c r="C82" s="6"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c r="A83" s="6" t="s">
        <v>30</v>
      </c>
      <c r="B83">
        <v>2015</v>
      </c>
      <c r="C83" s="6"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c r="A84" s="6" t="s">
        <v>33</v>
      </c>
      <c r="B84">
        <v>2015</v>
      </c>
      <c r="C84" s="6"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c r="A85" s="6" t="s">
        <v>34</v>
      </c>
      <c r="B85">
        <v>2015</v>
      </c>
      <c r="C85" s="6"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c r="A86" s="6" t="s">
        <v>30</v>
      </c>
      <c r="B86">
        <v>2015</v>
      </c>
      <c r="C86" s="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c r="A87" s="6" t="s">
        <v>33</v>
      </c>
      <c r="B87">
        <v>2015</v>
      </c>
      <c r="C87" s="6"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c r="A88" s="6" t="s">
        <v>34</v>
      </c>
      <c r="B88">
        <v>2015</v>
      </c>
      <c r="C88" s="6"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c r="A89" s="6" t="s">
        <v>30</v>
      </c>
      <c r="B89">
        <v>2015</v>
      </c>
      <c r="C89" s="6"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c r="A90" s="6" t="s">
        <v>33</v>
      </c>
      <c r="B90">
        <v>2015</v>
      </c>
      <c r="C90" s="6"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c r="A91" s="6" t="s">
        <v>34</v>
      </c>
      <c r="B91">
        <v>2015</v>
      </c>
      <c r="C91" s="6"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c r="A92" s="6" t="s">
        <v>30</v>
      </c>
      <c r="B92">
        <v>2015</v>
      </c>
      <c r="C92" s="6"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c r="A93" s="6" t="s">
        <v>33</v>
      </c>
      <c r="B93">
        <v>2015</v>
      </c>
      <c r="C93" s="6"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c r="A94" s="6" t="s">
        <v>34</v>
      </c>
      <c r="B94">
        <v>2015</v>
      </c>
      <c r="C94" s="6"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c r="A95" s="6" t="s">
        <v>30</v>
      </c>
      <c r="B95">
        <v>2015</v>
      </c>
      <c r="C95" s="6"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c r="A96" s="6" t="s">
        <v>33</v>
      </c>
      <c r="B96">
        <v>2015</v>
      </c>
      <c r="C96" s="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c r="A97" s="6" t="s">
        <v>34</v>
      </c>
      <c r="B97">
        <v>2015</v>
      </c>
      <c r="C97" s="6"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c r="A98" s="6" t="s">
        <v>30</v>
      </c>
      <c r="B98">
        <v>2015</v>
      </c>
      <c r="C98" s="6"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c r="A99" s="6" t="s">
        <v>33</v>
      </c>
      <c r="B99">
        <v>2015</v>
      </c>
      <c r="C99" s="6"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c r="A100" s="6" t="s">
        <v>34</v>
      </c>
      <c r="B100">
        <v>2015</v>
      </c>
      <c r="C100" s="6"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c r="A101" s="6" t="s">
        <v>30</v>
      </c>
      <c r="B101">
        <v>2015</v>
      </c>
      <c r="C101" s="6"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c r="A102" s="6" t="s">
        <v>33</v>
      </c>
      <c r="B102">
        <v>2015</v>
      </c>
      <c r="C102" s="6"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c r="A103" s="6" t="s">
        <v>34</v>
      </c>
      <c r="B103">
        <v>2015</v>
      </c>
      <c r="C103" s="6"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c r="A104" s="6" t="s">
        <v>30</v>
      </c>
      <c r="B104">
        <v>2015</v>
      </c>
      <c r="C104" s="6"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c r="A105" s="6" t="s">
        <v>33</v>
      </c>
      <c r="B105">
        <v>2015</v>
      </c>
      <c r="C105" s="6"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c r="A106" s="6" t="s">
        <v>34</v>
      </c>
      <c r="B106">
        <v>2015</v>
      </c>
      <c r="C106" s="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c r="A107" s="6" t="s">
        <v>30</v>
      </c>
      <c r="B107">
        <v>2015</v>
      </c>
      <c r="C107" s="6"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c r="A108" s="6" t="s">
        <v>33</v>
      </c>
      <c r="B108">
        <v>2015</v>
      </c>
      <c r="C108" s="6"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c r="A109" s="6" t="s">
        <v>34</v>
      </c>
      <c r="B109">
        <v>2015</v>
      </c>
      <c r="C109" s="6"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c r="A110" s="6" t="s">
        <v>30</v>
      </c>
      <c r="B110">
        <v>2016</v>
      </c>
      <c r="C110" s="6"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c r="A111" s="6" t="s">
        <v>33</v>
      </c>
      <c r="B111">
        <v>2016</v>
      </c>
      <c r="C111" s="6"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c r="A112" s="6" t="s">
        <v>34</v>
      </c>
      <c r="B112">
        <v>2016</v>
      </c>
      <c r="C112" s="6"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c r="A113" s="6" t="s">
        <v>30</v>
      </c>
      <c r="B113">
        <v>2016</v>
      </c>
      <c r="C113" s="6"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c r="A114" s="6" t="s">
        <v>33</v>
      </c>
      <c r="B114">
        <v>2016</v>
      </c>
      <c r="C114" s="6"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c r="A115" s="6" t="s">
        <v>34</v>
      </c>
      <c r="B115">
        <v>2016</v>
      </c>
      <c r="C115" s="6"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c r="A116" s="6" t="s">
        <v>30</v>
      </c>
      <c r="B116">
        <v>2016</v>
      </c>
      <c r="C116" s="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c r="A117" s="6" t="s">
        <v>33</v>
      </c>
      <c r="B117">
        <v>2016</v>
      </c>
      <c r="C117" s="6"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c r="A118" s="6" t="s">
        <v>34</v>
      </c>
      <c r="B118">
        <v>2016</v>
      </c>
      <c r="C118" s="6"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c r="A119" s="6" t="s">
        <v>30</v>
      </c>
      <c r="B119">
        <v>2016</v>
      </c>
      <c r="C119" s="6"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c r="A120" s="6" t="s">
        <v>33</v>
      </c>
      <c r="B120">
        <v>2016</v>
      </c>
      <c r="C120" s="6"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c r="A121" s="6" t="s">
        <v>34</v>
      </c>
      <c r="B121">
        <v>2016</v>
      </c>
      <c r="C121" s="6"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c r="A122" s="6" t="s">
        <v>30</v>
      </c>
      <c r="B122">
        <v>2016</v>
      </c>
      <c r="C122" s="6"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c r="A123" s="6" t="s">
        <v>33</v>
      </c>
      <c r="B123">
        <v>2016</v>
      </c>
      <c r="C123" s="6"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c r="A124" s="6" t="s">
        <v>34</v>
      </c>
      <c r="B124">
        <v>2016</v>
      </c>
      <c r="C124" s="6"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c r="A125" s="6" t="s">
        <v>30</v>
      </c>
      <c r="B125">
        <v>2016</v>
      </c>
      <c r="C125" s="6"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c r="A126" s="6" t="s">
        <v>33</v>
      </c>
      <c r="B126">
        <v>2016</v>
      </c>
      <c r="C126" s="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c r="A127" s="6" t="s">
        <v>34</v>
      </c>
      <c r="B127">
        <v>2016</v>
      </c>
      <c r="C127" s="6"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c r="A128" s="6" t="s">
        <v>30</v>
      </c>
      <c r="B128">
        <v>2016</v>
      </c>
      <c r="C128" s="6"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c r="A129" s="6" t="s">
        <v>33</v>
      </c>
      <c r="B129">
        <v>2016</v>
      </c>
      <c r="C129" s="6"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c r="A130" s="6" t="s">
        <v>34</v>
      </c>
      <c r="B130">
        <v>2016</v>
      </c>
      <c r="C130" s="6"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c r="A131" s="6" t="s">
        <v>30</v>
      </c>
      <c r="B131">
        <v>2016</v>
      </c>
      <c r="C131" s="6"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c r="A132" s="6" t="s">
        <v>33</v>
      </c>
      <c r="B132">
        <v>2016</v>
      </c>
      <c r="C132" s="6"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c r="A133" s="6" t="s">
        <v>34</v>
      </c>
      <c r="B133">
        <v>2016</v>
      </c>
      <c r="C133" s="6"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c r="A134" s="6" t="s">
        <v>30</v>
      </c>
      <c r="B134">
        <v>2016</v>
      </c>
      <c r="C134" s="6"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c r="A135" s="6" t="s">
        <v>33</v>
      </c>
      <c r="B135">
        <v>2016</v>
      </c>
      <c r="C135" s="6"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c r="A136" s="6" t="s">
        <v>34</v>
      </c>
      <c r="B136">
        <v>2016</v>
      </c>
      <c r="C136" s="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c r="A137" s="6" t="s">
        <v>30</v>
      </c>
      <c r="B137">
        <v>2016</v>
      </c>
      <c r="C137" s="6"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c r="A138" s="6" t="s">
        <v>33</v>
      </c>
      <c r="B138">
        <v>2016</v>
      </c>
      <c r="C138" s="6"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c r="A139" s="6" t="s">
        <v>34</v>
      </c>
      <c r="B139">
        <v>2016</v>
      </c>
      <c r="C139" s="6"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c r="A140" s="6" t="s">
        <v>30</v>
      </c>
      <c r="B140">
        <v>2016</v>
      </c>
      <c r="C140" s="6"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c r="A141" s="6" t="s">
        <v>33</v>
      </c>
      <c r="B141">
        <v>2016</v>
      </c>
      <c r="C141" s="6"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c r="A142" s="6" t="s">
        <v>34</v>
      </c>
      <c r="B142">
        <v>2016</v>
      </c>
      <c r="C142" s="6"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c r="A143" s="6" t="s">
        <v>30</v>
      </c>
      <c r="B143">
        <v>2016</v>
      </c>
      <c r="C143" s="6"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c r="A144" s="6" t="s">
        <v>33</v>
      </c>
      <c r="B144">
        <v>2016</v>
      </c>
      <c r="C144" s="6"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c r="A145" s="6" t="s">
        <v>34</v>
      </c>
      <c r="B145">
        <v>2016</v>
      </c>
      <c r="C145" s="6"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c r="A146" s="6" t="s">
        <v>30</v>
      </c>
      <c r="B146">
        <v>2017</v>
      </c>
      <c r="C146" s="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c r="A147" s="6" t="s">
        <v>33</v>
      </c>
      <c r="B147">
        <v>2017</v>
      </c>
      <c r="C147" s="6"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c r="A148" s="6" t="s">
        <v>34</v>
      </c>
      <c r="B148">
        <v>2017</v>
      </c>
      <c r="C148" s="6"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c r="A149" s="6" t="s">
        <v>30</v>
      </c>
      <c r="B149">
        <v>2017</v>
      </c>
      <c r="C149" s="6"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c r="A150" s="6" t="s">
        <v>33</v>
      </c>
      <c r="B150">
        <v>2017</v>
      </c>
      <c r="C150" s="6"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c r="A151" s="6" t="s">
        <v>34</v>
      </c>
      <c r="B151">
        <v>2017</v>
      </c>
      <c r="C151" s="6"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c r="A152" s="6" t="s">
        <v>30</v>
      </c>
      <c r="B152">
        <v>2017</v>
      </c>
      <c r="C152" s="6"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c r="A153" s="6" t="s">
        <v>33</v>
      </c>
      <c r="B153">
        <v>2017</v>
      </c>
      <c r="C153" s="6"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c r="A154" s="6" t="s">
        <v>34</v>
      </c>
      <c r="B154">
        <v>2017</v>
      </c>
      <c r="C154" s="6"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c r="A155" s="6" t="s">
        <v>30</v>
      </c>
      <c r="B155">
        <v>2017</v>
      </c>
      <c r="C155" s="6"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c r="A156" s="6" t="s">
        <v>33</v>
      </c>
      <c r="B156">
        <v>2017</v>
      </c>
      <c r="C156" s="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c r="A157" s="6" t="s">
        <v>34</v>
      </c>
      <c r="B157">
        <v>2017</v>
      </c>
      <c r="C157" s="6"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c r="A158" s="6" t="s">
        <v>30</v>
      </c>
      <c r="B158">
        <v>2017</v>
      </c>
      <c r="C158" s="6"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c r="A159" s="6" t="s">
        <v>33</v>
      </c>
      <c r="B159">
        <v>2017</v>
      </c>
      <c r="C159" s="6"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c r="A160" s="6" t="s">
        <v>34</v>
      </c>
      <c r="B160">
        <v>2017</v>
      </c>
      <c r="C160" s="6"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c r="A161" s="6" t="s">
        <v>30</v>
      </c>
      <c r="B161">
        <v>2017</v>
      </c>
      <c r="C161" s="6"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c r="A162" s="6" t="s">
        <v>33</v>
      </c>
      <c r="B162">
        <v>2017</v>
      </c>
      <c r="C162" s="6"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c r="A163" s="6" t="s">
        <v>34</v>
      </c>
      <c r="B163">
        <v>2017</v>
      </c>
      <c r="C163" s="6"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c r="A164" s="6" t="s">
        <v>30</v>
      </c>
      <c r="B164">
        <v>2017</v>
      </c>
      <c r="C164" s="6"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c r="A165" s="6" t="s">
        <v>33</v>
      </c>
      <c r="B165">
        <v>2017</v>
      </c>
      <c r="C165" s="6"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c r="A166" s="6" t="s">
        <v>34</v>
      </c>
      <c r="B166">
        <v>2017</v>
      </c>
      <c r="C166" s="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c r="A167" s="6" t="s">
        <v>30</v>
      </c>
      <c r="B167">
        <v>2017</v>
      </c>
      <c r="C167" s="6"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c r="A168" s="6" t="s">
        <v>33</v>
      </c>
      <c r="B168">
        <v>2017</v>
      </c>
      <c r="C168" s="6"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c r="A169" s="6" t="s">
        <v>34</v>
      </c>
      <c r="B169">
        <v>2017</v>
      </c>
      <c r="C169" s="6"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c r="A170" s="6" t="s">
        <v>30</v>
      </c>
      <c r="B170">
        <v>2017</v>
      </c>
      <c r="C170" s="6"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c r="A171" s="6" t="s">
        <v>33</v>
      </c>
      <c r="B171">
        <v>2017</v>
      </c>
      <c r="C171" s="6"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c r="A172" s="6" t="s">
        <v>34</v>
      </c>
      <c r="B172">
        <v>2017</v>
      </c>
      <c r="C172" s="6"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c r="A173" s="6" t="s">
        <v>30</v>
      </c>
      <c r="B173">
        <v>2017</v>
      </c>
      <c r="C173" s="6"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c r="A174" s="6" t="s">
        <v>33</v>
      </c>
      <c r="B174">
        <v>2017</v>
      </c>
      <c r="C174" s="6"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c r="A175" s="6" t="s">
        <v>34</v>
      </c>
      <c r="B175">
        <v>2017</v>
      </c>
      <c r="C175" s="6"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c r="A176" s="6" t="s">
        <v>30</v>
      </c>
      <c r="B176">
        <v>2017</v>
      </c>
      <c r="C176" s="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c r="A177" s="6" t="s">
        <v>33</v>
      </c>
      <c r="B177">
        <v>2017</v>
      </c>
      <c r="C177" s="6"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c r="A178" s="6" t="s">
        <v>34</v>
      </c>
      <c r="B178">
        <v>2017</v>
      </c>
      <c r="C178" s="6"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c r="A179" s="6" t="s">
        <v>30</v>
      </c>
      <c r="B179">
        <v>2017</v>
      </c>
      <c r="C179" s="6"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c r="A180" s="6" t="s">
        <v>33</v>
      </c>
      <c r="B180">
        <v>2017</v>
      </c>
      <c r="C180" s="6"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c r="A181" s="6" t="s">
        <v>34</v>
      </c>
      <c r="B181">
        <v>2017</v>
      </c>
      <c r="C181" s="6"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c r="A182" s="6" t="s">
        <v>30</v>
      </c>
      <c r="B182">
        <v>2018</v>
      </c>
      <c r="C182" s="6"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c r="A183" s="6" t="s">
        <v>33</v>
      </c>
      <c r="B183">
        <v>2018</v>
      </c>
      <c r="C183" s="6"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c r="A184" s="6" t="s">
        <v>34</v>
      </c>
      <c r="B184">
        <v>2018</v>
      </c>
      <c r="C184" s="6"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c r="A185" s="6" t="s">
        <v>30</v>
      </c>
      <c r="B185">
        <v>2018</v>
      </c>
      <c r="C185" s="6"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c r="A186" s="6" t="s">
        <v>33</v>
      </c>
      <c r="B186">
        <v>2018</v>
      </c>
      <c r="C186" s="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c r="A187" s="6" t="s">
        <v>34</v>
      </c>
      <c r="B187">
        <v>2018</v>
      </c>
      <c r="C187" s="6"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c r="A188" s="6" t="s">
        <v>30</v>
      </c>
      <c r="B188">
        <v>2018</v>
      </c>
      <c r="C188" s="6"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c r="A189" s="6" t="s">
        <v>33</v>
      </c>
      <c r="B189">
        <v>2018</v>
      </c>
      <c r="C189" s="6"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c r="A190" s="6" t="s">
        <v>34</v>
      </c>
      <c r="B190">
        <v>2018</v>
      </c>
      <c r="C190" s="6"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c r="A191" s="6" t="s">
        <v>30</v>
      </c>
      <c r="B191">
        <v>2018</v>
      </c>
      <c r="C191" s="6"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c r="A192" s="6" t="s">
        <v>33</v>
      </c>
      <c r="B192">
        <v>2018</v>
      </c>
      <c r="C192" s="6"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c r="A193" s="6" t="s">
        <v>34</v>
      </c>
      <c r="B193">
        <v>2018</v>
      </c>
      <c r="C193" s="6"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c r="A194" s="6" t="s">
        <v>30</v>
      </c>
      <c r="B194">
        <v>2018</v>
      </c>
      <c r="C194" s="6"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c r="A195" s="6" t="s">
        <v>33</v>
      </c>
      <c r="B195">
        <v>2018</v>
      </c>
      <c r="C195" s="6"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c r="A196" s="6" t="s">
        <v>34</v>
      </c>
      <c r="B196">
        <v>2018</v>
      </c>
      <c r="C196" s="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c r="A197" s="6" t="s">
        <v>30</v>
      </c>
      <c r="B197">
        <v>2018</v>
      </c>
      <c r="C197" s="6"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c r="A198" s="6" t="s">
        <v>33</v>
      </c>
      <c r="B198">
        <v>2018</v>
      </c>
      <c r="C198" s="6"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c r="A199" s="6" t="s">
        <v>34</v>
      </c>
      <c r="B199">
        <v>2018</v>
      </c>
      <c r="C199" s="6"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c r="A200" s="6" t="s">
        <v>30</v>
      </c>
      <c r="B200">
        <v>2018</v>
      </c>
      <c r="C200" s="6"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c r="A201" s="6" t="s">
        <v>33</v>
      </c>
      <c r="B201">
        <v>2018</v>
      </c>
      <c r="C201" s="6"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c r="A202" s="6" t="s">
        <v>34</v>
      </c>
      <c r="B202">
        <v>2018</v>
      </c>
      <c r="C202" s="6"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c r="A203" s="6" t="s">
        <v>30</v>
      </c>
      <c r="B203">
        <v>2018</v>
      </c>
      <c r="C203" s="6"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c r="A204" s="6" t="s">
        <v>33</v>
      </c>
      <c r="B204">
        <v>2018</v>
      </c>
      <c r="C204" s="6"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c r="A205" s="6" t="s">
        <v>34</v>
      </c>
      <c r="B205">
        <v>2018</v>
      </c>
      <c r="C205" s="6"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c r="A206" s="6" t="s">
        <v>30</v>
      </c>
      <c r="B206">
        <v>2018</v>
      </c>
      <c r="C206" s="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c r="A207" s="6" t="s">
        <v>33</v>
      </c>
      <c r="B207">
        <v>2018</v>
      </c>
      <c r="C207" s="6"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c r="A208" s="6" t="s">
        <v>34</v>
      </c>
      <c r="B208">
        <v>2018</v>
      </c>
      <c r="C208" s="6"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c r="A209" s="6" t="s">
        <v>30</v>
      </c>
      <c r="B209">
        <v>2018</v>
      </c>
      <c r="C209" s="6"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c r="A210" s="6" t="s">
        <v>33</v>
      </c>
      <c r="B210">
        <v>2018</v>
      </c>
      <c r="C210" s="6"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c r="A211" s="6" t="s">
        <v>34</v>
      </c>
      <c r="B211">
        <v>2018</v>
      </c>
      <c r="C211" s="6"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c r="A212" s="6" t="s">
        <v>30</v>
      </c>
      <c r="B212">
        <v>2018</v>
      </c>
      <c r="C212" s="6"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c r="A213" s="6" t="s">
        <v>33</v>
      </c>
      <c r="B213">
        <v>2018</v>
      </c>
      <c r="C213" s="6"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c r="A214" s="6" t="s">
        <v>34</v>
      </c>
      <c r="B214">
        <v>2018</v>
      </c>
      <c r="C214" s="6"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c r="A215" s="6" t="s">
        <v>30</v>
      </c>
      <c r="B215">
        <v>2018</v>
      </c>
      <c r="C215" s="6"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c r="A216" s="6" t="s">
        <v>33</v>
      </c>
      <c r="B216">
        <v>2018</v>
      </c>
      <c r="C216" s="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c r="A217" s="6" t="s">
        <v>34</v>
      </c>
      <c r="B217">
        <v>2018</v>
      </c>
      <c r="C217" s="6"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c r="A218" s="6" t="s">
        <v>30</v>
      </c>
      <c r="B218">
        <v>2019</v>
      </c>
      <c r="C218" s="6"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c r="A219" s="6" t="s">
        <v>33</v>
      </c>
      <c r="B219">
        <v>2019</v>
      </c>
      <c r="C219" s="6"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c r="A220" s="6" t="s">
        <v>34</v>
      </c>
      <c r="B220">
        <v>2019</v>
      </c>
      <c r="C220" s="6"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c r="A221" s="6" t="s">
        <v>30</v>
      </c>
      <c r="B221">
        <v>2019</v>
      </c>
      <c r="C221" s="6"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c r="A222" s="6" t="s">
        <v>33</v>
      </c>
      <c r="B222">
        <v>2019</v>
      </c>
      <c r="C222" s="6"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c r="A223" s="6" t="s">
        <v>34</v>
      </c>
      <c r="B223">
        <v>2019</v>
      </c>
      <c r="C223" s="6"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c r="A224" s="6" t="s">
        <v>30</v>
      </c>
      <c r="B224">
        <v>2019</v>
      </c>
      <c r="C224" s="6"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c r="A225" s="6" t="s">
        <v>33</v>
      </c>
      <c r="B225">
        <v>2019</v>
      </c>
      <c r="C225" s="6"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c r="A226" s="6" t="s">
        <v>34</v>
      </c>
      <c r="B226">
        <v>2019</v>
      </c>
      <c r="C226" s="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c r="A227" s="6" t="s">
        <v>30</v>
      </c>
      <c r="B227">
        <v>2019</v>
      </c>
      <c r="C227" s="6"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c r="A228" s="6" t="s">
        <v>33</v>
      </c>
      <c r="B228">
        <v>2019</v>
      </c>
      <c r="C228" s="6"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c r="A229" s="6" t="s">
        <v>34</v>
      </c>
      <c r="B229">
        <v>2019</v>
      </c>
      <c r="C229" s="6"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c r="A230" s="6" t="s">
        <v>30</v>
      </c>
      <c r="B230">
        <v>2019</v>
      </c>
      <c r="C230" s="6"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c r="A231" s="6" t="s">
        <v>33</v>
      </c>
      <c r="B231">
        <v>2019</v>
      </c>
      <c r="C231" s="6"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c r="A232" s="6" t="s">
        <v>34</v>
      </c>
      <c r="B232">
        <v>2019</v>
      </c>
      <c r="C232" s="6"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c r="A233" s="6" t="s">
        <v>30</v>
      </c>
      <c r="B233">
        <v>2019</v>
      </c>
      <c r="C233" s="6"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c r="A234" s="6" t="s">
        <v>33</v>
      </c>
      <c r="B234">
        <v>2019</v>
      </c>
      <c r="C234" s="6"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c r="A235" s="6" t="s">
        <v>34</v>
      </c>
      <c r="B235">
        <v>2019</v>
      </c>
      <c r="C235" s="6"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c r="A236" s="6" t="s">
        <v>30</v>
      </c>
      <c r="B236">
        <v>2019</v>
      </c>
      <c r="C236" s="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c r="A237" s="6" t="s">
        <v>33</v>
      </c>
      <c r="B237">
        <v>2019</v>
      </c>
      <c r="C237" s="6"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c r="A238" s="6" t="s">
        <v>34</v>
      </c>
      <c r="B238">
        <v>2019</v>
      </c>
      <c r="C238" s="6"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c r="A239" s="6" t="s">
        <v>30</v>
      </c>
      <c r="B239">
        <v>2019</v>
      </c>
      <c r="C239" s="6"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c r="A240" s="6" t="s">
        <v>33</v>
      </c>
      <c r="B240">
        <v>2019</v>
      </c>
      <c r="C240" s="6"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c r="A241" s="6" t="s">
        <v>34</v>
      </c>
      <c r="B241">
        <v>2019</v>
      </c>
      <c r="C241" s="6"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c r="A242" s="6" t="s">
        <v>30</v>
      </c>
      <c r="B242">
        <v>2019</v>
      </c>
      <c r="C242" s="6"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c r="A243" s="6" t="s">
        <v>33</v>
      </c>
      <c r="B243">
        <v>2019</v>
      </c>
      <c r="C243" s="6"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c r="A244" s="6" t="s">
        <v>34</v>
      </c>
      <c r="B244">
        <v>2019</v>
      </c>
      <c r="C244" s="6"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c r="A245" s="6" t="s">
        <v>30</v>
      </c>
      <c r="B245">
        <v>2019</v>
      </c>
      <c r="C245" s="6"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c r="A246" s="6" t="s">
        <v>33</v>
      </c>
      <c r="B246">
        <v>2019</v>
      </c>
      <c r="C246" s="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c r="A247" s="6" t="s">
        <v>34</v>
      </c>
      <c r="B247">
        <v>2019</v>
      </c>
      <c r="C247" s="6"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c r="A248" s="6" t="s">
        <v>30</v>
      </c>
      <c r="B248">
        <v>2019</v>
      </c>
      <c r="C248" s="6"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c r="A249" s="6" t="s">
        <v>33</v>
      </c>
      <c r="B249">
        <v>2019</v>
      </c>
      <c r="C249" s="6"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c r="A250" s="6" t="s">
        <v>34</v>
      </c>
      <c r="B250">
        <v>2019</v>
      </c>
      <c r="C250" s="6"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c r="A251" s="6" t="s">
        <v>30</v>
      </c>
      <c r="B251">
        <v>2020</v>
      </c>
      <c r="C251" s="6"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c r="A252" s="6" t="s">
        <v>33</v>
      </c>
      <c r="B252">
        <v>2020</v>
      </c>
      <c r="C252" s="6"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c r="A253" s="6" t="s">
        <v>34</v>
      </c>
      <c r="B253">
        <v>2020</v>
      </c>
      <c r="C253" s="6"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c r="A254" s="6" t="s">
        <v>30</v>
      </c>
      <c r="B254">
        <v>2020</v>
      </c>
      <c r="C254" s="6"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c r="A255" s="6" t="s">
        <v>33</v>
      </c>
      <c r="B255">
        <v>2020</v>
      </c>
      <c r="C255" s="6"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c r="A256" s="6" t="s">
        <v>34</v>
      </c>
      <c r="B256">
        <v>2020</v>
      </c>
      <c r="C256" s="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c r="A257" s="6" t="s">
        <v>30</v>
      </c>
      <c r="B257">
        <v>2020</v>
      </c>
      <c r="C257" s="6"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c r="A258" s="6" t="s">
        <v>33</v>
      </c>
      <c r="B258">
        <v>2020</v>
      </c>
      <c r="C258" s="6"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c r="A259" s="6" t="s">
        <v>34</v>
      </c>
      <c r="B259">
        <v>2020</v>
      </c>
      <c r="C259" s="6"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c r="A260" s="6" t="s">
        <v>30</v>
      </c>
      <c r="B260">
        <v>2020</v>
      </c>
      <c r="C260" s="6" t="s">
        <v>37</v>
      </c>
      <c r="D260">
        <v>147.19999999999999</v>
      </c>
      <c r="F260">
        <v>146.9</v>
      </c>
      <c r="G260">
        <v>155.6</v>
      </c>
      <c r="H260">
        <v>137.1</v>
      </c>
      <c r="I260">
        <v>147.30000000000001</v>
      </c>
      <c r="J260">
        <v>162.69999999999999</v>
      </c>
      <c r="K260">
        <v>150.19999999999999</v>
      </c>
      <c r="L260">
        <v>119.8</v>
      </c>
      <c r="M260">
        <v>158.69999999999999</v>
      </c>
      <c r="N260">
        <v>139.19999999999999</v>
      </c>
      <c r="P260">
        <v>150.1</v>
      </c>
      <c r="U260" t="s">
        <v>32</v>
      </c>
      <c r="V260">
        <v>148.4</v>
      </c>
      <c r="X260">
        <v>154.30000000000001</v>
      </c>
    </row>
    <row r="261" spans="1:30">
      <c r="A261" s="6" t="s">
        <v>33</v>
      </c>
      <c r="B261">
        <v>2020</v>
      </c>
      <c r="C261" s="6" t="s">
        <v>37</v>
      </c>
      <c r="D261">
        <v>151.80000000000001</v>
      </c>
      <c r="F261">
        <v>151.9</v>
      </c>
      <c r="G261">
        <v>155.5</v>
      </c>
      <c r="H261">
        <v>131.6</v>
      </c>
      <c r="I261">
        <v>152.9</v>
      </c>
      <c r="J261">
        <v>180</v>
      </c>
      <c r="K261">
        <v>150.80000000000001</v>
      </c>
      <c r="L261">
        <v>121.2</v>
      </c>
      <c r="M261">
        <v>154</v>
      </c>
      <c r="N261">
        <v>133.5</v>
      </c>
      <c r="P261">
        <v>153.5</v>
      </c>
      <c r="U261">
        <v>155.6</v>
      </c>
      <c r="V261">
        <v>137.1</v>
      </c>
      <c r="X261">
        <v>144.80000000000001</v>
      </c>
    </row>
    <row r="262" spans="1:30">
      <c r="A262" s="6" t="s">
        <v>34</v>
      </c>
      <c r="B262">
        <v>2020</v>
      </c>
      <c r="C262" s="6" t="s">
        <v>37</v>
      </c>
      <c r="D262">
        <v>148.69999999999999</v>
      </c>
      <c r="F262">
        <v>148.80000000000001</v>
      </c>
      <c r="G262">
        <v>155.6</v>
      </c>
      <c r="H262">
        <v>135.1</v>
      </c>
      <c r="I262">
        <v>149.9</v>
      </c>
      <c r="J262">
        <v>168.6</v>
      </c>
      <c r="K262">
        <v>150.4</v>
      </c>
      <c r="L262">
        <v>120.3</v>
      </c>
      <c r="M262">
        <v>157.1</v>
      </c>
      <c r="N262">
        <v>136.80000000000001</v>
      </c>
      <c r="P262">
        <v>151.4</v>
      </c>
      <c r="U262">
        <v>155.6</v>
      </c>
      <c r="V262">
        <v>144.1</v>
      </c>
      <c r="X262">
        <v>150.69999999999999</v>
      </c>
    </row>
    <row r="263" spans="1:30">
      <c r="A263" s="6" t="s">
        <v>30</v>
      </c>
      <c r="B263">
        <v>2020</v>
      </c>
      <c r="C263" s="6" t="s">
        <v>38</v>
      </c>
      <c r="U263" t="s">
        <v>32</v>
      </c>
    </row>
    <row r="264" spans="1:30">
      <c r="A264" s="6" t="s">
        <v>33</v>
      </c>
      <c r="B264">
        <v>2020</v>
      </c>
      <c r="C264" s="6" t="s">
        <v>38</v>
      </c>
      <c r="U264" t="s">
        <v>32</v>
      </c>
    </row>
    <row r="265" spans="1:30">
      <c r="A265" s="6" t="s">
        <v>34</v>
      </c>
      <c r="B265">
        <v>2020</v>
      </c>
      <c r="C265" s="6" t="s">
        <v>38</v>
      </c>
      <c r="U265" t="s">
        <v>32</v>
      </c>
    </row>
    <row r="266" spans="1:30">
      <c r="A266" s="6" t="s">
        <v>30</v>
      </c>
      <c r="B266">
        <v>2020</v>
      </c>
      <c r="C266" s="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c r="A267" s="6" t="s">
        <v>33</v>
      </c>
      <c r="B267">
        <v>2020</v>
      </c>
      <c r="C267" s="6"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c r="A268" s="6" t="s">
        <v>34</v>
      </c>
      <c r="B268">
        <v>2020</v>
      </c>
      <c r="C268" s="6"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c r="A269" s="6" t="s">
        <v>30</v>
      </c>
      <c r="B269">
        <v>2020</v>
      </c>
      <c r="C269" s="6"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c r="A270" s="6" t="s">
        <v>33</v>
      </c>
      <c r="B270">
        <v>2020</v>
      </c>
      <c r="C270" s="6"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c r="A271" s="6" t="s">
        <v>34</v>
      </c>
      <c r="B271">
        <v>2020</v>
      </c>
      <c r="C271" s="6"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c r="A272" s="6" t="s">
        <v>30</v>
      </c>
      <c r="B272">
        <v>2020</v>
      </c>
      <c r="C272" s="6"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c r="A273" s="6" t="s">
        <v>33</v>
      </c>
      <c r="B273">
        <v>2020</v>
      </c>
      <c r="C273" s="6"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c r="A274" s="6" t="s">
        <v>34</v>
      </c>
      <c r="B274">
        <v>2020</v>
      </c>
      <c r="C274" s="6"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c r="A275" s="6" t="s">
        <v>30</v>
      </c>
      <c r="B275">
        <v>2020</v>
      </c>
      <c r="C275" s="6"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c r="A276" s="6" t="s">
        <v>33</v>
      </c>
      <c r="B276">
        <v>2020</v>
      </c>
      <c r="C276" s="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c r="A277" s="6" t="s">
        <v>34</v>
      </c>
      <c r="B277">
        <v>2020</v>
      </c>
      <c r="C277" s="6"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c r="A278" s="6" t="s">
        <v>30</v>
      </c>
      <c r="B278">
        <v>2020</v>
      </c>
      <c r="C278" s="6"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c r="A279" s="6" t="s">
        <v>33</v>
      </c>
      <c r="B279">
        <v>2020</v>
      </c>
      <c r="C279" s="6"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c r="A280" s="6" t="s">
        <v>34</v>
      </c>
      <c r="B280">
        <v>2020</v>
      </c>
      <c r="C280" s="6"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c r="A281" s="6" t="s">
        <v>30</v>
      </c>
      <c r="B281">
        <v>2020</v>
      </c>
      <c r="C281" s="6"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c r="A282" s="6" t="s">
        <v>33</v>
      </c>
      <c r="B282">
        <v>2020</v>
      </c>
      <c r="C282" s="6"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c r="A283" s="6" t="s">
        <v>34</v>
      </c>
      <c r="B283">
        <v>2020</v>
      </c>
      <c r="C283" s="6"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c r="A284" s="6" t="s">
        <v>30</v>
      </c>
      <c r="B284">
        <v>2020</v>
      </c>
      <c r="C284" s="6"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c r="A285" s="6" t="s">
        <v>33</v>
      </c>
      <c r="B285">
        <v>2020</v>
      </c>
      <c r="C285" s="6"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c r="A286" s="6" t="s">
        <v>34</v>
      </c>
      <c r="B286">
        <v>2020</v>
      </c>
      <c r="C286" s="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c r="A287" s="6" t="s">
        <v>30</v>
      </c>
      <c r="B287">
        <v>2021</v>
      </c>
      <c r="C287" s="6"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c r="A288" s="6" t="s">
        <v>33</v>
      </c>
      <c r="B288">
        <v>2021</v>
      </c>
      <c r="C288" s="6"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c r="A289" s="6" t="s">
        <v>34</v>
      </c>
      <c r="B289">
        <v>2021</v>
      </c>
      <c r="C289" s="6"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c r="A290" s="6" t="s">
        <v>30</v>
      </c>
      <c r="B290">
        <v>2021</v>
      </c>
      <c r="C290" s="6"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c r="A291" s="6" t="s">
        <v>33</v>
      </c>
      <c r="B291">
        <v>2021</v>
      </c>
      <c r="C291" s="6"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c r="A292" s="6" t="s">
        <v>34</v>
      </c>
      <c r="B292">
        <v>2021</v>
      </c>
      <c r="C292" s="6"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c r="A293" s="6" t="s">
        <v>30</v>
      </c>
      <c r="B293">
        <v>2021</v>
      </c>
      <c r="C293" s="6"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c r="A294" s="6" t="s">
        <v>33</v>
      </c>
      <c r="B294">
        <v>2021</v>
      </c>
      <c r="C294" s="6"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c r="A295" s="6" t="s">
        <v>34</v>
      </c>
      <c r="B295">
        <v>2021</v>
      </c>
      <c r="C295" s="6"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c r="A296" s="6" t="s">
        <v>30</v>
      </c>
      <c r="B296">
        <v>2021</v>
      </c>
      <c r="C296" s="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c r="A297" s="6" t="s">
        <v>33</v>
      </c>
      <c r="B297">
        <v>2021</v>
      </c>
      <c r="C297" s="6"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c r="A298" s="6" t="s">
        <v>34</v>
      </c>
      <c r="B298">
        <v>2021</v>
      </c>
      <c r="C298" s="6"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c r="A299" s="6" t="s">
        <v>30</v>
      </c>
      <c r="B299">
        <v>2021</v>
      </c>
      <c r="C299" s="6"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c r="A300" s="6" t="s">
        <v>33</v>
      </c>
      <c r="B300">
        <v>2021</v>
      </c>
      <c r="C300" s="6"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c r="A301" s="6" t="s">
        <v>34</v>
      </c>
      <c r="B301">
        <v>2021</v>
      </c>
      <c r="C301" s="6"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c r="A302" s="6" t="s">
        <v>30</v>
      </c>
      <c r="B302">
        <v>2021</v>
      </c>
      <c r="C302" s="6"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c r="A303" s="6" t="s">
        <v>33</v>
      </c>
      <c r="B303">
        <v>2021</v>
      </c>
      <c r="C303" s="6"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c r="A304" s="6" t="s">
        <v>34</v>
      </c>
      <c r="B304">
        <v>2021</v>
      </c>
      <c r="C304" s="6"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c r="A305" s="6" t="s">
        <v>30</v>
      </c>
      <c r="B305">
        <v>2021</v>
      </c>
      <c r="C305" s="6"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c r="A306" s="6" t="s">
        <v>33</v>
      </c>
      <c r="B306">
        <v>2021</v>
      </c>
      <c r="C306" s="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c r="A307" s="6" t="s">
        <v>34</v>
      </c>
      <c r="B307">
        <v>2021</v>
      </c>
      <c r="C307" s="6"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c r="A308" s="6" t="s">
        <v>30</v>
      </c>
      <c r="B308">
        <v>2021</v>
      </c>
      <c r="C308" s="6"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c r="A309" s="6" t="s">
        <v>33</v>
      </c>
      <c r="B309">
        <v>2021</v>
      </c>
      <c r="C309" s="6"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c r="A310" s="6" t="s">
        <v>34</v>
      </c>
      <c r="B310">
        <v>2021</v>
      </c>
      <c r="C310" s="6"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c r="A311" s="6" t="s">
        <v>30</v>
      </c>
      <c r="B311">
        <v>2021</v>
      </c>
      <c r="C311" s="6"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c r="A312" s="6" t="s">
        <v>33</v>
      </c>
      <c r="B312">
        <v>2021</v>
      </c>
      <c r="C312" s="6"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c r="A313" s="6" t="s">
        <v>34</v>
      </c>
      <c r="B313">
        <v>2021</v>
      </c>
      <c r="C313" s="6"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c r="A314" s="6" t="s">
        <v>30</v>
      </c>
      <c r="B314">
        <v>2021</v>
      </c>
      <c r="C314" s="6"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c r="A315" s="6" t="s">
        <v>33</v>
      </c>
      <c r="B315">
        <v>2021</v>
      </c>
      <c r="C315" s="6"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c r="A316" s="6" t="s">
        <v>34</v>
      </c>
      <c r="B316">
        <v>2021</v>
      </c>
      <c r="C316" s="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c r="A317" s="6" t="s">
        <v>30</v>
      </c>
      <c r="B317">
        <v>2021</v>
      </c>
      <c r="C317" s="6"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c r="A318" s="6" t="s">
        <v>33</v>
      </c>
      <c r="B318">
        <v>2021</v>
      </c>
      <c r="C318" s="6"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c r="A319" s="6" t="s">
        <v>34</v>
      </c>
      <c r="B319">
        <v>2021</v>
      </c>
      <c r="C319" s="6"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c r="A320" s="6" t="s">
        <v>30</v>
      </c>
      <c r="B320">
        <v>2021</v>
      </c>
      <c r="C320" s="6"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c r="A321" s="6" t="s">
        <v>33</v>
      </c>
      <c r="B321">
        <v>2021</v>
      </c>
      <c r="C321" s="6"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c r="A322" s="6" t="s">
        <v>34</v>
      </c>
      <c r="B322">
        <v>2021</v>
      </c>
      <c r="C322" s="6"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c r="A323" s="6" t="s">
        <v>30</v>
      </c>
      <c r="B323">
        <v>2022</v>
      </c>
      <c r="C323" s="6"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c r="A324" s="6" t="s">
        <v>33</v>
      </c>
      <c r="B324">
        <v>2022</v>
      </c>
      <c r="C324" s="6"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c r="A325" s="6" t="s">
        <v>34</v>
      </c>
      <c r="B325">
        <v>2022</v>
      </c>
      <c r="C325" s="6"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c r="A326" s="6" t="s">
        <v>30</v>
      </c>
      <c r="B326">
        <v>2022</v>
      </c>
      <c r="C326" s="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c r="A327" s="6" t="s">
        <v>33</v>
      </c>
      <c r="B327">
        <v>2022</v>
      </c>
      <c r="C327" s="6"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c r="A328" s="6" t="s">
        <v>34</v>
      </c>
      <c r="B328">
        <v>2022</v>
      </c>
      <c r="C328" s="6"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c r="A329" s="6" t="s">
        <v>30</v>
      </c>
      <c r="B329">
        <v>2022</v>
      </c>
      <c r="C329" s="6"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c r="A330" s="6" t="s">
        <v>33</v>
      </c>
      <c r="B330">
        <v>2022</v>
      </c>
      <c r="C330" s="6"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c r="A331" s="6" t="s">
        <v>34</v>
      </c>
      <c r="B331">
        <v>2022</v>
      </c>
      <c r="C331" s="6"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c r="A332" s="6" t="s">
        <v>30</v>
      </c>
      <c r="B332">
        <v>2022</v>
      </c>
      <c r="C332" s="6"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c r="A333" s="6" t="s">
        <v>33</v>
      </c>
      <c r="B333">
        <v>2022</v>
      </c>
      <c r="C333" s="6"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c r="A334" s="6" t="s">
        <v>34</v>
      </c>
      <c r="B334">
        <v>2022</v>
      </c>
      <c r="C334" s="6"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c r="A335" s="6" t="s">
        <v>30</v>
      </c>
      <c r="B335">
        <v>2022</v>
      </c>
      <c r="C335" s="6"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c r="A336" s="6" t="s">
        <v>33</v>
      </c>
      <c r="B336">
        <v>2022</v>
      </c>
      <c r="C336" s="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c r="A337" s="6" t="s">
        <v>34</v>
      </c>
      <c r="B337">
        <v>2022</v>
      </c>
      <c r="C337" s="6"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c r="A338" s="6" t="s">
        <v>30</v>
      </c>
      <c r="B338">
        <v>2022</v>
      </c>
      <c r="C338" s="6"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c r="A339" s="6" t="s">
        <v>33</v>
      </c>
      <c r="B339">
        <v>2022</v>
      </c>
      <c r="C339" s="6"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c r="A340" s="6" t="s">
        <v>34</v>
      </c>
      <c r="B340">
        <v>2022</v>
      </c>
      <c r="C340" s="6"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c r="A341" s="6" t="s">
        <v>30</v>
      </c>
      <c r="B341">
        <v>2022</v>
      </c>
      <c r="C341" s="6"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c r="A342" s="6" t="s">
        <v>33</v>
      </c>
      <c r="B342">
        <v>2022</v>
      </c>
      <c r="C342" s="6"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c r="A343" s="6" t="s">
        <v>34</v>
      </c>
      <c r="B343">
        <v>2022</v>
      </c>
      <c r="C343" s="6"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c r="A344" s="6" t="s">
        <v>30</v>
      </c>
      <c r="B344">
        <v>2022</v>
      </c>
      <c r="C344" s="6"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c r="A345" s="6" t="s">
        <v>33</v>
      </c>
      <c r="B345">
        <v>2022</v>
      </c>
      <c r="C345" s="6"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c r="A346" s="6" t="s">
        <v>34</v>
      </c>
      <c r="B346">
        <v>2022</v>
      </c>
      <c r="C346" s="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c r="A347" s="6" t="s">
        <v>30</v>
      </c>
      <c r="B347">
        <v>2022</v>
      </c>
      <c r="C347" s="6"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c r="A348" s="6" t="s">
        <v>33</v>
      </c>
      <c r="B348">
        <v>2022</v>
      </c>
      <c r="C348" s="6"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c r="A349" s="6" t="s">
        <v>34</v>
      </c>
      <c r="B349">
        <v>2022</v>
      </c>
      <c r="C349" s="6"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c r="A350" s="6" t="s">
        <v>30</v>
      </c>
      <c r="B350">
        <v>2022</v>
      </c>
      <c r="C350" s="6"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c r="A351" s="6" t="s">
        <v>33</v>
      </c>
      <c r="B351">
        <v>2022</v>
      </c>
      <c r="C351" s="6"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c r="A352" s="6" t="s">
        <v>34</v>
      </c>
      <c r="B352">
        <v>2022</v>
      </c>
      <c r="C352" s="6"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c r="A353" s="6" t="s">
        <v>30</v>
      </c>
      <c r="B353">
        <v>2022</v>
      </c>
      <c r="C353" s="6"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c r="A354" s="6" t="s">
        <v>33</v>
      </c>
      <c r="B354">
        <v>2022</v>
      </c>
      <c r="C354" s="6"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c r="A355" s="6" t="s">
        <v>34</v>
      </c>
      <c r="B355">
        <v>2022</v>
      </c>
      <c r="C355" s="6"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c r="A356" s="6" t="s">
        <v>30</v>
      </c>
      <c r="B356">
        <v>2022</v>
      </c>
      <c r="C356" s="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c r="A357" s="6" t="s">
        <v>33</v>
      </c>
      <c r="B357">
        <v>2022</v>
      </c>
      <c r="C357" s="6"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c r="A358" s="6" t="s">
        <v>34</v>
      </c>
      <c r="B358">
        <v>2022</v>
      </c>
      <c r="C358" s="6"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c r="A359" s="6" t="s">
        <v>30</v>
      </c>
      <c r="B359">
        <v>2023</v>
      </c>
      <c r="C359" s="6"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c r="A360" s="6" t="s">
        <v>33</v>
      </c>
      <c r="B360">
        <v>2023</v>
      </c>
      <c r="C360" s="6"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c r="A361" s="6" t="s">
        <v>34</v>
      </c>
      <c r="B361">
        <v>2023</v>
      </c>
      <c r="C361" s="6"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c r="A362" s="6" t="s">
        <v>30</v>
      </c>
      <c r="B362">
        <v>2023</v>
      </c>
      <c r="C362" s="6"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c r="A363" s="6" t="s">
        <v>33</v>
      </c>
      <c r="B363">
        <v>2023</v>
      </c>
      <c r="C363" s="6"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c r="A364" s="6" t="s">
        <v>34</v>
      </c>
      <c r="B364">
        <v>2023</v>
      </c>
      <c r="C364" s="6"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c r="A365" s="6" t="s">
        <v>30</v>
      </c>
      <c r="B365">
        <v>2023</v>
      </c>
      <c r="C365" s="6"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c r="A366" s="6" t="s">
        <v>33</v>
      </c>
      <c r="B366">
        <v>2023</v>
      </c>
      <c r="C366" s="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c r="A367" s="6" t="s">
        <v>34</v>
      </c>
      <c r="B367">
        <v>2023</v>
      </c>
      <c r="C367" s="6"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c r="A368" s="6" t="s">
        <v>30</v>
      </c>
      <c r="B368">
        <v>2023</v>
      </c>
      <c r="C368" s="6"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c r="A369" s="6" t="s">
        <v>33</v>
      </c>
      <c r="B369">
        <v>2023</v>
      </c>
      <c r="C369" s="6"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c r="A370" s="6" t="s">
        <v>34</v>
      </c>
      <c r="B370">
        <v>2023</v>
      </c>
      <c r="C370" s="6"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c r="A371" s="6" t="s">
        <v>30</v>
      </c>
      <c r="B371">
        <v>2023</v>
      </c>
      <c r="C371" s="6"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c r="A372" s="6" t="s">
        <v>33</v>
      </c>
      <c r="B372">
        <v>2023</v>
      </c>
      <c r="C372" s="6"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c r="A373" s="6" t="s">
        <v>34</v>
      </c>
      <c r="B373">
        <v>2023</v>
      </c>
      <c r="C373" s="6"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73"/>
  <sheetViews>
    <sheetView topLeftCell="J257" workbookViewId="0">
      <selection activeCell="C266" sqref="C266:F271"/>
    </sheetView>
  </sheetViews>
  <sheetFormatPr defaultColWidth="10.28515625" defaultRowHeight="15"/>
  <cols>
    <col min="4" max="4" width="21.5703125" customWidth="1"/>
    <col min="5" max="5" width="15.28515625" customWidth="1"/>
    <col min="7" max="7" width="19" customWidth="1"/>
    <col min="8" max="8" width="14" customWidth="1"/>
    <col min="10" max="10" width="13.140625" customWidth="1"/>
    <col min="11" max="11" width="20.7109375" customWidth="1"/>
    <col min="12" max="12" width="24.7109375" customWidth="1"/>
    <col min="14" max="14" width="25" customWidth="1"/>
    <col min="15" max="15" width="34.7109375" customWidth="1"/>
    <col min="16" max="16" width="20.85546875" customWidth="1"/>
    <col min="17" max="17" width="28.140625" customWidth="1"/>
    <col min="18" max="18" width="10.5703125" customWidth="1"/>
    <col min="19" max="19" width="11.5703125" customWidth="1"/>
    <col min="20" max="20" width="22.85546875" customWidth="1"/>
    <col min="22" max="22" width="15.140625" customWidth="1"/>
    <col min="23" max="23" width="29.7109375" customWidth="1"/>
    <col min="25" max="25" width="29.42578125" customWidth="1"/>
    <col min="26" max="26" width="27.42578125" customWidth="1"/>
    <col min="27" max="27" width="11.85546875" customWidth="1"/>
    <col min="28" max="28" width="25.28515625" customWidth="1"/>
    <col min="29" max="29" width="16" customWidth="1"/>
    <col min="30" max="30" width="15.7109375" customWidth="1"/>
  </cols>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74D17-CB18-408B-BBD7-90747DE11C44}">
  <dimension ref="A1:AD373"/>
  <sheetViews>
    <sheetView topLeftCell="V352" workbookViewId="0">
      <selection sqref="A1:AD373"/>
    </sheetView>
  </sheetViews>
  <sheetFormatPr defaultRowHeight="15"/>
  <cols>
    <col min="1" max="1" width="8.85546875" bestFit="1" customWidth="1"/>
    <col min="2" max="2" width="7.140625" bestFit="1" customWidth="1"/>
    <col min="4" max="4" width="22" bestFit="1" customWidth="1"/>
    <col min="5" max="5" width="15.42578125" bestFit="1" customWidth="1"/>
    <col min="6" max="6" width="6.28515625" bestFit="1" customWidth="1"/>
    <col min="7" max="7" width="19.140625" bestFit="1" customWidth="1"/>
    <col min="8" max="8" width="14.140625" bestFit="1" customWidth="1"/>
    <col min="9" max="9" width="8.28515625" bestFit="1" customWidth="1"/>
    <col min="10" max="10" width="13.28515625" bestFit="1" customWidth="1"/>
    <col min="11" max="11" width="21.140625" bestFit="1" customWidth="1"/>
    <col min="12" max="12" width="25.28515625" bestFit="1" customWidth="1"/>
    <col min="13" max="13" width="8.85546875" bestFit="1" customWidth="1"/>
    <col min="14" max="14" width="25.5703125" bestFit="1" customWidth="1"/>
    <col min="15" max="15" width="35.5703125" bestFit="1" customWidth="1"/>
    <col min="16" max="16" width="21.28515625" bestFit="1" customWidth="1"/>
    <col min="17" max="17" width="28.85546875" bestFit="1" customWidth="1"/>
    <col min="18" max="18" width="10.7109375" bestFit="1" customWidth="1"/>
    <col min="19" max="19" width="11.7109375" bestFit="1" customWidth="1"/>
    <col min="20" max="20" width="23.28515625" bestFit="1" customWidth="1"/>
    <col min="21" max="21" width="10.42578125" bestFit="1" customWidth="1"/>
    <col min="22" max="22" width="15.42578125" bestFit="1" customWidth="1"/>
    <col min="23" max="23" width="30.42578125" bestFit="1" customWidth="1"/>
    <col min="25" max="25" width="30.140625" bestFit="1" customWidth="1"/>
    <col min="26" max="26" width="28.140625" bestFit="1" customWidth="1"/>
    <col min="27" max="27" width="12" bestFit="1" customWidth="1"/>
    <col min="28" max="28" width="25.85546875" bestFit="1" customWidth="1"/>
    <col min="29" max="29" width="16.140625" bestFit="1" customWidth="1"/>
    <col min="30" max="30" width="15.85546875" bestFit="1" customWidth="1"/>
  </cols>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c r="A46" t="s">
        <v>34</v>
      </c>
      <c r="B46">
        <v>2014</v>
      </c>
      <c r="C46" s="2" t="s">
        <v>36</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autoFilter ref="A1:AD373" xr:uid="{C3274D17-CB18-408B-BBD7-90747DE11C44}"/>
  <conditionalFormatting sqref="D2:AD373">
    <cfRule type="containsText" dxfId="12" priority="2" operator="containsText" text="NA">
      <formula>NOT(ISERROR(SEARCH("NA",D2)))</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1" operator="containsText" id="{DF5C67CF-5B19-45C0-AEA5-7CAA407FE8EC}">
            <xm:f>NOT(ISERROR(SEARCH("-",D2)))</xm:f>
            <xm:f>"-"</xm:f>
            <x14:dxf>
              <font>
                <color rgb="FF9C0006"/>
              </font>
              <fill>
                <patternFill>
                  <bgColor rgb="FFFFC7CE"/>
                </patternFill>
              </fill>
            </x14:dxf>
          </x14:cfRule>
          <xm:sqref>D2:AD373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FAB3E-18D4-4622-A56A-573487AC427C}">
  <dimension ref="A1:G30"/>
  <sheetViews>
    <sheetView workbookViewId="0">
      <selection activeCell="C4" sqref="C4"/>
    </sheetView>
  </sheetViews>
  <sheetFormatPr defaultRowHeight="15"/>
  <cols>
    <col min="2" max="2" width="33.28515625" bestFit="1" customWidth="1"/>
    <col min="3" max="3" width="35.7109375" bestFit="1" customWidth="1"/>
    <col min="4" max="4" width="10.42578125" bestFit="1" customWidth="1"/>
    <col min="5" max="5" width="8.42578125" bestFit="1" customWidth="1"/>
    <col min="6" max="6" width="52.140625" style="11" customWidth="1"/>
    <col min="7" max="7" width="51.42578125" bestFit="1" customWidth="1"/>
  </cols>
  <sheetData>
    <row r="1" spans="1:7">
      <c r="A1" t="s">
        <v>49</v>
      </c>
      <c r="B1" t="s">
        <v>50</v>
      </c>
      <c r="C1" t="s">
        <v>51</v>
      </c>
      <c r="D1" t="s">
        <v>52</v>
      </c>
      <c r="E1" s="13" t="s">
        <v>93</v>
      </c>
      <c r="F1" s="14" t="s">
        <v>94</v>
      </c>
      <c r="G1" t="s">
        <v>90</v>
      </c>
    </row>
    <row r="2" spans="1:7">
      <c r="A2" t="s">
        <v>53</v>
      </c>
      <c r="B2" t="s">
        <v>54</v>
      </c>
      <c r="C2" t="s">
        <v>55</v>
      </c>
      <c r="D2">
        <v>1</v>
      </c>
      <c r="E2" s="2" t="s">
        <v>63</v>
      </c>
      <c r="F2" s="10" t="s">
        <v>65</v>
      </c>
    </row>
    <row r="3" spans="1:7" ht="30">
      <c r="A3" t="s">
        <v>53</v>
      </c>
      <c r="B3" t="s">
        <v>3</v>
      </c>
      <c r="C3" s="2" t="s">
        <v>57</v>
      </c>
      <c r="D3">
        <v>3</v>
      </c>
      <c r="E3" s="2" t="s">
        <v>64</v>
      </c>
      <c r="F3" s="10" t="s">
        <v>66</v>
      </c>
      <c r="G3" s="11" t="s">
        <v>91</v>
      </c>
    </row>
    <row r="4" spans="1:7" ht="30">
      <c r="A4" t="s">
        <v>53</v>
      </c>
      <c r="B4" t="s">
        <v>4</v>
      </c>
      <c r="C4" s="2" t="s">
        <v>58</v>
      </c>
      <c r="D4">
        <v>6</v>
      </c>
      <c r="E4" s="2" t="s">
        <v>64</v>
      </c>
      <c r="F4" s="10" t="s">
        <v>66</v>
      </c>
      <c r="G4" s="11" t="s">
        <v>91</v>
      </c>
    </row>
    <row r="5" spans="1:7" ht="30">
      <c r="A5" t="s">
        <v>53</v>
      </c>
      <c r="B5" t="s">
        <v>5</v>
      </c>
      <c r="C5" s="2" t="s">
        <v>57</v>
      </c>
      <c r="D5" s="1">
        <v>3</v>
      </c>
      <c r="E5" s="2" t="s">
        <v>64</v>
      </c>
      <c r="F5" s="10" t="s">
        <v>66</v>
      </c>
      <c r="G5" s="11" t="s">
        <v>91</v>
      </c>
    </row>
    <row r="6" spans="1:7" ht="30">
      <c r="A6" t="s">
        <v>53</v>
      </c>
      <c r="B6" t="s">
        <v>6</v>
      </c>
      <c r="C6" s="2" t="s">
        <v>57</v>
      </c>
      <c r="D6" s="1">
        <v>3</v>
      </c>
      <c r="E6" s="2" t="s">
        <v>64</v>
      </c>
      <c r="F6" s="10" t="s">
        <v>66</v>
      </c>
      <c r="G6" s="11" t="s">
        <v>91</v>
      </c>
    </row>
    <row r="7" spans="1:7" ht="30">
      <c r="A7" t="s">
        <v>53</v>
      </c>
      <c r="B7" t="s">
        <v>7</v>
      </c>
      <c r="C7" s="2" t="s">
        <v>57</v>
      </c>
      <c r="D7" s="1">
        <v>3</v>
      </c>
      <c r="E7" s="2" t="s">
        <v>64</v>
      </c>
      <c r="F7" s="10" t="s">
        <v>66</v>
      </c>
      <c r="G7" s="11" t="s">
        <v>91</v>
      </c>
    </row>
    <row r="8" spans="1:7" ht="30">
      <c r="A8" t="s">
        <v>53</v>
      </c>
      <c r="B8" t="s">
        <v>8</v>
      </c>
      <c r="C8" s="2" t="s">
        <v>57</v>
      </c>
      <c r="D8" s="1">
        <v>3</v>
      </c>
      <c r="E8" s="2" t="s">
        <v>64</v>
      </c>
      <c r="F8" s="10" t="s">
        <v>66</v>
      </c>
      <c r="G8" s="11" t="s">
        <v>91</v>
      </c>
    </row>
    <row r="9" spans="1:7" ht="30">
      <c r="A9" t="s">
        <v>53</v>
      </c>
      <c r="B9" t="s">
        <v>9</v>
      </c>
      <c r="C9" s="2" t="s">
        <v>57</v>
      </c>
      <c r="D9" s="1">
        <v>3</v>
      </c>
      <c r="E9" s="2" t="s">
        <v>64</v>
      </c>
      <c r="F9" s="10" t="s">
        <v>66</v>
      </c>
      <c r="G9" s="11" t="s">
        <v>91</v>
      </c>
    </row>
    <row r="10" spans="1:7" ht="30">
      <c r="A10" t="s">
        <v>53</v>
      </c>
      <c r="B10" t="s">
        <v>10</v>
      </c>
      <c r="C10" s="2" t="s">
        <v>57</v>
      </c>
      <c r="D10" s="1">
        <v>3</v>
      </c>
      <c r="E10" s="2" t="s">
        <v>64</v>
      </c>
      <c r="F10" s="10" t="s">
        <v>66</v>
      </c>
      <c r="G10" s="11" t="s">
        <v>91</v>
      </c>
    </row>
    <row r="11" spans="1:7" ht="30">
      <c r="A11" t="s">
        <v>53</v>
      </c>
      <c r="B11" t="s">
        <v>11</v>
      </c>
      <c r="C11" s="2" t="s">
        <v>57</v>
      </c>
      <c r="D11" s="1">
        <v>3</v>
      </c>
      <c r="E11" s="2" t="s">
        <v>64</v>
      </c>
      <c r="F11" s="10" t="s">
        <v>66</v>
      </c>
      <c r="G11" s="11" t="s">
        <v>91</v>
      </c>
    </row>
    <row r="12" spans="1:7" ht="30">
      <c r="A12" t="s">
        <v>53</v>
      </c>
      <c r="B12" t="s">
        <v>12</v>
      </c>
      <c r="C12" s="2" t="s">
        <v>57</v>
      </c>
      <c r="D12" s="1">
        <v>3</v>
      </c>
      <c r="E12" s="2" t="s">
        <v>64</v>
      </c>
      <c r="F12" s="10" t="s">
        <v>66</v>
      </c>
      <c r="G12" s="11" t="s">
        <v>91</v>
      </c>
    </row>
    <row r="13" spans="1:7" ht="30">
      <c r="A13" t="s">
        <v>53</v>
      </c>
      <c r="B13" t="s">
        <v>13</v>
      </c>
      <c r="C13" s="2" t="s">
        <v>57</v>
      </c>
      <c r="D13" s="1">
        <v>3</v>
      </c>
      <c r="E13" s="2" t="s">
        <v>64</v>
      </c>
      <c r="F13" s="10" t="s">
        <v>66</v>
      </c>
      <c r="G13" s="11" t="s">
        <v>91</v>
      </c>
    </row>
    <row r="14" spans="1:7" ht="30">
      <c r="A14" t="s">
        <v>53</v>
      </c>
      <c r="B14" t="s">
        <v>14</v>
      </c>
      <c r="C14" s="2" t="s">
        <v>58</v>
      </c>
      <c r="D14">
        <v>6</v>
      </c>
      <c r="E14" s="2" t="s">
        <v>64</v>
      </c>
      <c r="F14" s="10" t="s">
        <v>66</v>
      </c>
      <c r="G14" s="11" t="s">
        <v>91</v>
      </c>
    </row>
    <row r="15" spans="1:7" ht="30">
      <c r="A15" t="s">
        <v>53</v>
      </c>
      <c r="B15" t="s">
        <v>15</v>
      </c>
      <c r="C15" s="2" t="s">
        <v>57</v>
      </c>
      <c r="D15">
        <v>3</v>
      </c>
      <c r="E15" s="2" t="s">
        <v>64</v>
      </c>
      <c r="F15" s="10" t="s">
        <v>66</v>
      </c>
      <c r="G15" s="11" t="s">
        <v>91</v>
      </c>
    </row>
    <row r="16" spans="1:7" ht="30">
      <c r="A16" t="s">
        <v>53</v>
      </c>
      <c r="B16" t="s">
        <v>16</v>
      </c>
      <c r="C16" s="2" t="s">
        <v>58</v>
      </c>
      <c r="D16">
        <v>6</v>
      </c>
      <c r="E16" s="2" t="s">
        <v>64</v>
      </c>
      <c r="F16" s="10" t="s">
        <v>66</v>
      </c>
      <c r="G16" s="11" t="s">
        <v>91</v>
      </c>
    </row>
    <row r="17" spans="1:7" ht="30">
      <c r="A17" t="s">
        <v>53</v>
      </c>
      <c r="B17" t="s">
        <v>17</v>
      </c>
      <c r="C17" s="2" t="s">
        <v>58</v>
      </c>
      <c r="D17">
        <v>6</v>
      </c>
      <c r="E17" s="2" t="s">
        <v>64</v>
      </c>
      <c r="F17" s="10" t="s">
        <v>66</v>
      </c>
      <c r="G17" s="11" t="s">
        <v>91</v>
      </c>
    </row>
    <row r="18" spans="1:7" ht="30">
      <c r="A18" t="s">
        <v>53</v>
      </c>
      <c r="B18" t="s">
        <v>18</v>
      </c>
      <c r="C18" s="2" t="s">
        <v>58</v>
      </c>
      <c r="D18">
        <v>6</v>
      </c>
      <c r="E18" s="2" t="s">
        <v>64</v>
      </c>
      <c r="F18" s="10" t="s">
        <v>66</v>
      </c>
      <c r="G18" s="11" t="s">
        <v>91</v>
      </c>
    </row>
    <row r="19" spans="1:7" ht="30">
      <c r="A19" t="s">
        <v>53</v>
      </c>
      <c r="B19" t="s">
        <v>19</v>
      </c>
      <c r="C19" s="2" t="s">
        <v>58</v>
      </c>
      <c r="D19">
        <v>6</v>
      </c>
      <c r="E19" s="2" t="s">
        <v>64</v>
      </c>
      <c r="F19" s="10" t="s">
        <v>66</v>
      </c>
      <c r="G19" s="11" t="s">
        <v>91</v>
      </c>
    </row>
    <row r="20" spans="1:7" ht="45">
      <c r="A20" t="s">
        <v>53</v>
      </c>
      <c r="B20" t="s">
        <v>20</v>
      </c>
      <c r="C20" s="2" t="s">
        <v>67</v>
      </c>
      <c r="D20">
        <v>8</v>
      </c>
      <c r="E20" s="2" t="s">
        <v>64</v>
      </c>
      <c r="F20" s="10" t="s">
        <v>68</v>
      </c>
      <c r="G20" s="11" t="s">
        <v>92</v>
      </c>
    </row>
    <row r="21" spans="1:7" ht="30">
      <c r="A21" t="s">
        <v>53</v>
      </c>
      <c r="B21" t="s">
        <v>21</v>
      </c>
      <c r="C21" t="s">
        <v>56</v>
      </c>
      <c r="D21">
        <v>3</v>
      </c>
      <c r="E21" s="2" t="s">
        <v>64</v>
      </c>
      <c r="F21" s="10" t="s">
        <v>66</v>
      </c>
      <c r="G21" s="11" t="s">
        <v>91</v>
      </c>
    </row>
    <row r="22" spans="1:7" ht="30">
      <c r="A22" t="s">
        <v>53</v>
      </c>
      <c r="B22" t="s">
        <v>22</v>
      </c>
      <c r="C22" s="2" t="s">
        <v>58</v>
      </c>
      <c r="D22">
        <v>6</v>
      </c>
      <c r="E22" s="2" t="s">
        <v>64</v>
      </c>
      <c r="F22" s="10" t="s">
        <v>66</v>
      </c>
      <c r="G22" s="11" t="s">
        <v>91</v>
      </c>
    </row>
    <row r="23" spans="1:7" ht="30">
      <c r="A23" t="s">
        <v>53</v>
      </c>
      <c r="B23" t="s">
        <v>23</v>
      </c>
      <c r="C23" t="s">
        <v>56</v>
      </c>
      <c r="D23">
        <v>3</v>
      </c>
      <c r="E23" s="2" t="s">
        <v>64</v>
      </c>
      <c r="F23" s="10" t="s">
        <v>66</v>
      </c>
      <c r="G23" s="11" t="s">
        <v>91</v>
      </c>
    </row>
    <row r="24" spans="1:7" ht="30">
      <c r="A24" t="s">
        <v>53</v>
      </c>
      <c r="B24" t="s">
        <v>24</v>
      </c>
      <c r="C24" s="2" t="s">
        <v>58</v>
      </c>
      <c r="D24">
        <v>6</v>
      </c>
      <c r="E24" s="2" t="s">
        <v>64</v>
      </c>
      <c r="F24" s="10" t="s">
        <v>66</v>
      </c>
      <c r="G24" s="11" t="s">
        <v>91</v>
      </c>
    </row>
    <row r="25" spans="1:7" ht="30">
      <c r="A25" t="s">
        <v>53</v>
      </c>
      <c r="B25" t="s">
        <v>25</v>
      </c>
      <c r="C25" s="2" t="s">
        <v>58</v>
      </c>
      <c r="D25">
        <v>6</v>
      </c>
      <c r="E25" s="2" t="s">
        <v>64</v>
      </c>
      <c r="F25" s="10" t="s">
        <v>66</v>
      </c>
      <c r="G25" s="11" t="s">
        <v>91</v>
      </c>
    </row>
    <row r="26" spans="1:7" ht="30">
      <c r="A26" t="s">
        <v>53</v>
      </c>
      <c r="B26" t="s">
        <v>26</v>
      </c>
      <c r="C26" s="2" t="s">
        <v>58</v>
      </c>
      <c r="D26">
        <v>6</v>
      </c>
      <c r="E26" s="2" t="s">
        <v>64</v>
      </c>
      <c r="F26" s="10" t="s">
        <v>66</v>
      </c>
      <c r="G26" s="11" t="s">
        <v>91</v>
      </c>
    </row>
    <row r="27" spans="1:7" ht="30">
      <c r="A27" t="s">
        <v>53</v>
      </c>
      <c r="B27" t="s">
        <v>27</v>
      </c>
      <c r="C27" s="2" t="s">
        <v>58</v>
      </c>
      <c r="D27">
        <v>6</v>
      </c>
      <c r="E27" s="2" t="s">
        <v>64</v>
      </c>
      <c r="F27" s="10" t="s">
        <v>66</v>
      </c>
      <c r="G27" s="11" t="s">
        <v>91</v>
      </c>
    </row>
    <row r="28" spans="1:7" ht="30">
      <c r="A28" t="s">
        <v>53</v>
      </c>
      <c r="B28" t="s">
        <v>28</v>
      </c>
      <c r="C28" s="2" t="s">
        <v>58</v>
      </c>
      <c r="D28">
        <v>6</v>
      </c>
      <c r="E28" s="2" t="s">
        <v>64</v>
      </c>
      <c r="F28" s="10" t="s">
        <v>66</v>
      </c>
      <c r="G28" s="11" t="s">
        <v>91</v>
      </c>
    </row>
    <row r="29" spans="1:7" ht="30">
      <c r="A29" t="s">
        <v>53</v>
      </c>
      <c r="B29" t="s">
        <v>29</v>
      </c>
      <c r="C29" s="2" t="s">
        <v>58</v>
      </c>
      <c r="D29">
        <v>6</v>
      </c>
      <c r="E29" s="2" t="s">
        <v>64</v>
      </c>
      <c r="F29" s="10" t="s">
        <v>66</v>
      </c>
      <c r="G29" s="11" t="s">
        <v>91</v>
      </c>
    </row>
    <row r="30" spans="1:7">
      <c r="G30" s="11"/>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23EB1-C437-46DC-A460-BA1C00EBA348}">
  <sheetPr filterMode="1"/>
  <dimension ref="A1:BD373"/>
  <sheetViews>
    <sheetView workbookViewId="0">
      <selection sqref="A1:XFD1048576"/>
    </sheetView>
  </sheetViews>
  <sheetFormatPr defaultRowHeight="15"/>
  <cols>
    <col min="1" max="1" width="11.85546875" bestFit="1" customWidth="1"/>
    <col min="2" max="2" width="7.140625" bestFit="1" customWidth="1"/>
    <col min="3" max="3" width="10.85546875" bestFit="1" customWidth="1"/>
    <col min="4" max="4" width="22" bestFit="1" customWidth="1"/>
    <col min="5" max="5" width="22" customWidth="1"/>
    <col min="6" max="6" width="15.42578125" bestFit="1" customWidth="1"/>
    <col min="7" max="7" width="15.42578125" customWidth="1"/>
    <col min="8" max="8" width="6.28515625" bestFit="1" customWidth="1"/>
    <col min="9" max="9" width="6.28515625" customWidth="1"/>
    <col min="10" max="10" width="19.140625" bestFit="1" customWidth="1"/>
    <col min="11" max="11" width="19.140625" customWidth="1"/>
    <col min="12" max="12" width="14.140625" bestFit="1" customWidth="1"/>
    <col min="13" max="13" width="14.140625" customWidth="1"/>
    <col min="14" max="14" width="8.28515625" bestFit="1" customWidth="1"/>
    <col min="15" max="15" width="8.28515625" customWidth="1"/>
    <col min="16" max="16" width="13.28515625" bestFit="1" customWidth="1"/>
    <col min="17" max="17" width="13.28515625" customWidth="1"/>
    <col min="18" max="18" width="21.140625" bestFit="1" customWidth="1"/>
    <col min="19" max="19" width="21.140625" customWidth="1"/>
    <col min="20" max="20" width="25.28515625" bestFit="1" customWidth="1"/>
    <col min="21" max="21" width="25.28515625" customWidth="1"/>
    <col min="22" max="22" width="8.85546875" bestFit="1" customWidth="1"/>
    <col min="23" max="23" width="8.85546875" customWidth="1"/>
    <col min="24" max="24" width="25.5703125" bestFit="1" customWidth="1"/>
    <col min="25" max="25" width="25.5703125" customWidth="1"/>
    <col min="26" max="26" width="35.5703125" bestFit="1" customWidth="1"/>
    <col min="27" max="27" width="35.5703125" customWidth="1"/>
    <col min="28" max="28" width="21.28515625" bestFit="1" customWidth="1"/>
    <col min="29" max="29" width="21.28515625" customWidth="1"/>
    <col min="30" max="30" width="28.85546875" bestFit="1" customWidth="1"/>
    <col min="31" max="31" width="28.85546875" customWidth="1"/>
    <col min="32" max="32" width="10.7109375" bestFit="1" customWidth="1"/>
    <col min="33" max="33" width="10.7109375" customWidth="1"/>
    <col min="34" max="34" width="11.7109375" bestFit="1" customWidth="1"/>
    <col min="35" max="35" width="11.7109375" customWidth="1"/>
    <col min="36" max="36" width="23.28515625" bestFit="1" customWidth="1"/>
    <col min="37" max="37" width="23.28515625" customWidth="1"/>
    <col min="38" max="38" width="10.42578125" bestFit="1" customWidth="1"/>
    <col min="39" max="39" width="10.42578125" customWidth="1"/>
    <col min="40" max="40" width="15.42578125" bestFit="1" customWidth="1"/>
    <col min="41" max="41" width="15.42578125" customWidth="1"/>
    <col min="42" max="42" width="30.42578125" bestFit="1" customWidth="1"/>
    <col min="43" max="43" width="30.42578125" customWidth="1"/>
    <col min="46" max="46" width="30.140625" bestFit="1" customWidth="1"/>
    <col min="47" max="47" width="30.140625" customWidth="1"/>
    <col min="48" max="48" width="28.140625" bestFit="1" customWidth="1"/>
    <col min="49" max="49" width="28.140625" customWidth="1"/>
    <col min="50" max="50" width="12" bestFit="1" customWidth="1"/>
    <col min="51" max="51" width="12" customWidth="1"/>
    <col min="52" max="52" width="25.85546875" bestFit="1" customWidth="1"/>
    <col min="53" max="53" width="25.85546875" customWidth="1"/>
    <col min="54" max="54" width="16.140625" bestFit="1" customWidth="1"/>
    <col min="55" max="55" width="16.140625" customWidth="1"/>
    <col min="56" max="56" width="15.85546875" bestFit="1" customWidth="1"/>
  </cols>
  <sheetData>
    <row r="1" spans="1:56">
      <c r="A1" t="s">
        <v>0</v>
      </c>
      <c r="B1" t="s">
        <v>1</v>
      </c>
      <c r="C1" t="s">
        <v>2</v>
      </c>
      <c r="D1" t="s">
        <v>3</v>
      </c>
      <c r="F1" t="s">
        <v>4</v>
      </c>
      <c r="H1" t="s">
        <v>5</v>
      </c>
      <c r="J1" t="s">
        <v>6</v>
      </c>
      <c r="L1" t="s">
        <v>7</v>
      </c>
      <c r="N1" t="s">
        <v>8</v>
      </c>
      <c r="P1" t="s">
        <v>9</v>
      </c>
      <c r="R1" t="s">
        <v>10</v>
      </c>
      <c r="T1" t="s">
        <v>11</v>
      </c>
      <c r="V1" t="s">
        <v>12</v>
      </c>
      <c r="X1" t="s">
        <v>13</v>
      </c>
      <c r="Z1" t="s">
        <v>14</v>
      </c>
      <c r="AB1" t="s">
        <v>15</v>
      </c>
      <c r="AD1" t="s">
        <v>16</v>
      </c>
      <c r="AF1" t="s">
        <v>17</v>
      </c>
      <c r="AH1" t="s">
        <v>18</v>
      </c>
      <c r="AJ1" t="s">
        <v>19</v>
      </c>
      <c r="AL1" t="s">
        <v>20</v>
      </c>
      <c r="AN1" t="s">
        <v>21</v>
      </c>
      <c r="AP1" t="s">
        <v>22</v>
      </c>
      <c r="AR1" t="s">
        <v>23</v>
      </c>
      <c r="AT1" t="s">
        <v>24</v>
      </c>
      <c r="AV1" t="s">
        <v>25</v>
      </c>
      <c r="AX1" t="s">
        <v>26</v>
      </c>
      <c r="AZ1" t="s">
        <v>27</v>
      </c>
      <c r="BB1" t="s">
        <v>28</v>
      </c>
      <c r="BD1" t="s">
        <v>29</v>
      </c>
    </row>
    <row r="2" spans="1:56" hidden="1">
      <c r="A2" t="s">
        <v>30</v>
      </c>
      <c r="B2">
        <v>2013</v>
      </c>
      <c r="C2" t="s">
        <v>31</v>
      </c>
      <c r="D2">
        <v>107.5</v>
      </c>
      <c r="F2">
        <v>106.3</v>
      </c>
      <c r="H2">
        <v>108.1</v>
      </c>
      <c r="J2">
        <v>104.9</v>
      </c>
      <c r="L2">
        <v>106.1</v>
      </c>
      <c r="N2">
        <v>103.9</v>
      </c>
      <c r="P2">
        <v>101.9</v>
      </c>
      <c r="R2">
        <v>106.1</v>
      </c>
      <c r="T2">
        <v>106.8</v>
      </c>
      <c r="V2">
        <v>103.1</v>
      </c>
      <c r="X2">
        <v>104.8</v>
      </c>
      <c r="Z2">
        <v>106.7</v>
      </c>
      <c r="AB2">
        <v>105.5</v>
      </c>
      <c r="AD2">
        <v>105.1</v>
      </c>
      <c r="AF2">
        <v>106.5</v>
      </c>
      <c r="AH2">
        <v>105.8</v>
      </c>
      <c r="AJ2">
        <v>106.4</v>
      </c>
      <c r="AL2" t="s">
        <v>32</v>
      </c>
      <c r="AN2">
        <v>105.5</v>
      </c>
      <c r="AP2">
        <v>104.8</v>
      </c>
      <c r="AR2">
        <v>104</v>
      </c>
      <c r="AT2">
        <v>103.3</v>
      </c>
      <c r="AV2">
        <v>103.4</v>
      </c>
      <c r="AX2">
        <v>103.8</v>
      </c>
      <c r="AZ2">
        <v>104.7</v>
      </c>
      <c r="BB2">
        <v>104</v>
      </c>
      <c r="BD2">
        <v>105.1</v>
      </c>
    </row>
    <row r="3" spans="1:56">
      <c r="A3" t="s">
        <v>33</v>
      </c>
      <c r="B3">
        <v>2013</v>
      </c>
      <c r="C3" t="s">
        <v>31</v>
      </c>
      <c r="D3">
        <v>110.5</v>
      </c>
      <c r="F3">
        <v>109.1</v>
      </c>
      <c r="H3">
        <v>113</v>
      </c>
      <c r="J3">
        <v>103.6</v>
      </c>
      <c r="L3">
        <v>103.4</v>
      </c>
      <c r="N3">
        <v>102.3</v>
      </c>
      <c r="P3">
        <v>102.9</v>
      </c>
      <c r="R3">
        <v>105.8</v>
      </c>
      <c r="T3">
        <v>105.1</v>
      </c>
      <c r="V3">
        <v>101.8</v>
      </c>
      <c r="X3">
        <v>105.1</v>
      </c>
      <c r="Z3">
        <v>107.9</v>
      </c>
      <c r="AB3">
        <v>105.9</v>
      </c>
      <c r="AD3">
        <v>105.2</v>
      </c>
      <c r="AF3">
        <v>105.9</v>
      </c>
      <c r="AH3">
        <v>105</v>
      </c>
      <c r="AJ3">
        <v>105.8</v>
      </c>
      <c r="AL3">
        <v>100.3</v>
      </c>
      <c r="AN3">
        <v>105.4</v>
      </c>
      <c r="AP3">
        <v>104.8</v>
      </c>
      <c r="AR3">
        <v>104.1</v>
      </c>
      <c r="AT3">
        <v>103.2</v>
      </c>
      <c r="AV3">
        <v>102.9</v>
      </c>
      <c r="AX3">
        <v>103.5</v>
      </c>
      <c r="AZ3">
        <v>104.3</v>
      </c>
      <c r="BB3">
        <v>103.7</v>
      </c>
      <c r="BD3">
        <v>104</v>
      </c>
    </row>
    <row r="4" spans="1:56" hidden="1">
      <c r="A4" t="s">
        <v>34</v>
      </c>
      <c r="B4">
        <v>2013</v>
      </c>
      <c r="C4" t="s">
        <v>31</v>
      </c>
      <c r="D4">
        <v>108.4</v>
      </c>
      <c r="F4">
        <v>107.3</v>
      </c>
      <c r="H4">
        <v>110</v>
      </c>
      <c r="J4">
        <v>104.4</v>
      </c>
      <c r="L4">
        <v>105.1</v>
      </c>
      <c r="N4">
        <v>103.2</v>
      </c>
      <c r="P4">
        <v>102.2</v>
      </c>
      <c r="R4">
        <v>106</v>
      </c>
      <c r="T4">
        <v>106.2</v>
      </c>
      <c r="V4">
        <v>102.7</v>
      </c>
      <c r="X4">
        <v>104.9</v>
      </c>
      <c r="Z4">
        <v>107.3</v>
      </c>
      <c r="AB4">
        <v>105.6</v>
      </c>
      <c r="AD4">
        <v>105.1</v>
      </c>
      <c r="AF4">
        <v>106.3</v>
      </c>
      <c r="AH4">
        <v>105.5</v>
      </c>
      <c r="AJ4">
        <v>106.2</v>
      </c>
      <c r="AL4">
        <v>100.3</v>
      </c>
      <c r="AN4">
        <v>105.5</v>
      </c>
      <c r="AP4">
        <v>104.8</v>
      </c>
      <c r="AR4">
        <v>104</v>
      </c>
      <c r="AT4">
        <v>103.2</v>
      </c>
      <c r="AV4">
        <v>103.1</v>
      </c>
      <c r="AX4">
        <v>103.6</v>
      </c>
      <c r="AZ4">
        <v>104.5</v>
      </c>
      <c r="BB4">
        <v>103.9</v>
      </c>
      <c r="BD4">
        <v>104.6</v>
      </c>
    </row>
    <row r="5" spans="1:56" hidden="1">
      <c r="A5" t="s">
        <v>30</v>
      </c>
      <c r="B5">
        <v>2013</v>
      </c>
      <c r="C5" t="s">
        <v>35</v>
      </c>
      <c r="D5">
        <v>109.2</v>
      </c>
      <c r="F5">
        <v>108.7</v>
      </c>
      <c r="H5">
        <v>110.2</v>
      </c>
      <c r="J5">
        <v>105.4</v>
      </c>
      <c r="L5">
        <v>106.7</v>
      </c>
      <c r="N5">
        <v>104</v>
      </c>
      <c r="P5">
        <v>102.4</v>
      </c>
      <c r="R5">
        <v>105.9</v>
      </c>
      <c r="T5">
        <v>105.7</v>
      </c>
      <c r="V5">
        <v>103.1</v>
      </c>
      <c r="X5">
        <v>105.1</v>
      </c>
      <c r="Z5">
        <v>107.7</v>
      </c>
      <c r="AB5">
        <v>106.3</v>
      </c>
      <c r="AD5">
        <v>105.6</v>
      </c>
      <c r="AF5">
        <v>107.1</v>
      </c>
      <c r="AH5">
        <v>106.3</v>
      </c>
      <c r="AJ5">
        <v>107</v>
      </c>
      <c r="AL5" t="s">
        <v>32</v>
      </c>
      <c r="AN5">
        <v>106.2</v>
      </c>
      <c r="AP5">
        <v>105.2</v>
      </c>
      <c r="AR5">
        <v>104.4</v>
      </c>
      <c r="AT5">
        <v>103.9</v>
      </c>
      <c r="AV5">
        <v>104</v>
      </c>
      <c r="AX5">
        <v>104.1</v>
      </c>
      <c r="AZ5">
        <v>104.6</v>
      </c>
      <c r="BB5">
        <v>104.4</v>
      </c>
      <c r="BD5">
        <v>105.8</v>
      </c>
    </row>
    <row r="6" spans="1:56">
      <c r="A6" t="s">
        <v>33</v>
      </c>
      <c r="B6">
        <v>2013</v>
      </c>
      <c r="C6" t="s">
        <v>35</v>
      </c>
      <c r="D6">
        <v>112.9</v>
      </c>
      <c r="F6">
        <v>112.9</v>
      </c>
      <c r="H6">
        <v>116.9</v>
      </c>
      <c r="J6">
        <v>104</v>
      </c>
      <c r="L6">
        <v>103.5</v>
      </c>
      <c r="N6">
        <v>103.1</v>
      </c>
      <c r="P6">
        <v>104.9</v>
      </c>
      <c r="R6">
        <v>104.1</v>
      </c>
      <c r="T6">
        <v>103.8</v>
      </c>
      <c r="V6">
        <v>102.3</v>
      </c>
      <c r="X6">
        <v>106</v>
      </c>
      <c r="Z6">
        <v>109</v>
      </c>
      <c r="AB6">
        <v>107.2</v>
      </c>
      <c r="AD6">
        <v>106</v>
      </c>
      <c r="AF6">
        <v>106.6</v>
      </c>
      <c r="AH6">
        <v>105.5</v>
      </c>
      <c r="AJ6">
        <v>106.4</v>
      </c>
      <c r="AL6">
        <v>100.4</v>
      </c>
      <c r="AN6">
        <v>105.7</v>
      </c>
      <c r="AP6">
        <v>105.2</v>
      </c>
      <c r="AR6">
        <v>104.7</v>
      </c>
      <c r="AT6">
        <v>104.4</v>
      </c>
      <c r="AV6">
        <v>103.3</v>
      </c>
      <c r="AX6">
        <v>103.7</v>
      </c>
      <c r="AZ6">
        <v>104.3</v>
      </c>
      <c r="BB6">
        <v>104.3</v>
      </c>
      <c r="BD6">
        <v>104.7</v>
      </c>
    </row>
    <row r="7" spans="1:56" hidden="1">
      <c r="A7" t="s">
        <v>34</v>
      </c>
      <c r="B7">
        <v>2013</v>
      </c>
      <c r="C7" t="s">
        <v>35</v>
      </c>
      <c r="D7">
        <v>110.4</v>
      </c>
      <c r="F7">
        <v>110.2</v>
      </c>
      <c r="H7">
        <v>112.8</v>
      </c>
      <c r="J7">
        <v>104.9</v>
      </c>
      <c r="L7">
        <v>105.5</v>
      </c>
      <c r="N7">
        <v>103.6</v>
      </c>
      <c r="P7">
        <v>103.2</v>
      </c>
      <c r="R7">
        <v>105.3</v>
      </c>
      <c r="T7">
        <v>105.1</v>
      </c>
      <c r="V7">
        <v>102.8</v>
      </c>
      <c r="X7">
        <v>105.5</v>
      </c>
      <c r="Z7">
        <v>108.3</v>
      </c>
      <c r="AB7">
        <v>106.6</v>
      </c>
      <c r="AD7">
        <v>105.7</v>
      </c>
      <c r="AF7">
        <v>106.9</v>
      </c>
      <c r="AH7">
        <v>106</v>
      </c>
      <c r="AJ7">
        <v>106.8</v>
      </c>
      <c r="AL7">
        <v>100.4</v>
      </c>
      <c r="AN7">
        <v>106</v>
      </c>
      <c r="AP7">
        <v>105.2</v>
      </c>
      <c r="AR7">
        <v>104.5</v>
      </c>
      <c r="AT7">
        <v>104.2</v>
      </c>
      <c r="AV7">
        <v>103.6</v>
      </c>
      <c r="AX7">
        <v>103.9</v>
      </c>
      <c r="AZ7">
        <v>104.5</v>
      </c>
      <c r="BB7">
        <v>104.4</v>
      </c>
      <c r="BD7">
        <v>105.3</v>
      </c>
    </row>
    <row r="8" spans="1:56" hidden="1">
      <c r="A8" t="s">
        <v>30</v>
      </c>
      <c r="B8">
        <v>2013</v>
      </c>
      <c r="C8" t="s">
        <v>36</v>
      </c>
      <c r="D8">
        <v>110.2</v>
      </c>
      <c r="F8">
        <v>108.8</v>
      </c>
      <c r="H8">
        <v>109.9</v>
      </c>
      <c r="J8">
        <v>105.6</v>
      </c>
      <c r="L8">
        <v>106.2</v>
      </c>
      <c r="N8">
        <v>105.7</v>
      </c>
      <c r="P8">
        <v>101.4</v>
      </c>
      <c r="R8">
        <v>105.7</v>
      </c>
      <c r="T8">
        <v>105</v>
      </c>
      <c r="V8">
        <v>103.3</v>
      </c>
      <c r="X8">
        <v>105.6</v>
      </c>
      <c r="Z8">
        <v>108.2</v>
      </c>
      <c r="AB8">
        <v>106.6</v>
      </c>
      <c r="AD8">
        <v>106.5</v>
      </c>
      <c r="AF8">
        <v>107.6</v>
      </c>
      <c r="AH8">
        <v>106.8</v>
      </c>
      <c r="AJ8">
        <v>107.5</v>
      </c>
      <c r="AL8" t="s">
        <v>32</v>
      </c>
      <c r="AN8">
        <v>106.1</v>
      </c>
      <c r="AP8">
        <v>105.6</v>
      </c>
      <c r="AR8">
        <v>104.7</v>
      </c>
      <c r="AT8">
        <v>104.6</v>
      </c>
      <c r="AV8">
        <v>104</v>
      </c>
      <c r="AX8">
        <v>104.3</v>
      </c>
      <c r="AZ8">
        <v>104.3</v>
      </c>
      <c r="BB8">
        <v>104.6</v>
      </c>
      <c r="BD8">
        <v>106</v>
      </c>
    </row>
    <row r="9" spans="1:56">
      <c r="A9" t="s">
        <v>33</v>
      </c>
      <c r="B9">
        <v>2013</v>
      </c>
      <c r="C9" t="s">
        <v>36</v>
      </c>
      <c r="D9">
        <v>113.9</v>
      </c>
      <c r="F9">
        <v>111.4</v>
      </c>
      <c r="H9">
        <v>113.2</v>
      </c>
      <c r="J9">
        <v>104.3</v>
      </c>
      <c r="L9">
        <v>102.7</v>
      </c>
      <c r="N9">
        <v>104.9</v>
      </c>
      <c r="P9">
        <v>103.8</v>
      </c>
      <c r="R9">
        <v>103.5</v>
      </c>
      <c r="T9">
        <v>102.6</v>
      </c>
      <c r="V9">
        <v>102.4</v>
      </c>
      <c r="X9">
        <v>107</v>
      </c>
      <c r="Z9">
        <v>109.8</v>
      </c>
      <c r="AB9">
        <v>107.3</v>
      </c>
      <c r="AD9">
        <v>106.8</v>
      </c>
      <c r="AF9">
        <v>107.2</v>
      </c>
      <c r="AH9">
        <v>106</v>
      </c>
      <c r="AJ9">
        <v>107</v>
      </c>
      <c r="AL9">
        <v>100.4</v>
      </c>
      <c r="AN9">
        <v>106</v>
      </c>
      <c r="AP9">
        <v>105.7</v>
      </c>
      <c r="AR9">
        <v>105.2</v>
      </c>
      <c r="AT9">
        <v>105.5</v>
      </c>
      <c r="AV9">
        <v>103.5</v>
      </c>
      <c r="AX9">
        <v>103.8</v>
      </c>
      <c r="AZ9">
        <v>104.2</v>
      </c>
      <c r="BB9">
        <v>104.9</v>
      </c>
      <c r="BD9">
        <v>105</v>
      </c>
    </row>
    <row r="10" spans="1:56" hidden="1">
      <c r="A10" t="s">
        <v>34</v>
      </c>
      <c r="B10">
        <v>2013</v>
      </c>
      <c r="C10" t="s">
        <v>36</v>
      </c>
      <c r="D10">
        <v>111.4</v>
      </c>
      <c r="F10">
        <v>109.7</v>
      </c>
      <c r="H10">
        <v>111.2</v>
      </c>
      <c r="J10">
        <v>105.1</v>
      </c>
      <c r="L10">
        <v>104.9</v>
      </c>
      <c r="N10">
        <v>105.3</v>
      </c>
      <c r="P10">
        <v>102.2</v>
      </c>
      <c r="R10">
        <v>105</v>
      </c>
      <c r="T10">
        <v>104.2</v>
      </c>
      <c r="V10">
        <v>103</v>
      </c>
      <c r="X10">
        <v>106.2</v>
      </c>
      <c r="Z10">
        <v>108.9</v>
      </c>
      <c r="AB10">
        <v>106.9</v>
      </c>
      <c r="AD10">
        <v>106.6</v>
      </c>
      <c r="AF10">
        <v>107.4</v>
      </c>
      <c r="AH10">
        <v>106.5</v>
      </c>
      <c r="AJ10">
        <v>107.3</v>
      </c>
      <c r="AL10">
        <v>100.4</v>
      </c>
      <c r="AN10">
        <v>106.1</v>
      </c>
      <c r="AP10">
        <v>105.6</v>
      </c>
      <c r="AR10">
        <v>104.9</v>
      </c>
      <c r="AT10">
        <v>105.1</v>
      </c>
      <c r="AV10">
        <v>103.7</v>
      </c>
      <c r="AX10">
        <v>104</v>
      </c>
      <c r="AZ10">
        <v>104.3</v>
      </c>
      <c r="BB10">
        <v>104.7</v>
      </c>
      <c r="BD10">
        <v>105.5</v>
      </c>
    </row>
    <row r="11" spans="1:56" hidden="1">
      <c r="A11" t="s">
        <v>30</v>
      </c>
      <c r="B11">
        <v>2013</v>
      </c>
      <c r="C11" t="s">
        <v>37</v>
      </c>
      <c r="D11">
        <v>110.2</v>
      </c>
      <c r="F11">
        <v>109.5</v>
      </c>
      <c r="H11">
        <v>106.9</v>
      </c>
      <c r="J11">
        <v>106.3</v>
      </c>
      <c r="L11">
        <v>105.7</v>
      </c>
      <c r="N11">
        <v>108.3</v>
      </c>
      <c r="P11">
        <v>103.4</v>
      </c>
      <c r="R11">
        <v>105.7</v>
      </c>
      <c r="T11">
        <v>104.2</v>
      </c>
      <c r="V11">
        <v>103.2</v>
      </c>
      <c r="X11">
        <v>106.5</v>
      </c>
      <c r="Z11">
        <v>108.8</v>
      </c>
      <c r="AB11">
        <v>107.1</v>
      </c>
      <c r="AD11">
        <v>107.1</v>
      </c>
      <c r="AF11">
        <v>108.1</v>
      </c>
      <c r="AH11">
        <v>107.4</v>
      </c>
      <c r="AJ11">
        <v>108</v>
      </c>
      <c r="AL11" t="s">
        <v>32</v>
      </c>
      <c r="AN11">
        <v>106.5</v>
      </c>
      <c r="AP11">
        <v>106.1</v>
      </c>
      <c r="AR11">
        <v>105.1</v>
      </c>
      <c r="AT11">
        <v>104.4</v>
      </c>
      <c r="AV11">
        <v>104.5</v>
      </c>
      <c r="AX11">
        <v>104.8</v>
      </c>
      <c r="AZ11">
        <v>102.7</v>
      </c>
      <c r="BB11">
        <v>104.6</v>
      </c>
      <c r="BD11">
        <v>106.4</v>
      </c>
    </row>
    <row r="12" spans="1:56">
      <c r="A12" t="s">
        <v>33</v>
      </c>
      <c r="B12">
        <v>2013</v>
      </c>
      <c r="C12" t="s">
        <v>37</v>
      </c>
      <c r="D12">
        <v>114.6</v>
      </c>
      <c r="F12">
        <v>113.4</v>
      </c>
      <c r="H12">
        <v>106</v>
      </c>
      <c r="J12">
        <v>104.7</v>
      </c>
      <c r="L12">
        <v>102.1</v>
      </c>
      <c r="N12">
        <v>109.5</v>
      </c>
      <c r="P12">
        <v>109.7</v>
      </c>
      <c r="R12">
        <v>104.6</v>
      </c>
      <c r="T12">
        <v>102</v>
      </c>
      <c r="V12">
        <v>103.5</v>
      </c>
      <c r="X12">
        <v>108.2</v>
      </c>
      <c r="Z12">
        <v>110.6</v>
      </c>
      <c r="AB12">
        <v>108.8</v>
      </c>
      <c r="AD12">
        <v>108.5</v>
      </c>
      <c r="AF12">
        <v>107.9</v>
      </c>
      <c r="AH12">
        <v>106.4</v>
      </c>
      <c r="AJ12">
        <v>107.7</v>
      </c>
      <c r="AL12">
        <v>100.5</v>
      </c>
      <c r="AN12">
        <v>106.4</v>
      </c>
      <c r="AP12">
        <v>106.5</v>
      </c>
      <c r="AR12">
        <v>105.7</v>
      </c>
      <c r="AT12">
        <v>105</v>
      </c>
      <c r="AV12">
        <v>104</v>
      </c>
      <c r="AX12">
        <v>105.2</v>
      </c>
      <c r="AZ12">
        <v>103.2</v>
      </c>
      <c r="BB12">
        <v>105.1</v>
      </c>
      <c r="BD12">
        <v>105.7</v>
      </c>
    </row>
    <row r="13" spans="1:56" hidden="1">
      <c r="A13" t="s">
        <v>34</v>
      </c>
      <c r="B13">
        <v>2013</v>
      </c>
      <c r="C13" t="s">
        <v>37</v>
      </c>
      <c r="D13">
        <v>111.6</v>
      </c>
      <c r="F13">
        <v>110.9</v>
      </c>
      <c r="H13">
        <v>106.6</v>
      </c>
      <c r="J13">
        <v>105.7</v>
      </c>
      <c r="L13">
        <v>104.4</v>
      </c>
      <c r="N13">
        <v>108.9</v>
      </c>
      <c r="P13">
        <v>105.5</v>
      </c>
      <c r="R13">
        <v>105.3</v>
      </c>
      <c r="T13">
        <v>103.5</v>
      </c>
      <c r="V13">
        <v>103.3</v>
      </c>
      <c r="X13">
        <v>107.2</v>
      </c>
      <c r="Z13">
        <v>109.6</v>
      </c>
      <c r="AB13">
        <v>107.7</v>
      </c>
      <c r="AD13">
        <v>107.5</v>
      </c>
      <c r="AF13">
        <v>108</v>
      </c>
      <c r="AH13">
        <v>107</v>
      </c>
      <c r="AJ13">
        <v>107.9</v>
      </c>
      <c r="AL13">
        <v>100.5</v>
      </c>
      <c r="AN13">
        <v>106.5</v>
      </c>
      <c r="AP13">
        <v>106.3</v>
      </c>
      <c r="AR13">
        <v>105.3</v>
      </c>
      <c r="AT13">
        <v>104.7</v>
      </c>
      <c r="AV13">
        <v>104.2</v>
      </c>
      <c r="AX13">
        <v>105</v>
      </c>
      <c r="AZ13">
        <v>102.9</v>
      </c>
      <c r="BB13">
        <v>104.8</v>
      </c>
      <c r="BD13">
        <v>106.1</v>
      </c>
    </row>
    <row r="14" spans="1:56" hidden="1">
      <c r="A14" t="s">
        <v>30</v>
      </c>
      <c r="B14">
        <v>2013</v>
      </c>
      <c r="C14" t="s">
        <v>38</v>
      </c>
      <c r="D14">
        <v>110.9</v>
      </c>
      <c r="F14">
        <v>109.8</v>
      </c>
      <c r="H14">
        <v>105.9</v>
      </c>
      <c r="J14">
        <v>107.5</v>
      </c>
      <c r="L14">
        <v>105.3</v>
      </c>
      <c r="N14">
        <v>108.1</v>
      </c>
      <c r="P14">
        <v>107.3</v>
      </c>
      <c r="R14">
        <v>106.1</v>
      </c>
      <c r="T14">
        <v>103.7</v>
      </c>
      <c r="V14">
        <v>104</v>
      </c>
      <c r="X14">
        <v>107.4</v>
      </c>
      <c r="Z14">
        <v>109.9</v>
      </c>
      <c r="AB14">
        <v>108.1</v>
      </c>
      <c r="AD14">
        <v>108.1</v>
      </c>
      <c r="AF14">
        <v>108.8</v>
      </c>
      <c r="AH14">
        <v>107.9</v>
      </c>
      <c r="AJ14">
        <v>108.6</v>
      </c>
      <c r="AL14" t="s">
        <v>32</v>
      </c>
      <c r="AN14">
        <v>107.5</v>
      </c>
      <c r="AP14">
        <v>106.8</v>
      </c>
      <c r="AR14">
        <v>105.7</v>
      </c>
      <c r="AT14">
        <v>104.1</v>
      </c>
      <c r="AV14">
        <v>105</v>
      </c>
      <c r="AX14">
        <v>105.5</v>
      </c>
      <c r="AZ14">
        <v>102.1</v>
      </c>
      <c r="BB14">
        <v>104.8</v>
      </c>
      <c r="BD14">
        <v>107.2</v>
      </c>
    </row>
    <row r="15" spans="1:56">
      <c r="A15" t="s">
        <v>33</v>
      </c>
      <c r="B15">
        <v>2013</v>
      </c>
      <c r="C15" t="s">
        <v>38</v>
      </c>
      <c r="D15">
        <v>115.4</v>
      </c>
      <c r="F15">
        <v>114.2</v>
      </c>
      <c r="H15">
        <v>102.7</v>
      </c>
      <c r="J15">
        <v>105.5</v>
      </c>
      <c r="L15">
        <v>101.5</v>
      </c>
      <c r="N15">
        <v>110.6</v>
      </c>
      <c r="P15">
        <v>123.7</v>
      </c>
      <c r="R15">
        <v>105.2</v>
      </c>
      <c r="T15">
        <v>101.9</v>
      </c>
      <c r="V15">
        <v>105</v>
      </c>
      <c r="X15">
        <v>109.1</v>
      </c>
      <c r="Z15">
        <v>111.3</v>
      </c>
      <c r="AB15">
        <v>111.1</v>
      </c>
      <c r="AD15">
        <v>109.8</v>
      </c>
      <c r="AF15">
        <v>108.5</v>
      </c>
      <c r="AH15">
        <v>106.7</v>
      </c>
      <c r="AJ15">
        <v>108.3</v>
      </c>
      <c r="AL15">
        <v>100.5</v>
      </c>
      <c r="AN15">
        <v>107.2</v>
      </c>
      <c r="AP15">
        <v>107.1</v>
      </c>
      <c r="AR15">
        <v>106.2</v>
      </c>
      <c r="AT15">
        <v>103.9</v>
      </c>
      <c r="AV15">
        <v>104.6</v>
      </c>
      <c r="AX15">
        <v>105.7</v>
      </c>
      <c r="AZ15">
        <v>102.6</v>
      </c>
      <c r="BB15">
        <v>104.9</v>
      </c>
      <c r="BD15">
        <v>106.6</v>
      </c>
    </row>
    <row r="16" spans="1:56" hidden="1">
      <c r="A16" t="s">
        <v>34</v>
      </c>
      <c r="B16">
        <v>2013</v>
      </c>
      <c r="C16" t="s">
        <v>38</v>
      </c>
      <c r="D16">
        <v>112.3</v>
      </c>
      <c r="F16">
        <v>111.3</v>
      </c>
      <c r="H16">
        <v>104.7</v>
      </c>
      <c r="J16">
        <v>106.8</v>
      </c>
      <c r="L16">
        <v>103.9</v>
      </c>
      <c r="N16">
        <v>109.3</v>
      </c>
      <c r="P16">
        <v>112.9</v>
      </c>
      <c r="R16">
        <v>105.8</v>
      </c>
      <c r="T16">
        <v>103.1</v>
      </c>
      <c r="V16">
        <v>104.3</v>
      </c>
      <c r="X16">
        <v>108.1</v>
      </c>
      <c r="Z16">
        <v>110.5</v>
      </c>
      <c r="AB16">
        <v>109.2</v>
      </c>
      <c r="AD16">
        <v>108.6</v>
      </c>
      <c r="AF16">
        <v>108.7</v>
      </c>
      <c r="AH16">
        <v>107.4</v>
      </c>
      <c r="AJ16">
        <v>108.5</v>
      </c>
      <c r="AL16">
        <v>100.5</v>
      </c>
      <c r="AN16">
        <v>107.4</v>
      </c>
      <c r="AP16">
        <v>106.9</v>
      </c>
      <c r="AR16">
        <v>105.9</v>
      </c>
      <c r="AT16">
        <v>104</v>
      </c>
      <c r="AV16">
        <v>104.8</v>
      </c>
      <c r="AX16">
        <v>105.6</v>
      </c>
      <c r="AZ16">
        <v>102.3</v>
      </c>
      <c r="BB16">
        <v>104.8</v>
      </c>
      <c r="BD16">
        <v>106.9</v>
      </c>
    </row>
    <row r="17" spans="1:56" hidden="1">
      <c r="A17" t="s">
        <v>30</v>
      </c>
      <c r="B17">
        <v>2013</v>
      </c>
      <c r="C17" t="s">
        <v>39</v>
      </c>
      <c r="D17">
        <v>112.3</v>
      </c>
      <c r="F17">
        <v>112.1</v>
      </c>
      <c r="H17">
        <v>108.1</v>
      </c>
      <c r="J17">
        <v>108.3</v>
      </c>
      <c r="L17">
        <v>105.9</v>
      </c>
      <c r="N17">
        <v>109.2</v>
      </c>
      <c r="P17">
        <v>118</v>
      </c>
      <c r="R17">
        <v>106.8</v>
      </c>
      <c r="T17">
        <v>104.1</v>
      </c>
      <c r="V17">
        <v>105.4</v>
      </c>
      <c r="X17">
        <v>108.2</v>
      </c>
      <c r="Z17">
        <v>111</v>
      </c>
      <c r="AB17">
        <v>110.6</v>
      </c>
      <c r="AD17">
        <v>109</v>
      </c>
      <c r="AF17">
        <v>109.7</v>
      </c>
      <c r="AH17">
        <v>108.8</v>
      </c>
      <c r="AJ17">
        <v>109.5</v>
      </c>
      <c r="AL17" t="s">
        <v>32</v>
      </c>
      <c r="AN17">
        <v>108.5</v>
      </c>
      <c r="AP17">
        <v>107.5</v>
      </c>
      <c r="AR17">
        <v>106.3</v>
      </c>
      <c r="AT17">
        <v>105</v>
      </c>
      <c r="AV17">
        <v>105.6</v>
      </c>
      <c r="AX17">
        <v>106.5</v>
      </c>
      <c r="AZ17">
        <v>102.5</v>
      </c>
      <c r="BB17">
        <v>105.5</v>
      </c>
      <c r="BD17">
        <v>108.9</v>
      </c>
    </row>
    <row r="18" spans="1:56">
      <c r="A18" t="s">
        <v>33</v>
      </c>
      <c r="B18">
        <v>2013</v>
      </c>
      <c r="C18" t="s">
        <v>39</v>
      </c>
      <c r="D18">
        <v>117</v>
      </c>
      <c r="F18">
        <v>120.1</v>
      </c>
      <c r="H18">
        <v>112.5</v>
      </c>
      <c r="J18">
        <v>107.3</v>
      </c>
      <c r="L18">
        <v>101.3</v>
      </c>
      <c r="N18">
        <v>112.4</v>
      </c>
      <c r="P18">
        <v>143.6</v>
      </c>
      <c r="R18">
        <v>105.4</v>
      </c>
      <c r="T18">
        <v>101.4</v>
      </c>
      <c r="V18">
        <v>106.4</v>
      </c>
      <c r="X18">
        <v>110</v>
      </c>
      <c r="Z18">
        <v>112.2</v>
      </c>
      <c r="AB18">
        <v>115</v>
      </c>
      <c r="AD18">
        <v>110.9</v>
      </c>
      <c r="AF18">
        <v>109.2</v>
      </c>
      <c r="AH18">
        <v>107.2</v>
      </c>
      <c r="AJ18">
        <v>108.9</v>
      </c>
      <c r="AL18">
        <v>106.6</v>
      </c>
      <c r="AN18">
        <v>108</v>
      </c>
      <c r="AP18">
        <v>107.7</v>
      </c>
      <c r="AR18">
        <v>106.5</v>
      </c>
      <c r="AT18">
        <v>105.2</v>
      </c>
      <c r="AV18">
        <v>105.2</v>
      </c>
      <c r="AX18">
        <v>108.1</v>
      </c>
      <c r="AZ18">
        <v>103.3</v>
      </c>
      <c r="BB18">
        <v>106.1</v>
      </c>
      <c r="BD18">
        <v>109.7</v>
      </c>
    </row>
    <row r="19" spans="1:56" hidden="1">
      <c r="A19" t="s">
        <v>34</v>
      </c>
      <c r="B19">
        <v>2013</v>
      </c>
      <c r="C19" t="s">
        <v>39</v>
      </c>
      <c r="D19">
        <v>113.8</v>
      </c>
      <c r="F19">
        <v>114.9</v>
      </c>
      <c r="H19">
        <v>109.8</v>
      </c>
      <c r="J19">
        <v>107.9</v>
      </c>
      <c r="L19">
        <v>104.2</v>
      </c>
      <c r="N19">
        <v>110.7</v>
      </c>
      <c r="P19">
        <v>126.7</v>
      </c>
      <c r="R19">
        <v>106.3</v>
      </c>
      <c r="T19">
        <v>103.2</v>
      </c>
      <c r="V19">
        <v>105.7</v>
      </c>
      <c r="X19">
        <v>109</v>
      </c>
      <c r="Z19">
        <v>111.6</v>
      </c>
      <c r="AB19">
        <v>112.2</v>
      </c>
      <c r="AD19">
        <v>109.5</v>
      </c>
      <c r="AF19">
        <v>109.5</v>
      </c>
      <c r="AH19">
        <v>108.1</v>
      </c>
      <c r="AJ19">
        <v>109.3</v>
      </c>
      <c r="AL19">
        <v>106.6</v>
      </c>
      <c r="AN19">
        <v>108.3</v>
      </c>
      <c r="AP19">
        <v>107.6</v>
      </c>
      <c r="AR19">
        <v>106.4</v>
      </c>
      <c r="AT19">
        <v>105.1</v>
      </c>
      <c r="AV19">
        <v>105.4</v>
      </c>
      <c r="AX19">
        <v>107.4</v>
      </c>
      <c r="AZ19">
        <v>102.8</v>
      </c>
      <c r="BB19">
        <v>105.8</v>
      </c>
      <c r="BD19">
        <v>109.3</v>
      </c>
    </row>
    <row r="20" spans="1:56" hidden="1">
      <c r="A20" t="s">
        <v>30</v>
      </c>
      <c r="B20">
        <v>2013</v>
      </c>
      <c r="C20" t="s">
        <v>40</v>
      </c>
      <c r="D20">
        <v>113.4</v>
      </c>
      <c r="F20">
        <v>114.9</v>
      </c>
      <c r="H20">
        <v>110.5</v>
      </c>
      <c r="J20">
        <v>109.3</v>
      </c>
      <c r="L20">
        <v>106.2</v>
      </c>
      <c r="N20">
        <v>110.3</v>
      </c>
      <c r="P20">
        <v>129.19999999999999</v>
      </c>
      <c r="R20">
        <v>107.1</v>
      </c>
      <c r="T20">
        <v>104.3</v>
      </c>
      <c r="V20">
        <v>106.4</v>
      </c>
      <c r="X20">
        <v>109.1</v>
      </c>
      <c r="Z20">
        <v>112.1</v>
      </c>
      <c r="AB20">
        <v>113.1</v>
      </c>
      <c r="AD20">
        <v>109.8</v>
      </c>
      <c r="AF20">
        <v>110.5</v>
      </c>
      <c r="AH20">
        <v>109.5</v>
      </c>
      <c r="AJ20">
        <v>110.3</v>
      </c>
      <c r="AL20" t="s">
        <v>32</v>
      </c>
      <c r="AN20">
        <v>109.5</v>
      </c>
      <c r="AP20">
        <v>108.3</v>
      </c>
      <c r="AR20">
        <v>106.9</v>
      </c>
      <c r="AT20">
        <v>106.8</v>
      </c>
      <c r="AV20">
        <v>106.4</v>
      </c>
      <c r="AX20">
        <v>107.8</v>
      </c>
      <c r="AZ20">
        <v>102.5</v>
      </c>
      <c r="BB20">
        <v>106.5</v>
      </c>
      <c r="BD20">
        <v>110.7</v>
      </c>
    </row>
    <row r="21" spans="1:56">
      <c r="A21" t="s">
        <v>33</v>
      </c>
      <c r="B21">
        <v>2013</v>
      </c>
      <c r="C21" t="s">
        <v>40</v>
      </c>
      <c r="D21">
        <v>117.8</v>
      </c>
      <c r="F21">
        <v>119.2</v>
      </c>
      <c r="H21">
        <v>114</v>
      </c>
      <c r="J21">
        <v>108.3</v>
      </c>
      <c r="L21">
        <v>101.1</v>
      </c>
      <c r="N21">
        <v>113.2</v>
      </c>
      <c r="P21">
        <v>160.9</v>
      </c>
      <c r="R21">
        <v>105.1</v>
      </c>
      <c r="T21">
        <v>101.3</v>
      </c>
      <c r="V21">
        <v>107.5</v>
      </c>
      <c r="X21">
        <v>110.4</v>
      </c>
      <c r="Z21">
        <v>113.1</v>
      </c>
      <c r="AB21">
        <v>117.5</v>
      </c>
      <c r="AD21">
        <v>111.7</v>
      </c>
      <c r="AF21">
        <v>109.8</v>
      </c>
      <c r="AH21">
        <v>107.8</v>
      </c>
      <c r="AJ21">
        <v>109.5</v>
      </c>
      <c r="AL21">
        <v>107.7</v>
      </c>
      <c r="AN21">
        <v>108.6</v>
      </c>
      <c r="AP21">
        <v>108.1</v>
      </c>
      <c r="AR21">
        <v>107.1</v>
      </c>
      <c r="AT21">
        <v>107.3</v>
      </c>
      <c r="AV21">
        <v>105.9</v>
      </c>
      <c r="AX21">
        <v>110.1</v>
      </c>
      <c r="AZ21">
        <v>103.2</v>
      </c>
      <c r="BB21">
        <v>107.3</v>
      </c>
      <c r="BD21">
        <v>111.4</v>
      </c>
    </row>
    <row r="22" spans="1:56" hidden="1">
      <c r="A22" t="s">
        <v>34</v>
      </c>
      <c r="B22">
        <v>2013</v>
      </c>
      <c r="C22" t="s">
        <v>40</v>
      </c>
      <c r="D22">
        <v>114.8</v>
      </c>
      <c r="F22">
        <v>116.4</v>
      </c>
      <c r="H22">
        <v>111.9</v>
      </c>
      <c r="J22">
        <v>108.9</v>
      </c>
      <c r="L22">
        <v>104.3</v>
      </c>
      <c r="N22">
        <v>111.7</v>
      </c>
      <c r="P22">
        <v>140</v>
      </c>
      <c r="R22">
        <v>106.4</v>
      </c>
      <c r="T22">
        <v>103.3</v>
      </c>
      <c r="V22">
        <v>106.8</v>
      </c>
      <c r="X22">
        <v>109.6</v>
      </c>
      <c r="Z22">
        <v>112.6</v>
      </c>
      <c r="AB22">
        <v>114.7</v>
      </c>
      <c r="AD22">
        <v>110.3</v>
      </c>
      <c r="AF22">
        <v>110.2</v>
      </c>
      <c r="AH22">
        <v>108.8</v>
      </c>
      <c r="AJ22">
        <v>110</v>
      </c>
      <c r="AL22">
        <v>107.7</v>
      </c>
      <c r="AN22">
        <v>109.2</v>
      </c>
      <c r="AP22">
        <v>108.2</v>
      </c>
      <c r="AR22">
        <v>107</v>
      </c>
      <c r="AT22">
        <v>107.1</v>
      </c>
      <c r="AV22">
        <v>106.1</v>
      </c>
      <c r="AX22">
        <v>109.1</v>
      </c>
      <c r="AZ22">
        <v>102.8</v>
      </c>
      <c r="BB22">
        <v>106.9</v>
      </c>
      <c r="BD22">
        <v>111</v>
      </c>
    </row>
    <row r="23" spans="1:56" hidden="1">
      <c r="A23" t="s">
        <v>30</v>
      </c>
      <c r="B23">
        <v>2013</v>
      </c>
      <c r="C23" t="s">
        <v>41</v>
      </c>
      <c r="D23">
        <v>114.3</v>
      </c>
      <c r="F23">
        <v>115.4</v>
      </c>
      <c r="H23">
        <v>111.1</v>
      </c>
      <c r="J23">
        <v>110</v>
      </c>
      <c r="L23">
        <v>106.4</v>
      </c>
      <c r="N23">
        <v>110.8</v>
      </c>
      <c r="P23">
        <v>138.9</v>
      </c>
      <c r="R23">
        <v>107.4</v>
      </c>
      <c r="T23">
        <v>104.1</v>
      </c>
      <c r="V23">
        <v>106.9</v>
      </c>
      <c r="X23">
        <v>109.7</v>
      </c>
      <c r="Z23">
        <v>112.6</v>
      </c>
      <c r="AB23">
        <v>114.9</v>
      </c>
      <c r="AD23">
        <v>110.7</v>
      </c>
      <c r="AF23">
        <v>111.3</v>
      </c>
      <c r="AH23">
        <v>110.2</v>
      </c>
      <c r="AJ23">
        <v>111.1</v>
      </c>
      <c r="AL23" t="s">
        <v>32</v>
      </c>
      <c r="AN23">
        <v>109.9</v>
      </c>
      <c r="AP23">
        <v>108.7</v>
      </c>
      <c r="AR23">
        <v>107.5</v>
      </c>
      <c r="AT23">
        <v>107.8</v>
      </c>
      <c r="AV23">
        <v>106.8</v>
      </c>
      <c r="AX23">
        <v>108.7</v>
      </c>
      <c r="AZ23">
        <v>105</v>
      </c>
      <c r="BB23">
        <v>107.5</v>
      </c>
      <c r="BD23">
        <v>112.1</v>
      </c>
    </row>
    <row r="24" spans="1:56">
      <c r="A24" t="s">
        <v>33</v>
      </c>
      <c r="B24">
        <v>2013</v>
      </c>
      <c r="C24" t="s">
        <v>41</v>
      </c>
      <c r="D24">
        <v>118.3</v>
      </c>
      <c r="F24">
        <v>120.4</v>
      </c>
      <c r="H24">
        <v>112.7</v>
      </c>
      <c r="J24">
        <v>108.9</v>
      </c>
      <c r="L24">
        <v>101.1</v>
      </c>
      <c r="N24">
        <v>108.7</v>
      </c>
      <c r="P24">
        <v>177</v>
      </c>
      <c r="R24">
        <v>104.7</v>
      </c>
      <c r="T24">
        <v>101</v>
      </c>
      <c r="V24">
        <v>108.5</v>
      </c>
      <c r="X24">
        <v>110.9</v>
      </c>
      <c r="Z24">
        <v>114.3</v>
      </c>
      <c r="AB24">
        <v>119.6</v>
      </c>
      <c r="AD24">
        <v>112.4</v>
      </c>
      <c r="AF24">
        <v>110.6</v>
      </c>
      <c r="AH24">
        <v>108.3</v>
      </c>
      <c r="AJ24">
        <v>110.2</v>
      </c>
      <c r="AL24">
        <v>108.9</v>
      </c>
      <c r="AN24">
        <v>109.3</v>
      </c>
      <c r="AP24">
        <v>108.7</v>
      </c>
      <c r="AR24">
        <v>107.6</v>
      </c>
      <c r="AT24">
        <v>108.1</v>
      </c>
      <c r="AV24">
        <v>106.5</v>
      </c>
      <c r="AX24">
        <v>110.8</v>
      </c>
      <c r="AZ24">
        <v>106</v>
      </c>
      <c r="BB24">
        <v>108.3</v>
      </c>
      <c r="BD24">
        <v>112.7</v>
      </c>
    </row>
    <row r="25" spans="1:56" hidden="1">
      <c r="A25" t="s">
        <v>34</v>
      </c>
      <c r="B25">
        <v>2013</v>
      </c>
      <c r="C25" t="s">
        <v>41</v>
      </c>
      <c r="D25">
        <v>115.6</v>
      </c>
      <c r="F25">
        <v>117.2</v>
      </c>
      <c r="H25">
        <v>111.7</v>
      </c>
      <c r="J25">
        <v>109.6</v>
      </c>
      <c r="L25">
        <v>104.5</v>
      </c>
      <c r="N25">
        <v>109.8</v>
      </c>
      <c r="P25">
        <v>151.80000000000001</v>
      </c>
      <c r="R25">
        <v>106.5</v>
      </c>
      <c r="T25">
        <v>103.1</v>
      </c>
      <c r="V25">
        <v>107.4</v>
      </c>
      <c r="X25">
        <v>110.2</v>
      </c>
      <c r="Z25">
        <v>113.4</v>
      </c>
      <c r="AB25">
        <v>116.6</v>
      </c>
      <c r="AD25">
        <v>111.2</v>
      </c>
      <c r="AF25">
        <v>111</v>
      </c>
      <c r="AH25">
        <v>109.4</v>
      </c>
      <c r="AJ25">
        <v>110.7</v>
      </c>
      <c r="AL25">
        <v>108.9</v>
      </c>
      <c r="AN25">
        <v>109.7</v>
      </c>
      <c r="AP25">
        <v>108.7</v>
      </c>
      <c r="AR25">
        <v>107.5</v>
      </c>
      <c r="AT25">
        <v>108</v>
      </c>
      <c r="AV25">
        <v>106.6</v>
      </c>
      <c r="AX25">
        <v>109.9</v>
      </c>
      <c r="AZ25">
        <v>105.4</v>
      </c>
      <c r="BB25">
        <v>107.9</v>
      </c>
      <c r="BD25">
        <v>112.4</v>
      </c>
    </row>
    <row r="26" spans="1:56" hidden="1">
      <c r="A26" t="s">
        <v>30</v>
      </c>
      <c r="B26">
        <v>2013</v>
      </c>
      <c r="C26" t="s">
        <v>42</v>
      </c>
      <c r="D26">
        <v>115.4</v>
      </c>
      <c r="F26">
        <v>115.7</v>
      </c>
      <c r="H26">
        <v>111.7</v>
      </c>
      <c r="J26">
        <v>111</v>
      </c>
      <c r="L26">
        <v>107.4</v>
      </c>
      <c r="N26">
        <v>110.9</v>
      </c>
      <c r="P26">
        <v>154</v>
      </c>
      <c r="R26">
        <v>108.1</v>
      </c>
      <c r="T26">
        <v>104.2</v>
      </c>
      <c r="V26">
        <v>107.9</v>
      </c>
      <c r="X26">
        <v>110.4</v>
      </c>
      <c r="Z26">
        <v>114</v>
      </c>
      <c r="AB26">
        <v>117.8</v>
      </c>
      <c r="AD26">
        <v>111.7</v>
      </c>
      <c r="AF26">
        <v>112.7</v>
      </c>
      <c r="AH26">
        <v>111.4</v>
      </c>
      <c r="AJ26">
        <v>112.5</v>
      </c>
      <c r="AL26" t="s">
        <v>32</v>
      </c>
      <c r="AN26">
        <v>111.1</v>
      </c>
      <c r="AP26">
        <v>109.6</v>
      </c>
      <c r="AR26">
        <v>108.3</v>
      </c>
      <c r="AT26">
        <v>109.3</v>
      </c>
      <c r="AV26">
        <v>107.7</v>
      </c>
      <c r="AX26">
        <v>109.8</v>
      </c>
      <c r="AZ26">
        <v>106.7</v>
      </c>
      <c r="BB26">
        <v>108.7</v>
      </c>
      <c r="BD26">
        <v>114.2</v>
      </c>
    </row>
    <row r="27" spans="1:56">
      <c r="A27" t="s">
        <v>33</v>
      </c>
      <c r="B27">
        <v>2013</v>
      </c>
      <c r="C27" t="s">
        <v>42</v>
      </c>
      <c r="D27">
        <v>118.6</v>
      </c>
      <c r="F27">
        <v>119.1</v>
      </c>
      <c r="H27">
        <v>113.2</v>
      </c>
      <c r="J27">
        <v>109.6</v>
      </c>
      <c r="L27">
        <v>101.7</v>
      </c>
      <c r="N27">
        <v>103.2</v>
      </c>
      <c r="P27">
        <v>174.3</v>
      </c>
      <c r="R27">
        <v>105.1</v>
      </c>
      <c r="T27">
        <v>100.8</v>
      </c>
      <c r="V27">
        <v>109.1</v>
      </c>
      <c r="X27">
        <v>111.1</v>
      </c>
      <c r="Z27">
        <v>115.4</v>
      </c>
      <c r="AB27">
        <v>119.2</v>
      </c>
      <c r="AD27">
        <v>112.9</v>
      </c>
      <c r="AF27">
        <v>111.4</v>
      </c>
      <c r="AH27">
        <v>109</v>
      </c>
      <c r="AJ27">
        <v>111.1</v>
      </c>
      <c r="AL27">
        <v>109.7</v>
      </c>
      <c r="AN27">
        <v>109.5</v>
      </c>
      <c r="AP27">
        <v>109.6</v>
      </c>
      <c r="AR27">
        <v>107.9</v>
      </c>
      <c r="AT27">
        <v>110.4</v>
      </c>
      <c r="AV27">
        <v>107.4</v>
      </c>
      <c r="AX27">
        <v>111.2</v>
      </c>
      <c r="AZ27">
        <v>106.9</v>
      </c>
      <c r="BB27">
        <v>109.4</v>
      </c>
      <c r="BD27">
        <v>113.2</v>
      </c>
    </row>
    <row r="28" spans="1:56" hidden="1">
      <c r="A28" t="s">
        <v>34</v>
      </c>
      <c r="B28">
        <v>2013</v>
      </c>
      <c r="C28" t="s">
        <v>42</v>
      </c>
      <c r="D28">
        <v>116.4</v>
      </c>
      <c r="F28">
        <v>116.9</v>
      </c>
      <c r="H28">
        <v>112.3</v>
      </c>
      <c r="J28">
        <v>110.5</v>
      </c>
      <c r="L28">
        <v>105.3</v>
      </c>
      <c r="N28">
        <v>107.3</v>
      </c>
      <c r="P28">
        <v>160.9</v>
      </c>
      <c r="R28">
        <v>107.1</v>
      </c>
      <c r="T28">
        <v>103.1</v>
      </c>
      <c r="V28">
        <v>108.3</v>
      </c>
      <c r="X28">
        <v>110.7</v>
      </c>
      <c r="Z28">
        <v>114.6</v>
      </c>
      <c r="AB28">
        <v>118.3</v>
      </c>
      <c r="AD28">
        <v>112</v>
      </c>
      <c r="AF28">
        <v>112.2</v>
      </c>
      <c r="AH28">
        <v>110.4</v>
      </c>
      <c r="AJ28">
        <v>111.9</v>
      </c>
      <c r="AL28">
        <v>109.7</v>
      </c>
      <c r="AN28">
        <v>110.5</v>
      </c>
      <c r="AP28">
        <v>109.6</v>
      </c>
      <c r="AR28">
        <v>108.1</v>
      </c>
      <c r="AT28">
        <v>109.9</v>
      </c>
      <c r="AV28">
        <v>107.5</v>
      </c>
      <c r="AX28">
        <v>110.6</v>
      </c>
      <c r="AZ28">
        <v>106.8</v>
      </c>
      <c r="BB28">
        <v>109</v>
      </c>
      <c r="BD28">
        <v>113.7</v>
      </c>
    </row>
    <row r="29" spans="1:56" hidden="1">
      <c r="A29" t="s">
        <v>30</v>
      </c>
      <c r="B29">
        <v>2013</v>
      </c>
      <c r="C29" t="s">
        <v>43</v>
      </c>
      <c r="D29">
        <v>116.3</v>
      </c>
      <c r="F29">
        <v>115.4</v>
      </c>
      <c r="H29">
        <v>112.6</v>
      </c>
      <c r="J29">
        <v>111.7</v>
      </c>
      <c r="L29">
        <v>107.7</v>
      </c>
      <c r="N29">
        <v>113.2</v>
      </c>
      <c r="P29">
        <v>164.9</v>
      </c>
      <c r="R29">
        <v>108.3</v>
      </c>
      <c r="T29">
        <v>103.9</v>
      </c>
      <c r="V29">
        <v>108.2</v>
      </c>
      <c r="X29">
        <v>111.1</v>
      </c>
      <c r="Z29">
        <v>114.9</v>
      </c>
      <c r="AB29">
        <v>119.8</v>
      </c>
      <c r="AD29">
        <v>112.2</v>
      </c>
      <c r="AF29">
        <v>113.6</v>
      </c>
      <c r="AH29">
        <v>112.3</v>
      </c>
      <c r="AJ29">
        <v>113.4</v>
      </c>
      <c r="AL29" t="s">
        <v>32</v>
      </c>
      <c r="AN29">
        <v>111.6</v>
      </c>
      <c r="AP29">
        <v>110.4</v>
      </c>
      <c r="AR29">
        <v>108.9</v>
      </c>
      <c r="AT29">
        <v>109.3</v>
      </c>
      <c r="AV29">
        <v>108.3</v>
      </c>
      <c r="AX29">
        <v>110.2</v>
      </c>
      <c r="AZ29">
        <v>107.5</v>
      </c>
      <c r="BB29">
        <v>109.1</v>
      </c>
      <c r="BD29">
        <v>115.5</v>
      </c>
    </row>
    <row r="30" spans="1:56">
      <c r="A30" t="s">
        <v>33</v>
      </c>
      <c r="B30">
        <v>2013</v>
      </c>
      <c r="C30" t="s">
        <v>43</v>
      </c>
      <c r="D30">
        <v>118.9</v>
      </c>
      <c r="F30">
        <v>118.1</v>
      </c>
      <c r="H30">
        <v>114.5</v>
      </c>
      <c r="J30">
        <v>110.4</v>
      </c>
      <c r="L30">
        <v>102.3</v>
      </c>
      <c r="N30">
        <v>106.2</v>
      </c>
      <c r="P30">
        <v>183.5</v>
      </c>
      <c r="R30">
        <v>105.3</v>
      </c>
      <c r="T30">
        <v>100.2</v>
      </c>
      <c r="V30">
        <v>109.6</v>
      </c>
      <c r="X30">
        <v>111.4</v>
      </c>
      <c r="Z30">
        <v>116</v>
      </c>
      <c r="AB30">
        <v>120.8</v>
      </c>
      <c r="AD30">
        <v>113.5</v>
      </c>
      <c r="AF30">
        <v>112.5</v>
      </c>
      <c r="AH30">
        <v>109.7</v>
      </c>
      <c r="AJ30">
        <v>112</v>
      </c>
      <c r="AL30">
        <v>110.5</v>
      </c>
      <c r="AN30">
        <v>109.7</v>
      </c>
      <c r="AP30">
        <v>110.2</v>
      </c>
      <c r="AR30">
        <v>108.2</v>
      </c>
      <c r="AT30">
        <v>109.7</v>
      </c>
      <c r="AV30">
        <v>108</v>
      </c>
      <c r="AX30">
        <v>111.3</v>
      </c>
      <c r="AZ30">
        <v>107.3</v>
      </c>
      <c r="BB30">
        <v>109.4</v>
      </c>
      <c r="BD30">
        <v>114</v>
      </c>
    </row>
    <row r="31" spans="1:56" hidden="1">
      <c r="A31" t="s">
        <v>34</v>
      </c>
      <c r="B31">
        <v>2013</v>
      </c>
      <c r="C31" t="s">
        <v>43</v>
      </c>
      <c r="D31">
        <v>117.1</v>
      </c>
      <c r="F31">
        <v>116.3</v>
      </c>
      <c r="H31">
        <v>113.3</v>
      </c>
      <c r="J31">
        <v>111.2</v>
      </c>
      <c r="L31">
        <v>105.7</v>
      </c>
      <c r="N31">
        <v>109.9</v>
      </c>
      <c r="P31">
        <v>171.2</v>
      </c>
      <c r="R31">
        <v>107.3</v>
      </c>
      <c r="T31">
        <v>102.7</v>
      </c>
      <c r="V31">
        <v>108.7</v>
      </c>
      <c r="X31">
        <v>111.2</v>
      </c>
      <c r="Z31">
        <v>115.4</v>
      </c>
      <c r="AB31">
        <v>120.2</v>
      </c>
      <c r="AD31">
        <v>112.5</v>
      </c>
      <c r="AF31">
        <v>113.2</v>
      </c>
      <c r="AH31">
        <v>111.2</v>
      </c>
      <c r="AJ31">
        <v>112.8</v>
      </c>
      <c r="AL31">
        <v>110.5</v>
      </c>
      <c r="AN31">
        <v>110.9</v>
      </c>
      <c r="AP31">
        <v>110.3</v>
      </c>
      <c r="AR31">
        <v>108.6</v>
      </c>
      <c r="AT31">
        <v>109.5</v>
      </c>
      <c r="AV31">
        <v>108.1</v>
      </c>
      <c r="AX31">
        <v>110.8</v>
      </c>
      <c r="AZ31">
        <v>107.4</v>
      </c>
      <c r="BB31">
        <v>109.2</v>
      </c>
      <c r="BD31">
        <v>114.8</v>
      </c>
    </row>
    <row r="32" spans="1:56" hidden="1">
      <c r="A32" t="s">
        <v>30</v>
      </c>
      <c r="B32">
        <v>2013</v>
      </c>
      <c r="C32" t="s">
        <v>44</v>
      </c>
      <c r="D32">
        <v>117.3</v>
      </c>
      <c r="F32">
        <v>114.9</v>
      </c>
      <c r="H32">
        <v>116.2</v>
      </c>
      <c r="J32">
        <v>112.8</v>
      </c>
      <c r="L32">
        <v>108.9</v>
      </c>
      <c r="N32">
        <v>116.6</v>
      </c>
      <c r="P32">
        <v>178.1</v>
      </c>
      <c r="R32">
        <v>109.1</v>
      </c>
      <c r="T32">
        <v>103.6</v>
      </c>
      <c r="V32">
        <v>109</v>
      </c>
      <c r="X32">
        <v>111.8</v>
      </c>
      <c r="Z32">
        <v>116</v>
      </c>
      <c r="AB32">
        <v>122.5</v>
      </c>
      <c r="AD32">
        <v>112.8</v>
      </c>
      <c r="AF32">
        <v>114.6</v>
      </c>
      <c r="AH32">
        <v>113.1</v>
      </c>
      <c r="AJ32">
        <v>114.4</v>
      </c>
      <c r="AL32" t="s">
        <v>32</v>
      </c>
      <c r="AN32">
        <v>112.6</v>
      </c>
      <c r="AP32">
        <v>111.3</v>
      </c>
      <c r="AR32">
        <v>109.7</v>
      </c>
      <c r="AT32">
        <v>109.6</v>
      </c>
      <c r="AV32">
        <v>108.7</v>
      </c>
      <c r="AX32">
        <v>111</v>
      </c>
      <c r="AZ32">
        <v>108.2</v>
      </c>
      <c r="BB32">
        <v>109.8</v>
      </c>
      <c r="BD32">
        <v>117.4</v>
      </c>
    </row>
    <row r="33" spans="1:56">
      <c r="A33" t="s">
        <v>33</v>
      </c>
      <c r="B33">
        <v>2013</v>
      </c>
      <c r="C33" t="s">
        <v>45</v>
      </c>
      <c r="D33">
        <v>119.8</v>
      </c>
      <c r="F33">
        <v>116.3</v>
      </c>
      <c r="H33">
        <v>122.6</v>
      </c>
      <c r="J33">
        <v>112</v>
      </c>
      <c r="L33">
        <v>103.2</v>
      </c>
      <c r="N33">
        <v>110</v>
      </c>
      <c r="P33">
        <v>192.8</v>
      </c>
      <c r="R33">
        <v>106.3</v>
      </c>
      <c r="T33">
        <v>99.5</v>
      </c>
      <c r="V33">
        <v>110.3</v>
      </c>
      <c r="X33">
        <v>111.8</v>
      </c>
      <c r="Z33">
        <v>117.1</v>
      </c>
      <c r="AB33">
        <v>122.9</v>
      </c>
      <c r="AD33">
        <v>114.1</v>
      </c>
      <c r="AF33">
        <v>113.5</v>
      </c>
      <c r="AH33">
        <v>110.3</v>
      </c>
      <c r="AJ33">
        <v>113</v>
      </c>
      <c r="AL33">
        <v>111.1</v>
      </c>
      <c r="AN33">
        <v>110</v>
      </c>
      <c r="AP33">
        <v>110.9</v>
      </c>
      <c r="AR33">
        <v>108.6</v>
      </c>
      <c r="AT33">
        <v>109.5</v>
      </c>
      <c r="AV33">
        <v>108.5</v>
      </c>
      <c r="AX33">
        <v>111.3</v>
      </c>
      <c r="AZ33">
        <v>107.9</v>
      </c>
      <c r="BB33">
        <v>109.6</v>
      </c>
      <c r="BD33">
        <v>115</v>
      </c>
    </row>
    <row r="34" spans="1:56" hidden="1">
      <c r="A34" t="s">
        <v>34</v>
      </c>
      <c r="B34">
        <v>2013</v>
      </c>
      <c r="C34" t="s">
        <v>45</v>
      </c>
      <c r="D34">
        <v>118.1</v>
      </c>
      <c r="F34">
        <v>115.4</v>
      </c>
      <c r="H34">
        <v>118.7</v>
      </c>
      <c r="J34">
        <v>112.5</v>
      </c>
      <c r="L34">
        <v>106.8</v>
      </c>
      <c r="N34">
        <v>113.5</v>
      </c>
      <c r="P34">
        <v>183.1</v>
      </c>
      <c r="R34">
        <v>108.2</v>
      </c>
      <c r="T34">
        <v>102.2</v>
      </c>
      <c r="V34">
        <v>109.4</v>
      </c>
      <c r="X34">
        <v>111.8</v>
      </c>
      <c r="Z34">
        <v>116.5</v>
      </c>
      <c r="AB34">
        <v>122.6</v>
      </c>
      <c r="AD34">
        <v>113.1</v>
      </c>
      <c r="AF34">
        <v>114.2</v>
      </c>
      <c r="AH34">
        <v>111.9</v>
      </c>
      <c r="AJ34">
        <v>113.8</v>
      </c>
      <c r="AL34">
        <v>111.1</v>
      </c>
      <c r="AN34">
        <v>111.6</v>
      </c>
      <c r="AP34">
        <v>111.1</v>
      </c>
      <c r="AR34">
        <v>109.3</v>
      </c>
      <c r="AT34">
        <v>109.5</v>
      </c>
      <c r="AV34">
        <v>108.6</v>
      </c>
      <c r="AX34">
        <v>111.2</v>
      </c>
      <c r="AZ34">
        <v>108.1</v>
      </c>
      <c r="BB34">
        <v>109.7</v>
      </c>
      <c r="BD34">
        <v>116.3</v>
      </c>
    </row>
    <row r="35" spans="1:56" hidden="1">
      <c r="A35" t="s">
        <v>30</v>
      </c>
      <c r="B35">
        <v>2013</v>
      </c>
      <c r="C35" t="s">
        <v>46</v>
      </c>
      <c r="D35">
        <v>118.4</v>
      </c>
      <c r="F35">
        <v>115.9</v>
      </c>
      <c r="H35">
        <v>120.4</v>
      </c>
      <c r="J35">
        <v>113.8</v>
      </c>
      <c r="L35">
        <v>109.5</v>
      </c>
      <c r="N35">
        <v>115.5</v>
      </c>
      <c r="P35">
        <v>145.69999999999999</v>
      </c>
      <c r="R35">
        <v>109.5</v>
      </c>
      <c r="T35">
        <v>102.9</v>
      </c>
      <c r="V35">
        <v>109.8</v>
      </c>
      <c r="X35">
        <v>112.1</v>
      </c>
      <c r="Z35">
        <v>116.8</v>
      </c>
      <c r="AB35">
        <v>118.7</v>
      </c>
      <c r="AD35">
        <v>113.6</v>
      </c>
      <c r="AF35">
        <v>115.8</v>
      </c>
      <c r="AH35">
        <v>114</v>
      </c>
      <c r="AJ35">
        <v>115.5</v>
      </c>
      <c r="AL35" t="s">
        <v>32</v>
      </c>
      <c r="AN35">
        <v>112.8</v>
      </c>
      <c r="AP35">
        <v>112.1</v>
      </c>
      <c r="AR35">
        <v>110.1</v>
      </c>
      <c r="AT35">
        <v>109.9</v>
      </c>
      <c r="AV35">
        <v>109.2</v>
      </c>
      <c r="AX35">
        <v>111.6</v>
      </c>
      <c r="AZ35">
        <v>108.1</v>
      </c>
      <c r="BB35">
        <v>110.1</v>
      </c>
      <c r="BD35">
        <v>115.5</v>
      </c>
    </row>
    <row r="36" spans="1:56">
      <c r="A36" t="s">
        <v>33</v>
      </c>
      <c r="B36">
        <v>2013</v>
      </c>
      <c r="C36" t="s">
        <v>46</v>
      </c>
      <c r="D36">
        <v>120.5</v>
      </c>
      <c r="F36">
        <v>118.1</v>
      </c>
      <c r="H36">
        <v>128.5</v>
      </c>
      <c r="J36">
        <v>112.8</v>
      </c>
      <c r="L36">
        <v>103.4</v>
      </c>
      <c r="N36">
        <v>110.7</v>
      </c>
      <c r="P36">
        <v>144.80000000000001</v>
      </c>
      <c r="R36">
        <v>107.1</v>
      </c>
      <c r="T36">
        <v>98.6</v>
      </c>
      <c r="V36">
        <v>111.9</v>
      </c>
      <c r="X36">
        <v>112.1</v>
      </c>
      <c r="Z36">
        <v>118.1</v>
      </c>
      <c r="AB36">
        <v>117.8</v>
      </c>
      <c r="AD36">
        <v>115</v>
      </c>
      <c r="AF36">
        <v>114.2</v>
      </c>
      <c r="AH36">
        <v>110.9</v>
      </c>
      <c r="AJ36">
        <v>113.7</v>
      </c>
      <c r="AL36">
        <v>110.7</v>
      </c>
      <c r="AN36">
        <v>110.4</v>
      </c>
      <c r="AP36">
        <v>111.3</v>
      </c>
      <c r="AR36">
        <v>109</v>
      </c>
      <c r="AT36">
        <v>109.7</v>
      </c>
      <c r="AV36">
        <v>108.9</v>
      </c>
      <c r="AX36">
        <v>111.4</v>
      </c>
      <c r="AZ36">
        <v>107.7</v>
      </c>
      <c r="BB36">
        <v>109.8</v>
      </c>
      <c r="BD36">
        <v>113.3</v>
      </c>
    </row>
    <row r="37" spans="1:56" hidden="1">
      <c r="A37" t="s">
        <v>34</v>
      </c>
      <c r="B37">
        <v>2013</v>
      </c>
      <c r="C37" t="s">
        <v>46</v>
      </c>
      <c r="D37">
        <v>119.1</v>
      </c>
      <c r="F37">
        <v>116.7</v>
      </c>
      <c r="H37">
        <v>123.5</v>
      </c>
      <c r="J37">
        <v>113.4</v>
      </c>
      <c r="L37">
        <v>107.3</v>
      </c>
      <c r="N37">
        <v>113.3</v>
      </c>
      <c r="P37">
        <v>145.4</v>
      </c>
      <c r="R37">
        <v>108.7</v>
      </c>
      <c r="T37">
        <v>101.5</v>
      </c>
      <c r="V37">
        <v>110.5</v>
      </c>
      <c r="X37">
        <v>112.1</v>
      </c>
      <c r="Z37">
        <v>117.4</v>
      </c>
      <c r="AB37">
        <v>118.4</v>
      </c>
      <c r="AD37">
        <v>114</v>
      </c>
      <c r="AF37">
        <v>115.2</v>
      </c>
      <c r="AH37">
        <v>112.7</v>
      </c>
      <c r="AJ37">
        <v>114.8</v>
      </c>
      <c r="AL37">
        <v>110.7</v>
      </c>
      <c r="AN37">
        <v>111.9</v>
      </c>
      <c r="AP37">
        <v>111.7</v>
      </c>
      <c r="AR37">
        <v>109.7</v>
      </c>
      <c r="AT37">
        <v>109.8</v>
      </c>
      <c r="AV37">
        <v>109</v>
      </c>
      <c r="AX37">
        <v>111.5</v>
      </c>
      <c r="AZ37">
        <v>107.9</v>
      </c>
      <c r="BB37">
        <v>110</v>
      </c>
      <c r="BD37">
        <v>114.5</v>
      </c>
    </row>
    <row r="38" spans="1:56" hidden="1">
      <c r="A38" t="s">
        <v>30</v>
      </c>
      <c r="B38">
        <v>2014</v>
      </c>
      <c r="C38" t="s">
        <v>31</v>
      </c>
      <c r="D38">
        <v>118.9</v>
      </c>
      <c r="F38">
        <v>117.1</v>
      </c>
      <c r="H38">
        <v>120.5</v>
      </c>
      <c r="J38">
        <v>114.4</v>
      </c>
      <c r="L38">
        <v>109</v>
      </c>
      <c r="N38">
        <v>115.5</v>
      </c>
      <c r="P38">
        <v>123.9</v>
      </c>
      <c r="R38">
        <v>109.6</v>
      </c>
      <c r="T38">
        <v>101.8</v>
      </c>
      <c r="V38">
        <v>110.2</v>
      </c>
      <c r="X38">
        <v>112.4</v>
      </c>
      <c r="Z38">
        <v>117.3</v>
      </c>
      <c r="AB38">
        <v>116</v>
      </c>
      <c r="AD38">
        <v>114</v>
      </c>
      <c r="AF38">
        <v>116.5</v>
      </c>
      <c r="AH38">
        <v>114.5</v>
      </c>
      <c r="AJ38">
        <v>116.2</v>
      </c>
      <c r="AL38" t="s">
        <v>32</v>
      </c>
      <c r="AN38">
        <v>113</v>
      </c>
      <c r="AP38">
        <v>112.6</v>
      </c>
      <c r="AR38">
        <v>110.6</v>
      </c>
      <c r="AT38">
        <v>110.5</v>
      </c>
      <c r="AV38">
        <v>109.6</v>
      </c>
      <c r="AX38">
        <v>111.8</v>
      </c>
      <c r="AZ38">
        <v>108.3</v>
      </c>
      <c r="BB38">
        <v>110.6</v>
      </c>
      <c r="BD38">
        <v>114.2</v>
      </c>
    </row>
    <row r="39" spans="1:56">
      <c r="A39" t="s">
        <v>33</v>
      </c>
      <c r="B39">
        <v>2014</v>
      </c>
      <c r="C39" t="s">
        <v>31</v>
      </c>
      <c r="D39">
        <v>121.2</v>
      </c>
      <c r="F39">
        <v>122</v>
      </c>
      <c r="H39">
        <v>129.9</v>
      </c>
      <c r="J39">
        <v>113.6</v>
      </c>
      <c r="L39">
        <v>102.9</v>
      </c>
      <c r="N39">
        <v>112.1</v>
      </c>
      <c r="P39">
        <v>118.9</v>
      </c>
      <c r="R39">
        <v>107.5</v>
      </c>
      <c r="T39">
        <v>96.9</v>
      </c>
      <c r="V39">
        <v>112.7</v>
      </c>
      <c r="X39">
        <v>112.1</v>
      </c>
      <c r="Z39">
        <v>119</v>
      </c>
      <c r="AB39">
        <v>115.5</v>
      </c>
      <c r="AD39">
        <v>115.7</v>
      </c>
      <c r="AF39">
        <v>114.8</v>
      </c>
      <c r="AH39">
        <v>111.3</v>
      </c>
      <c r="AJ39">
        <v>114.3</v>
      </c>
      <c r="AL39">
        <v>111.6</v>
      </c>
      <c r="AN39">
        <v>111</v>
      </c>
      <c r="AP39">
        <v>111.9</v>
      </c>
      <c r="AR39">
        <v>109.7</v>
      </c>
      <c r="AT39">
        <v>110.8</v>
      </c>
      <c r="AV39">
        <v>109.8</v>
      </c>
      <c r="AX39">
        <v>111.5</v>
      </c>
      <c r="AZ39">
        <v>108</v>
      </c>
      <c r="BB39">
        <v>110.5</v>
      </c>
      <c r="BD39">
        <v>112.9</v>
      </c>
    </row>
    <row r="40" spans="1:56" hidden="1">
      <c r="A40" t="s">
        <v>34</v>
      </c>
      <c r="B40">
        <v>2014</v>
      </c>
      <c r="C40" t="s">
        <v>31</v>
      </c>
      <c r="D40">
        <v>119.6</v>
      </c>
      <c r="F40">
        <v>118.8</v>
      </c>
      <c r="H40">
        <v>124.1</v>
      </c>
      <c r="J40">
        <v>114.1</v>
      </c>
      <c r="L40">
        <v>106.8</v>
      </c>
      <c r="N40">
        <v>113.9</v>
      </c>
      <c r="P40">
        <v>122.2</v>
      </c>
      <c r="R40">
        <v>108.9</v>
      </c>
      <c r="T40">
        <v>100.2</v>
      </c>
      <c r="V40">
        <v>111</v>
      </c>
      <c r="X40">
        <v>112.3</v>
      </c>
      <c r="Z40">
        <v>118.1</v>
      </c>
      <c r="AB40">
        <v>115.8</v>
      </c>
      <c r="AD40">
        <v>114.5</v>
      </c>
      <c r="AF40">
        <v>115.8</v>
      </c>
      <c r="AH40">
        <v>113.2</v>
      </c>
      <c r="AJ40">
        <v>115.4</v>
      </c>
      <c r="AL40">
        <v>111.6</v>
      </c>
      <c r="AN40">
        <v>112.2</v>
      </c>
      <c r="AP40">
        <v>112.3</v>
      </c>
      <c r="AR40">
        <v>110.3</v>
      </c>
      <c r="AT40">
        <v>110.7</v>
      </c>
      <c r="AV40">
        <v>109.7</v>
      </c>
      <c r="AX40">
        <v>111.6</v>
      </c>
      <c r="AZ40">
        <v>108.2</v>
      </c>
      <c r="BB40">
        <v>110.6</v>
      </c>
      <c r="BD40">
        <v>113.6</v>
      </c>
    </row>
    <row r="41" spans="1:56" hidden="1">
      <c r="A41" t="s">
        <v>30</v>
      </c>
      <c r="B41">
        <v>2014</v>
      </c>
      <c r="C41" t="s">
        <v>35</v>
      </c>
      <c r="D41">
        <v>119.4</v>
      </c>
      <c r="F41">
        <v>117.7</v>
      </c>
      <c r="H41">
        <v>121.2</v>
      </c>
      <c r="J41">
        <v>115</v>
      </c>
      <c r="L41">
        <v>109</v>
      </c>
      <c r="N41">
        <v>116.6</v>
      </c>
      <c r="P41">
        <v>116</v>
      </c>
      <c r="R41">
        <v>109.8</v>
      </c>
      <c r="T41">
        <v>101.1</v>
      </c>
      <c r="V41">
        <v>110.4</v>
      </c>
      <c r="X41">
        <v>112.9</v>
      </c>
      <c r="Z41">
        <v>117.8</v>
      </c>
      <c r="AB41">
        <v>115.3</v>
      </c>
      <c r="AD41">
        <v>114.2</v>
      </c>
      <c r="AF41">
        <v>117.1</v>
      </c>
      <c r="AH41">
        <v>114.5</v>
      </c>
      <c r="AJ41">
        <v>116.7</v>
      </c>
      <c r="AL41" t="s">
        <v>32</v>
      </c>
      <c r="AN41">
        <v>113.2</v>
      </c>
      <c r="AP41">
        <v>112.9</v>
      </c>
      <c r="AR41">
        <v>110.9</v>
      </c>
      <c r="AT41">
        <v>110.8</v>
      </c>
      <c r="AV41">
        <v>109.9</v>
      </c>
      <c r="AX41">
        <v>112</v>
      </c>
      <c r="AZ41">
        <v>108.7</v>
      </c>
      <c r="BB41">
        <v>110.9</v>
      </c>
      <c r="BD41">
        <v>114</v>
      </c>
    </row>
    <row r="42" spans="1:56">
      <c r="A42" t="s">
        <v>33</v>
      </c>
      <c r="B42">
        <v>2014</v>
      </c>
      <c r="C42" t="s">
        <v>35</v>
      </c>
      <c r="D42">
        <v>121.9</v>
      </c>
      <c r="F42">
        <v>122</v>
      </c>
      <c r="H42">
        <v>124.5</v>
      </c>
      <c r="J42">
        <v>115.2</v>
      </c>
      <c r="L42">
        <v>102.5</v>
      </c>
      <c r="N42">
        <v>114.1</v>
      </c>
      <c r="P42">
        <v>111.5</v>
      </c>
      <c r="R42">
        <v>108.2</v>
      </c>
      <c r="T42">
        <v>95.4</v>
      </c>
      <c r="V42">
        <v>113.5</v>
      </c>
      <c r="X42">
        <v>112.1</v>
      </c>
      <c r="Z42">
        <v>119.9</v>
      </c>
      <c r="AB42">
        <v>115.2</v>
      </c>
      <c r="AD42">
        <v>116.2</v>
      </c>
      <c r="AF42">
        <v>115.3</v>
      </c>
      <c r="AH42">
        <v>111.7</v>
      </c>
      <c r="AJ42">
        <v>114.7</v>
      </c>
      <c r="AL42">
        <v>112.5</v>
      </c>
      <c r="AN42">
        <v>111.1</v>
      </c>
      <c r="AP42">
        <v>112.6</v>
      </c>
      <c r="AR42">
        <v>110.4</v>
      </c>
      <c r="AT42">
        <v>111.3</v>
      </c>
      <c r="AV42">
        <v>110.3</v>
      </c>
      <c r="AX42">
        <v>111.6</v>
      </c>
      <c r="AZ42">
        <v>108.7</v>
      </c>
      <c r="BB42">
        <v>111</v>
      </c>
      <c r="BD42">
        <v>113.1</v>
      </c>
    </row>
    <row r="43" spans="1:56" hidden="1">
      <c r="A43" t="s">
        <v>34</v>
      </c>
      <c r="B43">
        <v>2014</v>
      </c>
      <c r="C43" t="s">
        <v>35</v>
      </c>
      <c r="D43">
        <v>120.2</v>
      </c>
      <c r="F43">
        <v>119.2</v>
      </c>
      <c r="H43">
        <v>122.5</v>
      </c>
      <c r="J43">
        <v>115.1</v>
      </c>
      <c r="L43">
        <v>106.6</v>
      </c>
      <c r="N43">
        <v>115.4</v>
      </c>
      <c r="P43">
        <v>114.5</v>
      </c>
      <c r="R43">
        <v>109.3</v>
      </c>
      <c r="T43">
        <v>99.2</v>
      </c>
      <c r="V43">
        <v>111.4</v>
      </c>
      <c r="X43">
        <v>112.6</v>
      </c>
      <c r="Z43">
        <v>118.8</v>
      </c>
      <c r="AB43">
        <v>115.3</v>
      </c>
      <c r="AD43">
        <v>114.7</v>
      </c>
      <c r="AF43">
        <v>116.4</v>
      </c>
      <c r="AH43">
        <v>113.3</v>
      </c>
      <c r="AJ43">
        <v>115.9</v>
      </c>
      <c r="AL43">
        <v>112.5</v>
      </c>
      <c r="AN43">
        <v>112.4</v>
      </c>
      <c r="AP43">
        <v>112.8</v>
      </c>
      <c r="AR43">
        <v>110.7</v>
      </c>
      <c r="AT43">
        <v>111.1</v>
      </c>
      <c r="AV43">
        <v>110.1</v>
      </c>
      <c r="AX43">
        <v>111.8</v>
      </c>
      <c r="AZ43">
        <v>108.7</v>
      </c>
      <c r="BB43">
        <v>110.9</v>
      </c>
      <c r="BD43">
        <v>113.6</v>
      </c>
    </row>
    <row r="44" spans="1:56" hidden="1">
      <c r="A44" t="s">
        <v>30</v>
      </c>
      <c r="B44">
        <v>2014</v>
      </c>
      <c r="C44" t="s">
        <v>36</v>
      </c>
      <c r="D44">
        <v>120.1</v>
      </c>
      <c r="F44">
        <v>118.1</v>
      </c>
      <c r="H44">
        <v>120.7</v>
      </c>
      <c r="J44">
        <v>116.1</v>
      </c>
      <c r="L44">
        <v>109.3</v>
      </c>
      <c r="N44">
        <v>119.6</v>
      </c>
      <c r="P44">
        <v>117.9</v>
      </c>
      <c r="R44">
        <v>110.2</v>
      </c>
      <c r="T44">
        <v>101.2</v>
      </c>
      <c r="V44">
        <v>110.7</v>
      </c>
      <c r="X44">
        <v>113</v>
      </c>
      <c r="Z44">
        <v>118.3</v>
      </c>
      <c r="AB44">
        <v>116.2</v>
      </c>
      <c r="AD44">
        <v>114.6</v>
      </c>
      <c r="AF44">
        <v>117.5</v>
      </c>
      <c r="AH44">
        <v>114.9</v>
      </c>
      <c r="AJ44">
        <v>117.2</v>
      </c>
      <c r="AL44" t="s">
        <v>32</v>
      </c>
      <c r="AN44">
        <v>113.4</v>
      </c>
      <c r="AP44">
        <v>113.4</v>
      </c>
      <c r="AR44">
        <v>111.4</v>
      </c>
      <c r="AT44">
        <v>111.2</v>
      </c>
      <c r="AV44">
        <v>110.2</v>
      </c>
      <c r="AX44">
        <v>112.4</v>
      </c>
      <c r="AZ44">
        <v>108.9</v>
      </c>
      <c r="BB44">
        <v>111.3</v>
      </c>
      <c r="BD44">
        <v>114.6</v>
      </c>
    </row>
    <row r="45" spans="1:56">
      <c r="A45" t="s">
        <v>33</v>
      </c>
      <c r="B45">
        <v>2014</v>
      </c>
      <c r="C45" t="s">
        <v>36</v>
      </c>
      <c r="D45">
        <v>122.1</v>
      </c>
      <c r="F45">
        <v>121.4</v>
      </c>
      <c r="H45">
        <v>121.5</v>
      </c>
      <c r="J45">
        <v>116.2</v>
      </c>
      <c r="L45">
        <v>102.8</v>
      </c>
      <c r="N45">
        <v>117.7</v>
      </c>
      <c r="P45">
        <v>113.3</v>
      </c>
      <c r="R45">
        <v>108.9</v>
      </c>
      <c r="T45">
        <v>96.3</v>
      </c>
      <c r="V45">
        <v>114.1</v>
      </c>
      <c r="X45">
        <v>112.2</v>
      </c>
      <c r="Z45">
        <v>120.5</v>
      </c>
      <c r="AB45">
        <v>116</v>
      </c>
      <c r="AD45">
        <v>116.7</v>
      </c>
      <c r="AF45">
        <v>115.8</v>
      </c>
      <c r="AH45">
        <v>112.1</v>
      </c>
      <c r="AJ45">
        <v>115.2</v>
      </c>
      <c r="AL45">
        <v>113.2</v>
      </c>
      <c r="AN45">
        <v>110.9</v>
      </c>
      <c r="AP45">
        <v>113</v>
      </c>
      <c r="AR45">
        <v>110.8</v>
      </c>
      <c r="AT45">
        <v>111.6</v>
      </c>
      <c r="AV45">
        <v>110.9</v>
      </c>
      <c r="AX45">
        <v>111.8</v>
      </c>
      <c r="AZ45">
        <v>109.2</v>
      </c>
      <c r="BB45">
        <v>111.4</v>
      </c>
      <c r="BD45">
        <v>113.7</v>
      </c>
    </row>
    <row r="46" spans="1:56" hidden="1">
      <c r="A46" t="s">
        <v>34</v>
      </c>
      <c r="B46">
        <v>2014</v>
      </c>
      <c r="C46" s="2" t="s">
        <v>36</v>
      </c>
      <c r="D46">
        <v>120.7</v>
      </c>
      <c r="F46">
        <v>119.3</v>
      </c>
      <c r="H46">
        <v>121</v>
      </c>
      <c r="J46">
        <v>116.1</v>
      </c>
      <c r="L46">
        <v>106.9</v>
      </c>
      <c r="N46">
        <v>118.7</v>
      </c>
      <c r="P46">
        <v>116.3</v>
      </c>
      <c r="R46">
        <v>109.8</v>
      </c>
      <c r="T46">
        <v>99.6</v>
      </c>
      <c r="V46">
        <v>111.8</v>
      </c>
      <c r="X46">
        <v>112.7</v>
      </c>
      <c r="Z46">
        <v>119.3</v>
      </c>
      <c r="AB46">
        <v>116.1</v>
      </c>
      <c r="AD46">
        <v>115.2</v>
      </c>
      <c r="AF46">
        <v>116.8</v>
      </c>
      <c r="AH46">
        <v>113.7</v>
      </c>
      <c r="AJ46">
        <v>116.4</v>
      </c>
      <c r="AL46">
        <v>113.2</v>
      </c>
      <c r="AN46">
        <v>112.5</v>
      </c>
      <c r="AP46">
        <v>113.2</v>
      </c>
      <c r="AR46">
        <v>111.2</v>
      </c>
      <c r="AT46">
        <v>111.4</v>
      </c>
      <c r="AV46">
        <v>110.6</v>
      </c>
      <c r="AX46">
        <v>112</v>
      </c>
      <c r="AZ46">
        <v>109</v>
      </c>
      <c r="BB46">
        <v>111.3</v>
      </c>
      <c r="BD46">
        <v>114.2</v>
      </c>
    </row>
    <row r="47" spans="1:56" hidden="1">
      <c r="A47" t="s">
        <v>30</v>
      </c>
      <c r="B47">
        <v>2014</v>
      </c>
      <c r="C47" t="s">
        <v>37</v>
      </c>
      <c r="D47">
        <v>120.2</v>
      </c>
      <c r="F47">
        <v>118.9</v>
      </c>
      <c r="H47">
        <v>118.1</v>
      </c>
      <c r="J47">
        <v>117</v>
      </c>
      <c r="L47">
        <v>109.7</v>
      </c>
      <c r="N47">
        <v>125.5</v>
      </c>
      <c r="P47">
        <v>120.5</v>
      </c>
      <c r="R47">
        <v>111</v>
      </c>
      <c r="T47">
        <v>102.6</v>
      </c>
      <c r="V47">
        <v>111.2</v>
      </c>
      <c r="X47">
        <v>113.5</v>
      </c>
      <c r="Z47">
        <v>118.7</v>
      </c>
      <c r="AB47">
        <v>117.2</v>
      </c>
      <c r="AD47">
        <v>115.4</v>
      </c>
      <c r="AF47">
        <v>118.1</v>
      </c>
      <c r="AH47">
        <v>116.1</v>
      </c>
      <c r="AJ47">
        <v>117.8</v>
      </c>
      <c r="AL47" t="s">
        <v>32</v>
      </c>
      <c r="AN47">
        <v>113.4</v>
      </c>
      <c r="AP47">
        <v>113.7</v>
      </c>
      <c r="AR47">
        <v>111.8</v>
      </c>
      <c r="AT47">
        <v>111.2</v>
      </c>
      <c r="AV47">
        <v>110.5</v>
      </c>
      <c r="AX47">
        <v>113</v>
      </c>
      <c r="AZ47">
        <v>108.9</v>
      </c>
      <c r="BB47">
        <v>111.5</v>
      </c>
      <c r="BD47">
        <v>115.4</v>
      </c>
    </row>
    <row r="48" spans="1:56">
      <c r="A48" t="s">
        <v>33</v>
      </c>
      <c r="B48">
        <v>2014</v>
      </c>
      <c r="C48" t="s">
        <v>37</v>
      </c>
      <c r="D48">
        <v>122.5</v>
      </c>
      <c r="F48">
        <v>121.7</v>
      </c>
      <c r="H48">
        <v>113.3</v>
      </c>
      <c r="J48">
        <v>117</v>
      </c>
      <c r="L48">
        <v>103.1</v>
      </c>
      <c r="N48">
        <v>126.7</v>
      </c>
      <c r="P48">
        <v>121.2</v>
      </c>
      <c r="R48">
        <v>111</v>
      </c>
      <c r="T48">
        <v>100.3</v>
      </c>
      <c r="V48">
        <v>115.3</v>
      </c>
      <c r="X48">
        <v>112.7</v>
      </c>
      <c r="Z48">
        <v>121</v>
      </c>
      <c r="AB48">
        <v>118.2</v>
      </c>
      <c r="AD48">
        <v>117.6</v>
      </c>
      <c r="AF48">
        <v>116.3</v>
      </c>
      <c r="AH48">
        <v>112.5</v>
      </c>
      <c r="AJ48">
        <v>115.7</v>
      </c>
      <c r="AL48">
        <v>113.9</v>
      </c>
      <c r="AN48">
        <v>110.9</v>
      </c>
      <c r="AP48">
        <v>113.4</v>
      </c>
      <c r="AR48">
        <v>111</v>
      </c>
      <c r="AT48">
        <v>111.2</v>
      </c>
      <c r="AV48">
        <v>111.2</v>
      </c>
      <c r="AX48">
        <v>112.5</v>
      </c>
      <c r="AZ48">
        <v>109.1</v>
      </c>
      <c r="BB48">
        <v>111.4</v>
      </c>
      <c r="BD48">
        <v>114.7</v>
      </c>
    </row>
    <row r="49" spans="1:56" hidden="1">
      <c r="A49" t="s">
        <v>34</v>
      </c>
      <c r="B49">
        <v>2014</v>
      </c>
      <c r="C49" t="s">
        <v>37</v>
      </c>
      <c r="D49">
        <v>120.9</v>
      </c>
      <c r="F49">
        <v>119.9</v>
      </c>
      <c r="H49">
        <v>116.2</v>
      </c>
      <c r="J49">
        <v>117</v>
      </c>
      <c r="L49">
        <v>107.3</v>
      </c>
      <c r="N49">
        <v>126.1</v>
      </c>
      <c r="P49">
        <v>120.7</v>
      </c>
      <c r="R49">
        <v>111</v>
      </c>
      <c r="T49">
        <v>101.8</v>
      </c>
      <c r="V49">
        <v>112.6</v>
      </c>
      <c r="X49">
        <v>113.2</v>
      </c>
      <c r="Z49">
        <v>119.8</v>
      </c>
      <c r="AB49">
        <v>117.6</v>
      </c>
      <c r="AD49">
        <v>116</v>
      </c>
      <c r="AF49">
        <v>117.4</v>
      </c>
      <c r="AH49">
        <v>114.6</v>
      </c>
      <c r="AJ49">
        <v>117</v>
      </c>
      <c r="AL49">
        <v>113.9</v>
      </c>
      <c r="AN49">
        <v>112.5</v>
      </c>
      <c r="AP49">
        <v>113.6</v>
      </c>
      <c r="AR49">
        <v>111.5</v>
      </c>
      <c r="AT49">
        <v>111.2</v>
      </c>
      <c r="AV49">
        <v>110.9</v>
      </c>
      <c r="AX49">
        <v>112.7</v>
      </c>
      <c r="AZ49">
        <v>109</v>
      </c>
      <c r="BB49">
        <v>111.5</v>
      </c>
      <c r="BD49">
        <v>115.1</v>
      </c>
    </row>
    <row r="50" spans="1:56" hidden="1">
      <c r="A50" t="s">
        <v>30</v>
      </c>
      <c r="B50">
        <v>2014</v>
      </c>
      <c r="C50" t="s">
        <v>38</v>
      </c>
      <c r="D50">
        <v>120.3</v>
      </c>
      <c r="F50">
        <v>120.2</v>
      </c>
      <c r="H50">
        <v>116.9</v>
      </c>
      <c r="J50">
        <v>118</v>
      </c>
      <c r="L50">
        <v>110.1</v>
      </c>
      <c r="N50">
        <v>126.3</v>
      </c>
      <c r="P50">
        <v>123.9</v>
      </c>
      <c r="R50">
        <v>111.5</v>
      </c>
      <c r="T50">
        <v>103.5</v>
      </c>
      <c r="V50">
        <v>111.6</v>
      </c>
      <c r="X50">
        <v>114.2</v>
      </c>
      <c r="Z50">
        <v>119.2</v>
      </c>
      <c r="AB50">
        <v>118.2</v>
      </c>
      <c r="AD50">
        <v>116.3</v>
      </c>
      <c r="AF50">
        <v>118.7</v>
      </c>
      <c r="AH50">
        <v>116.8</v>
      </c>
      <c r="AJ50">
        <v>118.5</v>
      </c>
      <c r="AL50" t="s">
        <v>32</v>
      </c>
      <c r="AN50">
        <v>113.4</v>
      </c>
      <c r="AP50">
        <v>114.1</v>
      </c>
      <c r="AR50">
        <v>112.1</v>
      </c>
      <c r="AT50">
        <v>111.4</v>
      </c>
      <c r="AV50">
        <v>110.9</v>
      </c>
      <c r="AX50">
        <v>113.1</v>
      </c>
      <c r="AZ50">
        <v>108.9</v>
      </c>
      <c r="BB50">
        <v>111.8</v>
      </c>
      <c r="BD50">
        <v>116</v>
      </c>
    </row>
    <row r="51" spans="1:56">
      <c r="A51" t="s">
        <v>33</v>
      </c>
      <c r="B51">
        <v>2014</v>
      </c>
      <c r="C51" t="s">
        <v>38</v>
      </c>
      <c r="D51">
        <v>122.7</v>
      </c>
      <c r="F51">
        <v>124.1</v>
      </c>
      <c r="H51">
        <v>114.2</v>
      </c>
      <c r="J51">
        <v>119.1</v>
      </c>
      <c r="L51">
        <v>103.5</v>
      </c>
      <c r="N51">
        <v>129.19999999999999</v>
      </c>
      <c r="P51">
        <v>127</v>
      </c>
      <c r="R51">
        <v>112.6</v>
      </c>
      <c r="T51">
        <v>101.3</v>
      </c>
      <c r="V51">
        <v>117</v>
      </c>
      <c r="X51">
        <v>112.9</v>
      </c>
      <c r="Z51">
        <v>121.7</v>
      </c>
      <c r="AB51">
        <v>120</v>
      </c>
      <c r="AD51">
        <v>118.3</v>
      </c>
      <c r="AF51">
        <v>116.8</v>
      </c>
      <c r="AH51">
        <v>112.9</v>
      </c>
      <c r="AJ51">
        <v>116.2</v>
      </c>
      <c r="AL51">
        <v>114.3</v>
      </c>
      <c r="AN51">
        <v>111.1</v>
      </c>
      <c r="AP51">
        <v>114.1</v>
      </c>
      <c r="AR51">
        <v>111.2</v>
      </c>
      <c r="AT51">
        <v>111.3</v>
      </c>
      <c r="AV51">
        <v>111.5</v>
      </c>
      <c r="AX51">
        <v>112.9</v>
      </c>
      <c r="AZ51">
        <v>109.3</v>
      </c>
      <c r="BB51">
        <v>111.7</v>
      </c>
      <c r="BD51">
        <v>115.6</v>
      </c>
    </row>
    <row r="52" spans="1:56" hidden="1">
      <c r="A52" t="s">
        <v>34</v>
      </c>
      <c r="B52">
        <v>2014</v>
      </c>
      <c r="C52" t="s">
        <v>38</v>
      </c>
      <c r="D52">
        <v>121.1</v>
      </c>
      <c r="F52">
        <v>121.6</v>
      </c>
      <c r="H52">
        <v>115.9</v>
      </c>
      <c r="J52">
        <v>118.4</v>
      </c>
      <c r="L52">
        <v>107.7</v>
      </c>
      <c r="N52">
        <v>127.7</v>
      </c>
      <c r="P52">
        <v>125</v>
      </c>
      <c r="R52">
        <v>111.9</v>
      </c>
      <c r="T52">
        <v>102.8</v>
      </c>
      <c r="V52">
        <v>113.4</v>
      </c>
      <c r="X52">
        <v>113.7</v>
      </c>
      <c r="Z52">
        <v>120.4</v>
      </c>
      <c r="AB52">
        <v>118.9</v>
      </c>
      <c r="AD52">
        <v>116.8</v>
      </c>
      <c r="AF52">
        <v>118</v>
      </c>
      <c r="AH52">
        <v>115.2</v>
      </c>
      <c r="AJ52">
        <v>117.6</v>
      </c>
      <c r="AL52">
        <v>114.3</v>
      </c>
      <c r="AN52">
        <v>112.5</v>
      </c>
      <c r="AP52">
        <v>114.1</v>
      </c>
      <c r="AR52">
        <v>111.8</v>
      </c>
      <c r="AT52">
        <v>111.3</v>
      </c>
      <c r="AV52">
        <v>111.2</v>
      </c>
      <c r="AX52">
        <v>113</v>
      </c>
      <c r="AZ52">
        <v>109.1</v>
      </c>
      <c r="BB52">
        <v>111.8</v>
      </c>
      <c r="BD52">
        <v>115.8</v>
      </c>
    </row>
    <row r="53" spans="1:56" hidden="1">
      <c r="A53" t="s">
        <v>30</v>
      </c>
      <c r="B53">
        <v>2014</v>
      </c>
      <c r="C53" t="s">
        <v>39</v>
      </c>
      <c r="D53">
        <v>120.7</v>
      </c>
      <c r="F53">
        <v>121.6</v>
      </c>
      <c r="H53">
        <v>116.1</v>
      </c>
      <c r="J53">
        <v>119.3</v>
      </c>
      <c r="L53">
        <v>110.3</v>
      </c>
      <c r="N53">
        <v>125.8</v>
      </c>
      <c r="P53">
        <v>129.30000000000001</v>
      </c>
      <c r="R53">
        <v>112.2</v>
      </c>
      <c r="T53">
        <v>103.6</v>
      </c>
      <c r="V53">
        <v>112.3</v>
      </c>
      <c r="X53">
        <v>114.9</v>
      </c>
      <c r="Z53">
        <v>120.1</v>
      </c>
      <c r="AB53">
        <v>119.5</v>
      </c>
      <c r="AD53">
        <v>117.3</v>
      </c>
      <c r="AF53">
        <v>119.7</v>
      </c>
      <c r="AH53">
        <v>117.3</v>
      </c>
      <c r="AJ53">
        <v>119.3</v>
      </c>
      <c r="AL53" t="s">
        <v>32</v>
      </c>
      <c r="AN53">
        <v>114.4</v>
      </c>
      <c r="AP53">
        <v>114.9</v>
      </c>
      <c r="AR53">
        <v>112.8</v>
      </c>
      <c r="AT53">
        <v>112.2</v>
      </c>
      <c r="AV53">
        <v>111.4</v>
      </c>
      <c r="AX53">
        <v>114.3</v>
      </c>
      <c r="AZ53">
        <v>108</v>
      </c>
      <c r="BB53">
        <v>112.3</v>
      </c>
      <c r="BD53">
        <v>117</v>
      </c>
    </row>
    <row r="54" spans="1:56">
      <c r="A54" t="s">
        <v>33</v>
      </c>
      <c r="B54">
        <v>2014</v>
      </c>
      <c r="C54" t="s">
        <v>39</v>
      </c>
      <c r="D54">
        <v>123.1</v>
      </c>
      <c r="F54">
        <v>125.9</v>
      </c>
      <c r="H54">
        <v>115.4</v>
      </c>
      <c r="J54">
        <v>120.4</v>
      </c>
      <c r="L54">
        <v>103.4</v>
      </c>
      <c r="N54">
        <v>131.19999999999999</v>
      </c>
      <c r="P54">
        <v>137.5</v>
      </c>
      <c r="R54">
        <v>112.8</v>
      </c>
      <c r="T54">
        <v>101.4</v>
      </c>
      <c r="V54">
        <v>118.3</v>
      </c>
      <c r="X54">
        <v>113.2</v>
      </c>
      <c r="Z54">
        <v>122.4</v>
      </c>
      <c r="AB54">
        <v>122</v>
      </c>
      <c r="AD54">
        <v>119</v>
      </c>
      <c r="AF54">
        <v>117.4</v>
      </c>
      <c r="AH54">
        <v>113.2</v>
      </c>
      <c r="AJ54">
        <v>116.7</v>
      </c>
      <c r="AL54">
        <v>113.9</v>
      </c>
      <c r="AN54">
        <v>111.2</v>
      </c>
      <c r="AP54">
        <v>114.3</v>
      </c>
      <c r="AR54">
        <v>111.4</v>
      </c>
      <c r="AT54">
        <v>111.5</v>
      </c>
      <c r="AV54">
        <v>111.8</v>
      </c>
      <c r="AX54">
        <v>115.1</v>
      </c>
      <c r="AZ54">
        <v>108.7</v>
      </c>
      <c r="BB54">
        <v>112.2</v>
      </c>
      <c r="BD54">
        <v>116.4</v>
      </c>
    </row>
    <row r="55" spans="1:56" hidden="1">
      <c r="A55" t="s">
        <v>34</v>
      </c>
      <c r="B55">
        <v>2014</v>
      </c>
      <c r="C55" t="s">
        <v>39</v>
      </c>
      <c r="D55">
        <v>121.5</v>
      </c>
      <c r="F55">
        <v>123.1</v>
      </c>
      <c r="H55">
        <v>115.8</v>
      </c>
      <c r="J55">
        <v>119.7</v>
      </c>
      <c r="L55">
        <v>107.8</v>
      </c>
      <c r="N55">
        <v>128.30000000000001</v>
      </c>
      <c r="P55">
        <v>132.1</v>
      </c>
      <c r="R55">
        <v>112.4</v>
      </c>
      <c r="T55">
        <v>102.9</v>
      </c>
      <c r="V55">
        <v>114.3</v>
      </c>
      <c r="X55">
        <v>114.2</v>
      </c>
      <c r="Z55">
        <v>121.2</v>
      </c>
      <c r="AB55">
        <v>120.4</v>
      </c>
      <c r="AD55">
        <v>117.8</v>
      </c>
      <c r="AF55">
        <v>118.8</v>
      </c>
      <c r="AH55">
        <v>115.6</v>
      </c>
      <c r="AJ55">
        <v>118.3</v>
      </c>
      <c r="AL55">
        <v>113.9</v>
      </c>
      <c r="AN55">
        <v>113.2</v>
      </c>
      <c r="AP55">
        <v>114.6</v>
      </c>
      <c r="AR55">
        <v>112.3</v>
      </c>
      <c r="AT55">
        <v>111.8</v>
      </c>
      <c r="AV55">
        <v>111.6</v>
      </c>
      <c r="AX55">
        <v>114.8</v>
      </c>
      <c r="AZ55">
        <v>108.3</v>
      </c>
      <c r="BB55">
        <v>112.3</v>
      </c>
      <c r="BD55">
        <v>116.7</v>
      </c>
    </row>
    <row r="56" spans="1:56" hidden="1">
      <c r="A56" t="s">
        <v>30</v>
      </c>
      <c r="B56">
        <v>2014</v>
      </c>
      <c r="C56" t="s">
        <v>40</v>
      </c>
      <c r="D56">
        <v>121.7</v>
      </c>
      <c r="F56">
        <v>122.5</v>
      </c>
      <c r="H56">
        <v>117.7</v>
      </c>
      <c r="J56">
        <v>120.6</v>
      </c>
      <c r="L56">
        <v>110.4</v>
      </c>
      <c r="N56">
        <v>129.1</v>
      </c>
      <c r="P56">
        <v>150.1</v>
      </c>
      <c r="R56">
        <v>113.2</v>
      </c>
      <c r="T56">
        <v>104.8</v>
      </c>
      <c r="V56">
        <v>113.3</v>
      </c>
      <c r="X56">
        <v>115.6</v>
      </c>
      <c r="Z56">
        <v>120.9</v>
      </c>
      <c r="AB56">
        <v>123.3</v>
      </c>
      <c r="AD56">
        <v>118</v>
      </c>
      <c r="AF56">
        <v>120.7</v>
      </c>
      <c r="AH56">
        <v>118.3</v>
      </c>
      <c r="AJ56">
        <v>120.3</v>
      </c>
      <c r="AL56" t="s">
        <v>32</v>
      </c>
      <c r="AN56">
        <v>115.3</v>
      </c>
      <c r="AP56">
        <v>115.4</v>
      </c>
      <c r="AR56">
        <v>113.4</v>
      </c>
      <c r="AT56">
        <v>113.2</v>
      </c>
      <c r="AV56">
        <v>111.8</v>
      </c>
      <c r="AX56">
        <v>115.5</v>
      </c>
      <c r="AZ56">
        <v>108.8</v>
      </c>
      <c r="BB56">
        <v>113.1</v>
      </c>
      <c r="BD56">
        <v>119.5</v>
      </c>
    </row>
    <row r="57" spans="1:56">
      <c r="A57" t="s">
        <v>33</v>
      </c>
      <c r="B57">
        <v>2014</v>
      </c>
      <c r="C57" t="s">
        <v>40</v>
      </c>
      <c r="D57">
        <v>123.8</v>
      </c>
      <c r="F57">
        <v>126.4</v>
      </c>
      <c r="H57">
        <v>118</v>
      </c>
      <c r="J57">
        <v>121.6</v>
      </c>
      <c r="L57">
        <v>103.5</v>
      </c>
      <c r="N57">
        <v>133.69999999999999</v>
      </c>
      <c r="P57">
        <v>172.4</v>
      </c>
      <c r="R57">
        <v>113.1</v>
      </c>
      <c r="T57">
        <v>102.7</v>
      </c>
      <c r="V57">
        <v>120</v>
      </c>
      <c r="X57">
        <v>113.8</v>
      </c>
      <c r="Z57">
        <v>123.4</v>
      </c>
      <c r="AB57">
        <v>127.1</v>
      </c>
      <c r="AD57">
        <v>121</v>
      </c>
      <c r="AF57">
        <v>118</v>
      </c>
      <c r="AH57">
        <v>113.6</v>
      </c>
      <c r="AJ57">
        <v>117.4</v>
      </c>
      <c r="AL57">
        <v>114.8</v>
      </c>
      <c r="AN57">
        <v>111.6</v>
      </c>
      <c r="AP57">
        <v>114.9</v>
      </c>
      <c r="AR57">
        <v>111.5</v>
      </c>
      <c r="AT57">
        <v>113</v>
      </c>
      <c r="AV57">
        <v>112.4</v>
      </c>
      <c r="AX57">
        <v>117.8</v>
      </c>
      <c r="AZ57">
        <v>109.7</v>
      </c>
      <c r="BB57">
        <v>113.5</v>
      </c>
      <c r="BD57">
        <v>118.9</v>
      </c>
    </row>
    <row r="58" spans="1:56" hidden="1">
      <c r="A58" t="s">
        <v>34</v>
      </c>
      <c r="B58">
        <v>2014</v>
      </c>
      <c r="C58" t="s">
        <v>40</v>
      </c>
      <c r="D58">
        <v>122.4</v>
      </c>
      <c r="F58">
        <v>123.9</v>
      </c>
      <c r="H58">
        <v>117.8</v>
      </c>
      <c r="J58">
        <v>121</v>
      </c>
      <c r="L58">
        <v>107.9</v>
      </c>
      <c r="N58">
        <v>131.19999999999999</v>
      </c>
      <c r="P58">
        <v>157.69999999999999</v>
      </c>
      <c r="R58">
        <v>113.2</v>
      </c>
      <c r="T58">
        <v>104.1</v>
      </c>
      <c r="V58">
        <v>115.5</v>
      </c>
      <c r="X58">
        <v>114.8</v>
      </c>
      <c r="Z58">
        <v>122.1</v>
      </c>
      <c r="AB58">
        <v>124.7</v>
      </c>
      <c r="AD58">
        <v>118.8</v>
      </c>
      <c r="AF58">
        <v>119.6</v>
      </c>
      <c r="AH58">
        <v>116.3</v>
      </c>
      <c r="AJ58">
        <v>119.1</v>
      </c>
      <c r="AL58">
        <v>114.8</v>
      </c>
      <c r="AN58">
        <v>113.9</v>
      </c>
      <c r="AP58">
        <v>115.2</v>
      </c>
      <c r="AR58">
        <v>112.7</v>
      </c>
      <c r="AT58">
        <v>113.1</v>
      </c>
      <c r="AV58">
        <v>112.1</v>
      </c>
      <c r="AX58">
        <v>116.8</v>
      </c>
      <c r="AZ58">
        <v>109.2</v>
      </c>
      <c r="BB58">
        <v>113.3</v>
      </c>
      <c r="BD58">
        <v>119.2</v>
      </c>
    </row>
    <row r="59" spans="1:56" hidden="1">
      <c r="A59" t="s">
        <v>30</v>
      </c>
      <c r="B59">
        <v>2014</v>
      </c>
      <c r="C59" t="s">
        <v>41</v>
      </c>
      <c r="D59">
        <v>121.8</v>
      </c>
      <c r="F59">
        <v>122.8</v>
      </c>
      <c r="H59">
        <v>117.8</v>
      </c>
      <c r="J59">
        <v>121.9</v>
      </c>
      <c r="L59">
        <v>110.6</v>
      </c>
      <c r="N59">
        <v>129.69999999999999</v>
      </c>
      <c r="P59">
        <v>161.1</v>
      </c>
      <c r="R59">
        <v>114.1</v>
      </c>
      <c r="T59">
        <v>105.1</v>
      </c>
      <c r="V59">
        <v>114.6</v>
      </c>
      <c r="X59">
        <v>115.8</v>
      </c>
      <c r="Z59">
        <v>121.7</v>
      </c>
      <c r="AB59">
        <v>125.3</v>
      </c>
      <c r="AD59">
        <v>118.8</v>
      </c>
      <c r="AF59">
        <v>120.9</v>
      </c>
      <c r="AH59">
        <v>118.8</v>
      </c>
      <c r="AJ59">
        <v>120.7</v>
      </c>
      <c r="AL59" t="s">
        <v>32</v>
      </c>
      <c r="AN59">
        <v>115.4</v>
      </c>
      <c r="AP59">
        <v>115.9</v>
      </c>
      <c r="AR59">
        <v>114</v>
      </c>
      <c r="AT59">
        <v>113.2</v>
      </c>
      <c r="AV59">
        <v>112.2</v>
      </c>
      <c r="AX59">
        <v>116.2</v>
      </c>
      <c r="AZ59">
        <v>109.4</v>
      </c>
      <c r="BB59">
        <v>113.5</v>
      </c>
      <c r="BD59">
        <v>120.7</v>
      </c>
    </row>
    <row r="60" spans="1:56">
      <c r="A60" t="s">
        <v>33</v>
      </c>
      <c r="B60">
        <v>2014</v>
      </c>
      <c r="C60" t="s">
        <v>41</v>
      </c>
      <c r="D60">
        <v>124.8</v>
      </c>
      <c r="F60">
        <v>127.3</v>
      </c>
      <c r="H60">
        <v>116.5</v>
      </c>
      <c r="J60">
        <v>122.2</v>
      </c>
      <c r="L60">
        <v>103.6</v>
      </c>
      <c r="N60">
        <v>132.69999999999999</v>
      </c>
      <c r="P60">
        <v>181.9</v>
      </c>
      <c r="R60">
        <v>115.2</v>
      </c>
      <c r="T60">
        <v>102.7</v>
      </c>
      <c r="V60">
        <v>122.1</v>
      </c>
      <c r="X60">
        <v>114.4</v>
      </c>
      <c r="Z60">
        <v>124.7</v>
      </c>
      <c r="AB60">
        <v>128.9</v>
      </c>
      <c r="AD60">
        <v>123</v>
      </c>
      <c r="AF60">
        <v>118.6</v>
      </c>
      <c r="AH60">
        <v>114.1</v>
      </c>
      <c r="AJ60">
        <v>117.9</v>
      </c>
      <c r="AL60">
        <v>115.5</v>
      </c>
      <c r="AN60">
        <v>111.8</v>
      </c>
      <c r="AP60">
        <v>115.3</v>
      </c>
      <c r="AR60">
        <v>112.2</v>
      </c>
      <c r="AT60">
        <v>112.5</v>
      </c>
      <c r="AV60">
        <v>112.9</v>
      </c>
      <c r="AX60">
        <v>119.2</v>
      </c>
      <c r="AZ60">
        <v>110.5</v>
      </c>
      <c r="BB60">
        <v>113.9</v>
      </c>
      <c r="BD60">
        <v>119.9</v>
      </c>
    </row>
    <row r="61" spans="1:56" hidden="1">
      <c r="A61" t="s">
        <v>34</v>
      </c>
      <c r="B61">
        <v>2014</v>
      </c>
      <c r="C61" t="s">
        <v>41</v>
      </c>
      <c r="D61">
        <v>122.7</v>
      </c>
      <c r="F61">
        <v>124.4</v>
      </c>
      <c r="H61">
        <v>117.3</v>
      </c>
      <c r="J61">
        <v>122</v>
      </c>
      <c r="L61">
        <v>108</v>
      </c>
      <c r="N61">
        <v>131.1</v>
      </c>
      <c r="P61">
        <v>168.2</v>
      </c>
      <c r="R61">
        <v>114.5</v>
      </c>
      <c r="T61">
        <v>104.3</v>
      </c>
      <c r="V61">
        <v>117.1</v>
      </c>
      <c r="X61">
        <v>115.2</v>
      </c>
      <c r="Z61">
        <v>123.1</v>
      </c>
      <c r="AB61">
        <v>126.6</v>
      </c>
      <c r="AD61">
        <v>119.9</v>
      </c>
      <c r="AF61">
        <v>120</v>
      </c>
      <c r="AH61">
        <v>116.8</v>
      </c>
      <c r="AJ61">
        <v>119.6</v>
      </c>
      <c r="AL61">
        <v>115.5</v>
      </c>
      <c r="AN61">
        <v>114</v>
      </c>
      <c r="AP61">
        <v>115.6</v>
      </c>
      <c r="AR61">
        <v>113.3</v>
      </c>
      <c r="AT61">
        <v>112.8</v>
      </c>
      <c r="AV61">
        <v>112.6</v>
      </c>
      <c r="AX61">
        <v>118</v>
      </c>
      <c r="AZ61">
        <v>109.9</v>
      </c>
      <c r="BB61">
        <v>113.7</v>
      </c>
      <c r="BD61">
        <v>120.3</v>
      </c>
    </row>
    <row r="62" spans="1:56" hidden="1">
      <c r="A62" t="s">
        <v>30</v>
      </c>
      <c r="B62">
        <v>2014</v>
      </c>
      <c r="C62" t="s">
        <v>42</v>
      </c>
      <c r="D62">
        <v>122.3</v>
      </c>
      <c r="F62">
        <v>122.4</v>
      </c>
      <c r="H62">
        <v>117.8</v>
      </c>
      <c r="J62">
        <v>122.7</v>
      </c>
      <c r="L62">
        <v>110.4</v>
      </c>
      <c r="N62">
        <v>129.80000000000001</v>
      </c>
      <c r="P62">
        <v>158.80000000000001</v>
      </c>
      <c r="R62">
        <v>115</v>
      </c>
      <c r="T62">
        <v>104.7</v>
      </c>
      <c r="V62">
        <v>114.9</v>
      </c>
      <c r="X62">
        <v>116.5</v>
      </c>
      <c r="Z62">
        <v>122.6</v>
      </c>
      <c r="AB62">
        <v>125.3</v>
      </c>
      <c r="AD62">
        <v>119.5</v>
      </c>
      <c r="AF62">
        <v>121.7</v>
      </c>
      <c r="AH62">
        <v>119.2</v>
      </c>
      <c r="AJ62">
        <v>121.3</v>
      </c>
      <c r="AL62" t="s">
        <v>32</v>
      </c>
      <c r="AN62">
        <v>115.8</v>
      </c>
      <c r="AP62">
        <v>116.7</v>
      </c>
      <c r="AR62">
        <v>114.5</v>
      </c>
      <c r="AT62">
        <v>112.8</v>
      </c>
      <c r="AV62">
        <v>112.6</v>
      </c>
      <c r="AX62">
        <v>116.6</v>
      </c>
      <c r="AZ62">
        <v>109.1</v>
      </c>
      <c r="BB62">
        <v>113.7</v>
      </c>
      <c r="BD62">
        <v>120.9</v>
      </c>
    </row>
    <row r="63" spans="1:56">
      <c r="A63" t="s">
        <v>33</v>
      </c>
      <c r="B63">
        <v>2014</v>
      </c>
      <c r="C63" t="s">
        <v>42</v>
      </c>
      <c r="D63">
        <v>124.2</v>
      </c>
      <c r="F63">
        <v>125.4</v>
      </c>
      <c r="H63">
        <v>116.4</v>
      </c>
      <c r="J63">
        <v>122.7</v>
      </c>
      <c r="L63">
        <v>103.5</v>
      </c>
      <c r="N63">
        <v>124.5</v>
      </c>
      <c r="P63">
        <v>168.6</v>
      </c>
      <c r="R63">
        <v>116.9</v>
      </c>
      <c r="T63">
        <v>101.9</v>
      </c>
      <c r="V63">
        <v>122.9</v>
      </c>
      <c r="X63">
        <v>114.8</v>
      </c>
      <c r="Z63">
        <v>125.2</v>
      </c>
      <c r="AB63">
        <v>126.7</v>
      </c>
      <c r="AD63">
        <v>124.3</v>
      </c>
      <c r="AF63">
        <v>119.2</v>
      </c>
      <c r="AH63">
        <v>114.5</v>
      </c>
      <c r="AJ63">
        <v>118.4</v>
      </c>
      <c r="AL63">
        <v>116.1</v>
      </c>
      <c r="AN63">
        <v>111.8</v>
      </c>
      <c r="AP63">
        <v>115.5</v>
      </c>
      <c r="AR63">
        <v>112.3</v>
      </c>
      <c r="AT63">
        <v>111.2</v>
      </c>
      <c r="AV63">
        <v>113.4</v>
      </c>
      <c r="AX63">
        <v>120</v>
      </c>
      <c r="AZ63">
        <v>110</v>
      </c>
      <c r="BB63">
        <v>113.6</v>
      </c>
      <c r="BD63">
        <v>119.2</v>
      </c>
    </row>
    <row r="64" spans="1:56" hidden="1">
      <c r="A64" t="s">
        <v>34</v>
      </c>
      <c r="B64">
        <v>2014</v>
      </c>
      <c r="C64" t="s">
        <v>42</v>
      </c>
      <c r="D64">
        <v>122.9</v>
      </c>
      <c r="F64">
        <v>123.5</v>
      </c>
      <c r="H64">
        <v>117.3</v>
      </c>
      <c r="J64">
        <v>122.7</v>
      </c>
      <c r="L64">
        <v>107.9</v>
      </c>
      <c r="N64">
        <v>127.3</v>
      </c>
      <c r="P64">
        <v>162.1</v>
      </c>
      <c r="R64">
        <v>115.6</v>
      </c>
      <c r="T64">
        <v>103.8</v>
      </c>
      <c r="V64">
        <v>117.6</v>
      </c>
      <c r="X64">
        <v>115.8</v>
      </c>
      <c r="Z64">
        <v>123.8</v>
      </c>
      <c r="AB64">
        <v>125.8</v>
      </c>
      <c r="AD64">
        <v>120.8</v>
      </c>
      <c r="AF64">
        <v>120.7</v>
      </c>
      <c r="AH64">
        <v>117.2</v>
      </c>
      <c r="AJ64">
        <v>120.1</v>
      </c>
      <c r="AL64">
        <v>116.1</v>
      </c>
      <c r="AN64">
        <v>114.3</v>
      </c>
      <c r="AP64">
        <v>116.1</v>
      </c>
      <c r="AR64">
        <v>113.7</v>
      </c>
      <c r="AT64">
        <v>112</v>
      </c>
      <c r="AV64">
        <v>113.1</v>
      </c>
      <c r="AX64">
        <v>118.6</v>
      </c>
      <c r="AZ64">
        <v>109.5</v>
      </c>
      <c r="BB64">
        <v>113.7</v>
      </c>
      <c r="BD64">
        <v>120.1</v>
      </c>
    </row>
    <row r="65" spans="1:56" hidden="1">
      <c r="A65" t="s">
        <v>30</v>
      </c>
      <c r="B65">
        <v>2014</v>
      </c>
      <c r="C65" t="s">
        <v>43</v>
      </c>
      <c r="D65">
        <v>122.6</v>
      </c>
      <c r="F65">
        <v>122.5</v>
      </c>
      <c r="H65">
        <v>118.3</v>
      </c>
      <c r="J65">
        <v>123.2</v>
      </c>
      <c r="L65">
        <v>110.5</v>
      </c>
      <c r="N65">
        <v>128.9</v>
      </c>
      <c r="P65">
        <v>155.30000000000001</v>
      </c>
      <c r="R65">
        <v>115.5</v>
      </c>
      <c r="T65">
        <v>104</v>
      </c>
      <c r="V65">
        <v>115.3</v>
      </c>
      <c r="X65">
        <v>116.8</v>
      </c>
      <c r="Z65">
        <v>123.2</v>
      </c>
      <c r="AB65">
        <v>125.1</v>
      </c>
      <c r="AD65">
        <v>120</v>
      </c>
      <c r="AF65">
        <v>122.7</v>
      </c>
      <c r="AH65">
        <v>120.3</v>
      </c>
      <c r="AJ65">
        <v>122.3</v>
      </c>
      <c r="AL65" t="s">
        <v>32</v>
      </c>
      <c r="AN65">
        <v>116.4</v>
      </c>
      <c r="AP65">
        <v>117.5</v>
      </c>
      <c r="AR65">
        <v>115.3</v>
      </c>
      <c r="AT65">
        <v>112.6</v>
      </c>
      <c r="AV65">
        <v>113</v>
      </c>
      <c r="AX65">
        <v>116.9</v>
      </c>
      <c r="AZ65">
        <v>109.3</v>
      </c>
      <c r="BB65">
        <v>114</v>
      </c>
      <c r="BD65">
        <v>121</v>
      </c>
    </row>
    <row r="66" spans="1:56">
      <c r="A66" t="s">
        <v>33</v>
      </c>
      <c r="B66">
        <v>2014</v>
      </c>
      <c r="C66" t="s">
        <v>43</v>
      </c>
      <c r="D66">
        <v>124.6</v>
      </c>
      <c r="F66">
        <v>126.1</v>
      </c>
      <c r="H66">
        <v>117.8</v>
      </c>
      <c r="J66">
        <v>123.1</v>
      </c>
      <c r="L66">
        <v>103.5</v>
      </c>
      <c r="N66">
        <v>123.5</v>
      </c>
      <c r="P66">
        <v>159.6</v>
      </c>
      <c r="R66">
        <v>117.4</v>
      </c>
      <c r="T66">
        <v>101.2</v>
      </c>
      <c r="V66">
        <v>123.8</v>
      </c>
      <c r="X66">
        <v>115.2</v>
      </c>
      <c r="Z66">
        <v>125.9</v>
      </c>
      <c r="AB66">
        <v>125.8</v>
      </c>
      <c r="AD66">
        <v>124.3</v>
      </c>
      <c r="AF66">
        <v>119.6</v>
      </c>
      <c r="AH66">
        <v>114.9</v>
      </c>
      <c r="AJ66">
        <v>118.9</v>
      </c>
      <c r="AL66">
        <v>116.7</v>
      </c>
      <c r="AN66">
        <v>112</v>
      </c>
      <c r="AP66">
        <v>115.8</v>
      </c>
      <c r="AR66">
        <v>112.6</v>
      </c>
      <c r="AT66">
        <v>111</v>
      </c>
      <c r="AV66">
        <v>113.6</v>
      </c>
      <c r="AX66">
        <v>120.2</v>
      </c>
      <c r="AZ66">
        <v>110.1</v>
      </c>
      <c r="BB66">
        <v>113.7</v>
      </c>
      <c r="BD66">
        <v>119.1</v>
      </c>
    </row>
    <row r="67" spans="1:56" hidden="1">
      <c r="A67" t="s">
        <v>34</v>
      </c>
      <c r="B67">
        <v>2014</v>
      </c>
      <c r="C67" t="s">
        <v>43</v>
      </c>
      <c r="D67">
        <v>123.2</v>
      </c>
      <c r="F67">
        <v>123.8</v>
      </c>
      <c r="H67">
        <v>118.1</v>
      </c>
      <c r="J67">
        <v>123.2</v>
      </c>
      <c r="L67">
        <v>107.9</v>
      </c>
      <c r="N67">
        <v>126.4</v>
      </c>
      <c r="P67">
        <v>156.80000000000001</v>
      </c>
      <c r="R67">
        <v>116.1</v>
      </c>
      <c r="T67">
        <v>103.1</v>
      </c>
      <c r="V67">
        <v>118.1</v>
      </c>
      <c r="X67">
        <v>116.1</v>
      </c>
      <c r="Z67">
        <v>124.5</v>
      </c>
      <c r="AB67">
        <v>125.4</v>
      </c>
      <c r="AD67">
        <v>121.1</v>
      </c>
      <c r="AF67">
        <v>121.5</v>
      </c>
      <c r="AH67">
        <v>118.1</v>
      </c>
      <c r="AJ67">
        <v>121</v>
      </c>
      <c r="AL67">
        <v>116.7</v>
      </c>
      <c r="AN67">
        <v>114.7</v>
      </c>
      <c r="AP67">
        <v>116.7</v>
      </c>
      <c r="AR67">
        <v>114.3</v>
      </c>
      <c r="AT67">
        <v>111.8</v>
      </c>
      <c r="AV67">
        <v>113.3</v>
      </c>
      <c r="AX67">
        <v>118.8</v>
      </c>
      <c r="AZ67">
        <v>109.6</v>
      </c>
      <c r="BB67">
        <v>113.9</v>
      </c>
      <c r="BD67">
        <v>120.1</v>
      </c>
    </row>
    <row r="68" spans="1:56" hidden="1">
      <c r="A68" t="s">
        <v>30</v>
      </c>
      <c r="B68">
        <v>2014</v>
      </c>
      <c r="C68" t="s">
        <v>45</v>
      </c>
      <c r="D68">
        <v>122.7</v>
      </c>
      <c r="F68">
        <v>122.6</v>
      </c>
      <c r="H68">
        <v>119.9</v>
      </c>
      <c r="J68">
        <v>124</v>
      </c>
      <c r="L68">
        <v>110.5</v>
      </c>
      <c r="N68">
        <v>128.80000000000001</v>
      </c>
      <c r="P68">
        <v>152</v>
      </c>
      <c r="R68">
        <v>116.2</v>
      </c>
      <c r="T68">
        <v>103.3</v>
      </c>
      <c r="V68">
        <v>115.8</v>
      </c>
      <c r="X68">
        <v>116.8</v>
      </c>
      <c r="Z68">
        <v>124.5</v>
      </c>
      <c r="AB68">
        <v>124.9</v>
      </c>
      <c r="AD68">
        <v>120.8</v>
      </c>
      <c r="AF68">
        <v>123.3</v>
      </c>
      <c r="AH68">
        <v>120.5</v>
      </c>
      <c r="AJ68">
        <v>122.9</v>
      </c>
      <c r="AL68" t="s">
        <v>32</v>
      </c>
      <c r="AN68">
        <v>117.3</v>
      </c>
      <c r="AP68">
        <v>118.1</v>
      </c>
      <c r="AR68">
        <v>115.9</v>
      </c>
      <c r="AT68">
        <v>112</v>
      </c>
      <c r="AV68">
        <v>113.3</v>
      </c>
      <c r="AX68">
        <v>117.2</v>
      </c>
      <c r="AZ68">
        <v>108.8</v>
      </c>
      <c r="BB68">
        <v>114.1</v>
      </c>
      <c r="BD68">
        <v>121.1</v>
      </c>
    </row>
    <row r="69" spans="1:56">
      <c r="A69" t="s">
        <v>33</v>
      </c>
      <c r="B69">
        <v>2014</v>
      </c>
      <c r="C69" t="s">
        <v>45</v>
      </c>
      <c r="D69">
        <v>124.5</v>
      </c>
      <c r="F69">
        <v>125.6</v>
      </c>
      <c r="H69">
        <v>122.7</v>
      </c>
      <c r="J69">
        <v>124.6</v>
      </c>
      <c r="L69">
        <v>103.2</v>
      </c>
      <c r="N69">
        <v>122.2</v>
      </c>
      <c r="P69">
        <v>153.19999999999999</v>
      </c>
      <c r="R69">
        <v>119.3</v>
      </c>
      <c r="T69">
        <v>99.8</v>
      </c>
      <c r="V69">
        <v>124.6</v>
      </c>
      <c r="X69">
        <v>115.8</v>
      </c>
      <c r="Z69">
        <v>126.9</v>
      </c>
      <c r="AB69">
        <v>125.4</v>
      </c>
      <c r="AD69">
        <v>125.8</v>
      </c>
      <c r="AF69">
        <v>120.3</v>
      </c>
      <c r="AH69">
        <v>115.4</v>
      </c>
      <c r="AJ69">
        <v>119.5</v>
      </c>
      <c r="AL69">
        <v>117.1</v>
      </c>
      <c r="AN69">
        <v>112.6</v>
      </c>
      <c r="AP69">
        <v>116.4</v>
      </c>
      <c r="AR69">
        <v>113</v>
      </c>
      <c r="AT69">
        <v>109.7</v>
      </c>
      <c r="AV69">
        <v>114</v>
      </c>
      <c r="AX69">
        <v>120.3</v>
      </c>
      <c r="AZ69">
        <v>109.6</v>
      </c>
      <c r="BB69">
        <v>113.4</v>
      </c>
      <c r="BD69">
        <v>119</v>
      </c>
    </row>
    <row r="70" spans="1:56" hidden="1">
      <c r="A70" t="s">
        <v>34</v>
      </c>
      <c r="B70">
        <v>2014</v>
      </c>
      <c r="C70" t="s">
        <v>45</v>
      </c>
      <c r="D70">
        <v>123.3</v>
      </c>
      <c r="F70">
        <v>123.7</v>
      </c>
      <c r="H70">
        <v>121</v>
      </c>
      <c r="J70">
        <v>124.2</v>
      </c>
      <c r="L70">
        <v>107.8</v>
      </c>
      <c r="N70">
        <v>125.7</v>
      </c>
      <c r="P70">
        <v>152.4</v>
      </c>
      <c r="R70">
        <v>117.2</v>
      </c>
      <c r="T70">
        <v>102.1</v>
      </c>
      <c r="V70">
        <v>118.7</v>
      </c>
      <c r="X70">
        <v>116.4</v>
      </c>
      <c r="Z70">
        <v>125.6</v>
      </c>
      <c r="AB70">
        <v>125.1</v>
      </c>
      <c r="AD70">
        <v>122.1</v>
      </c>
      <c r="AF70">
        <v>122.1</v>
      </c>
      <c r="AH70">
        <v>118.4</v>
      </c>
      <c r="AJ70">
        <v>121.6</v>
      </c>
      <c r="AL70">
        <v>117.1</v>
      </c>
      <c r="AN70">
        <v>115.5</v>
      </c>
      <c r="AP70">
        <v>117.3</v>
      </c>
      <c r="AR70">
        <v>114.8</v>
      </c>
      <c r="AT70">
        <v>110.8</v>
      </c>
      <c r="AV70">
        <v>113.7</v>
      </c>
      <c r="AX70">
        <v>119</v>
      </c>
      <c r="AZ70">
        <v>109.1</v>
      </c>
      <c r="BB70">
        <v>113.8</v>
      </c>
      <c r="BD70">
        <v>120.1</v>
      </c>
    </row>
    <row r="71" spans="1:56" hidden="1">
      <c r="A71" t="s">
        <v>30</v>
      </c>
      <c r="B71">
        <v>2014</v>
      </c>
      <c r="C71" t="s">
        <v>46</v>
      </c>
      <c r="D71">
        <v>122.4</v>
      </c>
      <c r="F71">
        <v>122.4</v>
      </c>
      <c r="H71">
        <v>121.8</v>
      </c>
      <c r="J71">
        <v>124.2</v>
      </c>
      <c r="L71">
        <v>110.2</v>
      </c>
      <c r="N71">
        <v>128.6</v>
      </c>
      <c r="P71">
        <v>140.30000000000001</v>
      </c>
      <c r="R71">
        <v>116.3</v>
      </c>
      <c r="T71">
        <v>102</v>
      </c>
      <c r="V71">
        <v>116</v>
      </c>
      <c r="X71">
        <v>117.3</v>
      </c>
      <c r="Z71">
        <v>124.8</v>
      </c>
      <c r="AB71">
        <v>123.3</v>
      </c>
      <c r="AD71">
        <v>121.7</v>
      </c>
      <c r="AF71">
        <v>123.8</v>
      </c>
      <c r="AH71">
        <v>120.6</v>
      </c>
      <c r="AJ71">
        <v>123.3</v>
      </c>
      <c r="AL71" t="s">
        <v>32</v>
      </c>
      <c r="AN71">
        <v>117.4</v>
      </c>
      <c r="AP71">
        <v>118.2</v>
      </c>
      <c r="AR71">
        <v>116.2</v>
      </c>
      <c r="AT71">
        <v>111.5</v>
      </c>
      <c r="AV71">
        <v>113.3</v>
      </c>
      <c r="AX71">
        <v>117.7</v>
      </c>
      <c r="AZ71">
        <v>109.4</v>
      </c>
      <c r="BB71">
        <v>114.2</v>
      </c>
      <c r="BD71">
        <v>120.3</v>
      </c>
    </row>
    <row r="72" spans="1:56">
      <c r="A72" t="s">
        <v>33</v>
      </c>
      <c r="B72">
        <v>2014</v>
      </c>
      <c r="C72" t="s">
        <v>46</v>
      </c>
      <c r="D72">
        <v>124</v>
      </c>
      <c r="F72">
        <v>124.7</v>
      </c>
      <c r="H72">
        <v>126.3</v>
      </c>
      <c r="J72">
        <v>124.9</v>
      </c>
      <c r="L72">
        <v>103</v>
      </c>
      <c r="N72">
        <v>122.3</v>
      </c>
      <c r="P72">
        <v>141</v>
      </c>
      <c r="R72">
        <v>120.1</v>
      </c>
      <c r="T72">
        <v>97.8</v>
      </c>
      <c r="V72">
        <v>125.4</v>
      </c>
      <c r="X72">
        <v>116.1</v>
      </c>
      <c r="Z72">
        <v>127.6</v>
      </c>
      <c r="AB72">
        <v>124</v>
      </c>
      <c r="AD72">
        <v>126.4</v>
      </c>
      <c r="AF72">
        <v>120.7</v>
      </c>
      <c r="AH72">
        <v>115.8</v>
      </c>
      <c r="AJ72">
        <v>120</v>
      </c>
      <c r="AL72">
        <v>116.5</v>
      </c>
      <c r="AN72">
        <v>113</v>
      </c>
      <c r="AP72">
        <v>116.8</v>
      </c>
      <c r="AR72">
        <v>113.2</v>
      </c>
      <c r="AT72">
        <v>108.8</v>
      </c>
      <c r="AV72">
        <v>114.3</v>
      </c>
      <c r="AX72">
        <v>120.7</v>
      </c>
      <c r="AZ72">
        <v>110.4</v>
      </c>
      <c r="BB72">
        <v>113.4</v>
      </c>
      <c r="BD72">
        <v>118.4</v>
      </c>
    </row>
    <row r="73" spans="1:56" hidden="1">
      <c r="A73" t="s">
        <v>34</v>
      </c>
      <c r="B73">
        <v>2014</v>
      </c>
      <c r="C73" t="s">
        <v>46</v>
      </c>
      <c r="D73">
        <v>122.9</v>
      </c>
      <c r="F73">
        <v>123.2</v>
      </c>
      <c r="H73">
        <v>123.5</v>
      </c>
      <c r="J73">
        <v>124.5</v>
      </c>
      <c r="L73">
        <v>107.6</v>
      </c>
      <c r="N73">
        <v>125.7</v>
      </c>
      <c r="P73">
        <v>140.5</v>
      </c>
      <c r="R73">
        <v>117.6</v>
      </c>
      <c r="T73">
        <v>100.6</v>
      </c>
      <c r="V73">
        <v>119.1</v>
      </c>
      <c r="X73">
        <v>116.8</v>
      </c>
      <c r="Z73">
        <v>126.1</v>
      </c>
      <c r="AB73">
        <v>123.6</v>
      </c>
      <c r="AD73">
        <v>123</v>
      </c>
      <c r="AF73">
        <v>122.6</v>
      </c>
      <c r="AH73">
        <v>118.6</v>
      </c>
      <c r="AJ73">
        <v>122</v>
      </c>
      <c r="AL73">
        <v>116.5</v>
      </c>
      <c r="AN73">
        <v>115.7</v>
      </c>
      <c r="AP73">
        <v>117.5</v>
      </c>
      <c r="AR73">
        <v>115.1</v>
      </c>
      <c r="AT73">
        <v>110.1</v>
      </c>
      <c r="AV73">
        <v>113.9</v>
      </c>
      <c r="AX73">
        <v>119.5</v>
      </c>
      <c r="AZ73">
        <v>109.8</v>
      </c>
      <c r="BB73">
        <v>113.8</v>
      </c>
      <c r="BD73">
        <v>119.4</v>
      </c>
    </row>
    <row r="74" spans="1:56" hidden="1">
      <c r="A74" t="s">
        <v>30</v>
      </c>
      <c r="B74">
        <v>2015</v>
      </c>
      <c r="C74" t="s">
        <v>31</v>
      </c>
      <c r="D74">
        <v>123.1</v>
      </c>
      <c r="F74">
        <v>123.1</v>
      </c>
      <c r="H74">
        <v>122.1</v>
      </c>
      <c r="J74">
        <v>124.9</v>
      </c>
      <c r="L74">
        <v>111</v>
      </c>
      <c r="N74">
        <v>130.4</v>
      </c>
      <c r="P74">
        <v>132.30000000000001</v>
      </c>
      <c r="R74">
        <v>117.2</v>
      </c>
      <c r="T74">
        <v>100.5</v>
      </c>
      <c r="V74">
        <v>117.2</v>
      </c>
      <c r="X74">
        <v>117.9</v>
      </c>
      <c r="Z74">
        <v>125.6</v>
      </c>
      <c r="AB74">
        <v>122.8</v>
      </c>
      <c r="AD74">
        <v>122.7</v>
      </c>
      <c r="AF74">
        <v>124.4</v>
      </c>
      <c r="AH74">
        <v>121.6</v>
      </c>
      <c r="AJ74">
        <v>124</v>
      </c>
      <c r="AL74" t="s">
        <v>32</v>
      </c>
      <c r="AN74">
        <v>118.4</v>
      </c>
      <c r="AP74">
        <v>118.9</v>
      </c>
      <c r="AR74">
        <v>116.6</v>
      </c>
      <c r="AT74">
        <v>111</v>
      </c>
      <c r="AV74">
        <v>114</v>
      </c>
      <c r="AX74">
        <v>118.2</v>
      </c>
      <c r="AZ74">
        <v>110.2</v>
      </c>
      <c r="BB74">
        <v>114.5</v>
      </c>
      <c r="BD74">
        <v>120.3</v>
      </c>
    </row>
    <row r="75" spans="1:56">
      <c r="A75" t="s">
        <v>33</v>
      </c>
      <c r="B75">
        <v>2015</v>
      </c>
      <c r="C75" t="s">
        <v>31</v>
      </c>
      <c r="D75">
        <v>124</v>
      </c>
      <c r="F75">
        <v>125.5</v>
      </c>
      <c r="H75">
        <v>126.6</v>
      </c>
      <c r="J75">
        <v>125.2</v>
      </c>
      <c r="L75">
        <v>104.3</v>
      </c>
      <c r="N75">
        <v>121.3</v>
      </c>
      <c r="P75">
        <v>134.4</v>
      </c>
      <c r="R75">
        <v>122.9</v>
      </c>
      <c r="T75">
        <v>96.1</v>
      </c>
      <c r="V75">
        <v>126.6</v>
      </c>
      <c r="X75">
        <v>116.5</v>
      </c>
      <c r="Z75">
        <v>128</v>
      </c>
      <c r="AB75">
        <v>123.5</v>
      </c>
      <c r="AD75">
        <v>127.4</v>
      </c>
      <c r="AF75">
        <v>121</v>
      </c>
      <c r="AH75">
        <v>116.1</v>
      </c>
      <c r="AJ75">
        <v>120.2</v>
      </c>
      <c r="AL75">
        <v>117.3</v>
      </c>
      <c r="AN75">
        <v>113.4</v>
      </c>
      <c r="AP75">
        <v>117.2</v>
      </c>
      <c r="AR75">
        <v>113.7</v>
      </c>
      <c r="AT75">
        <v>107.9</v>
      </c>
      <c r="AV75">
        <v>114.6</v>
      </c>
      <c r="AX75">
        <v>120.8</v>
      </c>
      <c r="AZ75">
        <v>111.4</v>
      </c>
      <c r="BB75">
        <v>113.4</v>
      </c>
      <c r="BD75">
        <v>118.5</v>
      </c>
    </row>
    <row r="76" spans="1:56" hidden="1">
      <c r="A76" t="s">
        <v>34</v>
      </c>
      <c r="B76">
        <v>2015</v>
      </c>
      <c r="C76" t="s">
        <v>31</v>
      </c>
      <c r="D76">
        <v>123.4</v>
      </c>
      <c r="F76">
        <v>123.9</v>
      </c>
      <c r="H76">
        <v>123.8</v>
      </c>
      <c r="J76">
        <v>125</v>
      </c>
      <c r="L76">
        <v>108.5</v>
      </c>
      <c r="N76">
        <v>126.2</v>
      </c>
      <c r="P76">
        <v>133</v>
      </c>
      <c r="R76">
        <v>119.1</v>
      </c>
      <c r="T76">
        <v>99</v>
      </c>
      <c r="V76">
        <v>120.3</v>
      </c>
      <c r="X76">
        <v>117.3</v>
      </c>
      <c r="Z76">
        <v>126.7</v>
      </c>
      <c r="AB76">
        <v>123.1</v>
      </c>
      <c r="AD76">
        <v>124</v>
      </c>
      <c r="AF76">
        <v>123.1</v>
      </c>
      <c r="AH76">
        <v>119.3</v>
      </c>
      <c r="AJ76">
        <v>122.5</v>
      </c>
      <c r="AL76">
        <v>117.3</v>
      </c>
      <c r="AN76">
        <v>116.5</v>
      </c>
      <c r="AP76">
        <v>118.1</v>
      </c>
      <c r="AR76">
        <v>115.5</v>
      </c>
      <c r="AT76">
        <v>109.4</v>
      </c>
      <c r="AV76">
        <v>114.3</v>
      </c>
      <c r="AX76">
        <v>119.7</v>
      </c>
      <c r="AZ76">
        <v>110.7</v>
      </c>
      <c r="BB76">
        <v>114</v>
      </c>
      <c r="BD76">
        <v>119.5</v>
      </c>
    </row>
    <row r="77" spans="1:56" hidden="1">
      <c r="A77" t="s">
        <v>30</v>
      </c>
      <c r="B77">
        <v>2015</v>
      </c>
      <c r="C77" t="s">
        <v>35</v>
      </c>
      <c r="D77">
        <v>123.4</v>
      </c>
      <c r="F77">
        <v>124.4</v>
      </c>
      <c r="H77">
        <v>122.1</v>
      </c>
      <c r="J77">
        <v>125.8</v>
      </c>
      <c r="L77">
        <v>111.5</v>
      </c>
      <c r="N77">
        <v>129.4</v>
      </c>
      <c r="P77">
        <v>128.19999999999999</v>
      </c>
      <c r="R77">
        <v>118.8</v>
      </c>
      <c r="T77">
        <v>100</v>
      </c>
      <c r="V77">
        <v>118.6</v>
      </c>
      <c r="X77">
        <v>118.8</v>
      </c>
      <c r="Z77">
        <v>126.8</v>
      </c>
      <c r="AB77">
        <v>122.8</v>
      </c>
      <c r="AD77">
        <v>124.2</v>
      </c>
      <c r="AF77">
        <v>125.4</v>
      </c>
      <c r="AH77">
        <v>122.7</v>
      </c>
      <c r="AJ77">
        <v>125</v>
      </c>
      <c r="AL77" t="s">
        <v>32</v>
      </c>
      <c r="AN77">
        <v>120</v>
      </c>
      <c r="AP77">
        <v>119.6</v>
      </c>
      <c r="AR77">
        <v>117.7</v>
      </c>
      <c r="AT77">
        <v>110.9</v>
      </c>
      <c r="AV77">
        <v>114.8</v>
      </c>
      <c r="AX77">
        <v>118.7</v>
      </c>
      <c r="AZ77">
        <v>110.8</v>
      </c>
      <c r="BB77">
        <v>115</v>
      </c>
      <c r="BD77">
        <v>120.6</v>
      </c>
    </row>
    <row r="78" spans="1:56">
      <c r="A78" t="s">
        <v>33</v>
      </c>
      <c r="B78">
        <v>2015</v>
      </c>
      <c r="C78" t="s">
        <v>35</v>
      </c>
      <c r="D78">
        <v>124.3</v>
      </c>
      <c r="F78">
        <v>126.5</v>
      </c>
      <c r="H78">
        <v>119.5</v>
      </c>
      <c r="J78">
        <v>125.6</v>
      </c>
      <c r="L78">
        <v>104.9</v>
      </c>
      <c r="N78">
        <v>121.6</v>
      </c>
      <c r="P78">
        <v>131.80000000000001</v>
      </c>
      <c r="R78">
        <v>125.1</v>
      </c>
      <c r="T78">
        <v>95</v>
      </c>
      <c r="V78">
        <v>127.7</v>
      </c>
      <c r="X78">
        <v>116.8</v>
      </c>
      <c r="Z78">
        <v>128.6</v>
      </c>
      <c r="AB78">
        <v>123.7</v>
      </c>
      <c r="AD78">
        <v>128.1</v>
      </c>
      <c r="AF78">
        <v>121.3</v>
      </c>
      <c r="AH78">
        <v>116.5</v>
      </c>
      <c r="AJ78">
        <v>120.6</v>
      </c>
      <c r="AL78">
        <v>118.1</v>
      </c>
      <c r="AN78">
        <v>114</v>
      </c>
      <c r="AP78">
        <v>117.7</v>
      </c>
      <c r="AR78">
        <v>114.1</v>
      </c>
      <c r="AT78">
        <v>106.8</v>
      </c>
      <c r="AV78">
        <v>114.9</v>
      </c>
      <c r="AX78">
        <v>120.4</v>
      </c>
      <c r="AZ78">
        <v>111.7</v>
      </c>
      <c r="BB78">
        <v>113.2</v>
      </c>
      <c r="BD78">
        <v>118.7</v>
      </c>
    </row>
    <row r="79" spans="1:56" hidden="1">
      <c r="A79" t="s">
        <v>34</v>
      </c>
      <c r="B79">
        <v>2015</v>
      </c>
      <c r="C79" t="s">
        <v>35</v>
      </c>
      <c r="D79">
        <v>123.7</v>
      </c>
      <c r="F79">
        <v>125.1</v>
      </c>
      <c r="H79">
        <v>121.1</v>
      </c>
      <c r="J79">
        <v>125.7</v>
      </c>
      <c r="L79">
        <v>109.1</v>
      </c>
      <c r="N79">
        <v>125.8</v>
      </c>
      <c r="P79">
        <v>129.4</v>
      </c>
      <c r="R79">
        <v>120.9</v>
      </c>
      <c r="T79">
        <v>98.3</v>
      </c>
      <c r="V79">
        <v>121.6</v>
      </c>
      <c r="X79">
        <v>118</v>
      </c>
      <c r="Z79">
        <v>127.6</v>
      </c>
      <c r="AB79">
        <v>123.1</v>
      </c>
      <c r="AD79">
        <v>125.2</v>
      </c>
      <c r="AF79">
        <v>123.8</v>
      </c>
      <c r="AH79">
        <v>120.1</v>
      </c>
      <c r="AJ79">
        <v>123.3</v>
      </c>
      <c r="AL79">
        <v>118.1</v>
      </c>
      <c r="AN79">
        <v>117.7</v>
      </c>
      <c r="AP79">
        <v>118.7</v>
      </c>
      <c r="AR79">
        <v>116.3</v>
      </c>
      <c r="AT79">
        <v>108.7</v>
      </c>
      <c r="AV79">
        <v>114.9</v>
      </c>
      <c r="AX79">
        <v>119.7</v>
      </c>
      <c r="AZ79">
        <v>111.2</v>
      </c>
      <c r="BB79">
        <v>114.1</v>
      </c>
      <c r="BD79">
        <v>119.7</v>
      </c>
    </row>
    <row r="80" spans="1:56" hidden="1">
      <c r="A80" t="s">
        <v>30</v>
      </c>
      <c r="B80">
        <v>2015</v>
      </c>
      <c r="C80" t="s">
        <v>36</v>
      </c>
      <c r="D80">
        <v>123.3</v>
      </c>
      <c r="F80">
        <v>124.7</v>
      </c>
      <c r="H80">
        <v>118.9</v>
      </c>
      <c r="J80">
        <v>126</v>
      </c>
      <c r="L80">
        <v>111.8</v>
      </c>
      <c r="N80">
        <v>130.9</v>
      </c>
      <c r="P80">
        <v>128</v>
      </c>
      <c r="R80">
        <v>119.9</v>
      </c>
      <c r="T80">
        <v>98.9</v>
      </c>
      <c r="V80">
        <v>119.4</v>
      </c>
      <c r="X80">
        <v>118.9</v>
      </c>
      <c r="Z80">
        <v>127.7</v>
      </c>
      <c r="AB80">
        <v>123.1</v>
      </c>
      <c r="AD80">
        <v>124.7</v>
      </c>
      <c r="AF80">
        <v>126</v>
      </c>
      <c r="AH80">
        <v>122.9</v>
      </c>
      <c r="AJ80">
        <v>125.5</v>
      </c>
      <c r="AL80" t="s">
        <v>32</v>
      </c>
      <c r="AN80">
        <v>120.6</v>
      </c>
      <c r="AP80">
        <v>120.2</v>
      </c>
      <c r="AR80">
        <v>118.2</v>
      </c>
      <c r="AT80">
        <v>111.6</v>
      </c>
      <c r="AV80">
        <v>115.5</v>
      </c>
      <c r="AX80">
        <v>119.4</v>
      </c>
      <c r="AZ80">
        <v>110.8</v>
      </c>
      <c r="BB80">
        <v>115.5</v>
      </c>
      <c r="BD80">
        <v>121.1</v>
      </c>
    </row>
    <row r="81" spans="1:56">
      <c r="A81" t="s">
        <v>33</v>
      </c>
      <c r="B81">
        <v>2015</v>
      </c>
      <c r="C81" t="s">
        <v>36</v>
      </c>
      <c r="D81">
        <v>124</v>
      </c>
      <c r="F81">
        <v>126.7</v>
      </c>
      <c r="H81">
        <v>113.5</v>
      </c>
      <c r="J81">
        <v>125.9</v>
      </c>
      <c r="L81">
        <v>104.8</v>
      </c>
      <c r="N81">
        <v>123.8</v>
      </c>
      <c r="P81">
        <v>131.4</v>
      </c>
      <c r="R81">
        <v>127.2</v>
      </c>
      <c r="T81">
        <v>93.2</v>
      </c>
      <c r="V81">
        <v>127.4</v>
      </c>
      <c r="X81">
        <v>117</v>
      </c>
      <c r="Z81">
        <v>129.19999999999999</v>
      </c>
      <c r="AB81">
        <v>123.9</v>
      </c>
      <c r="AD81">
        <v>128.80000000000001</v>
      </c>
      <c r="AF81">
        <v>121.7</v>
      </c>
      <c r="AH81">
        <v>116.9</v>
      </c>
      <c r="AJ81">
        <v>120.9</v>
      </c>
      <c r="AL81">
        <v>118.6</v>
      </c>
      <c r="AN81">
        <v>114.4</v>
      </c>
      <c r="AP81">
        <v>118</v>
      </c>
      <c r="AR81">
        <v>114.3</v>
      </c>
      <c r="AT81">
        <v>108.4</v>
      </c>
      <c r="AV81">
        <v>115.4</v>
      </c>
      <c r="AX81">
        <v>120.6</v>
      </c>
      <c r="AZ81">
        <v>111.3</v>
      </c>
      <c r="BB81">
        <v>113.8</v>
      </c>
      <c r="BD81">
        <v>119.1</v>
      </c>
    </row>
    <row r="82" spans="1:56" hidden="1">
      <c r="A82" t="s">
        <v>34</v>
      </c>
      <c r="B82">
        <v>2015</v>
      </c>
      <c r="C82" t="s">
        <v>36</v>
      </c>
      <c r="D82">
        <v>123.5</v>
      </c>
      <c r="F82">
        <v>125.4</v>
      </c>
      <c r="H82">
        <v>116.8</v>
      </c>
      <c r="J82">
        <v>126</v>
      </c>
      <c r="L82">
        <v>109.2</v>
      </c>
      <c r="N82">
        <v>127.6</v>
      </c>
      <c r="P82">
        <v>129.19999999999999</v>
      </c>
      <c r="R82">
        <v>122.4</v>
      </c>
      <c r="T82">
        <v>97</v>
      </c>
      <c r="V82">
        <v>122.1</v>
      </c>
      <c r="X82">
        <v>118.1</v>
      </c>
      <c r="Z82">
        <v>128.4</v>
      </c>
      <c r="AB82">
        <v>123.4</v>
      </c>
      <c r="AD82">
        <v>125.8</v>
      </c>
      <c r="AF82">
        <v>124.3</v>
      </c>
      <c r="AH82">
        <v>120.4</v>
      </c>
      <c r="AJ82">
        <v>123.7</v>
      </c>
      <c r="AL82">
        <v>118.6</v>
      </c>
      <c r="AN82">
        <v>118.3</v>
      </c>
      <c r="AP82">
        <v>119.2</v>
      </c>
      <c r="AR82">
        <v>116.7</v>
      </c>
      <c r="AT82">
        <v>109.9</v>
      </c>
      <c r="AV82">
        <v>115.4</v>
      </c>
      <c r="AX82">
        <v>120.1</v>
      </c>
      <c r="AZ82">
        <v>111</v>
      </c>
      <c r="BB82">
        <v>114.7</v>
      </c>
      <c r="BD82">
        <v>120.2</v>
      </c>
    </row>
    <row r="83" spans="1:56" hidden="1">
      <c r="A83" t="s">
        <v>30</v>
      </c>
      <c r="B83">
        <v>2015</v>
      </c>
      <c r="C83" t="s">
        <v>37</v>
      </c>
      <c r="D83">
        <v>123.3</v>
      </c>
      <c r="F83">
        <v>125.5</v>
      </c>
      <c r="H83">
        <v>117.2</v>
      </c>
      <c r="J83">
        <v>126.8</v>
      </c>
      <c r="L83">
        <v>111.9</v>
      </c>
      <c r="N83">
        <v>134.19999999999999</v>
      </c>
      <c r="P83">
        <v>127.5</v>
      </c>
      <c r="R83">
        <v>121.5</v>
      </c>
      <c r="T83">
        <v>97.8</v>
      </c>
      <c r="V83">
        <v>119.8</v>
      </c>
      <c r="X83">
        <v>119.4</v>
      </c>
      <c r="Z83">
        <v>128.69999999999999</v>
      </c>
      <c r="AB83">
        <v>123.6</v>
      </c>
      <c r="AD83">
        <v>125.7</v>
      </c>
      <c r="AF83">
        <v>126.4</v>
      </c>
      <c r="AH83">
        <v>123.3</v>
      </c>
      <c r="AJ83">
        <v>126</v>
      </c>
      <c r="AL83" t="s">
        <v>32</v>
      </c>
      <c r="AN83">
        <v>121.2</v>
      </c>
      <c r="AP83">
        <v>120.9</v>
      </c>
      <c r="AR83">
        <v>118.6</v>
      </c>
      <c r="AT83">
        <v>111.9</v>
      </c>
      <c r="AV83">
        <v>116.2</v>
      </c>
      <c r="AX83">
        <v>119.9</v>
      </c>
      <c r="AZ83">
        <v>111.6</v>
      </c>
      <c r="BB83">
        <v>116</v>
      </c>
      <c r="BD83">
        <v>121.5</v>
      </c>
    </row>
    <row r="84" spans="1:56">
      <c r="A84" t="s">
        <v>33</v>
      </c>
      <c r="B84">
        <v>2015</v>
      </c>
      <c r="C84" t="s">
        <v>37</v>
      </c>
      <c r="D84">
        <v>123.8</v>
      </c>
      <c r="F84">
        <v>128.19999999999999</v>
      </c>
      <c r="H84">
        <v>110</v>
      </c>
      <c r="J84">
        <v>126.3</v>
      </c>
      <c r="L84">
        <v>104.5</v>
      </c>
      <c r="N84">
        <v>130.6</v>
      </c>
      <c r="P84">
        <v>130.80000000000001</v>
      </c>
      <c r="R84">
        <v>131.30000000000001</v>
      </c>
      <c r="T84">
        <v>91.6</v>
      </c>
      <c r="V84">
        <v>127.7</v>
      </c>
      <c r="X84">
        <v>117.2</v>
      </c>
      <c r="Z84">
        <v>129.5</v>
      </c>
      <c r="AB84">
        <v>124.6</v>
      </c>
      <c r="AD84">
        <v>130.1</v>
      </c>
      <c r="AF84">
        <v>122.1</v>
      </c>
      <c r="AH84">
        <v>117.2</v>
      </c>
      <c r="AJ84">
        <v>121.3</v>
      </c>
      <c r="AL84">
        <v>119.2</v>
      </c>
      <c r="AN84">
        <v>114.7</v>
      </c>
      <c r="AP84">
        <v>118.4</v>
      </c>
      <c r="AR84">
        <v>114.6</v>
      </c>
      <c r="AT84">
        <v>108.4</v>
      </c>
      <c r="AV84">
        <v>115.6</v>
      </c>
      <c r="AX84">
        <v>121.7</v>
      </c>
      <c r="AZ84">
        <v>111.8</v>
      </c>
      <c r="BB84">
        <v>114.2</v>
      </c>
      <c r="BD84">
        <v>119.7</v>
      </c>
    </row>
    <row r="85" spans="1:56" hidden="1">
      <c r="A85" t="s">
        <v>34</v>
      </c>
      <c r="B85">
        <v>2015</v>
      </c>
      <c r="C85" t="s">
        <v>37</v>
      </c>
      <c r="D85">
        <v>123.5</v>
      </c>
      <c r="F85">
        <v>126.4</v>
      </c>
      <c r="H85">
        <v>114.4</v>
      </c>
      <c r="J85">
        <v>126.6</v>
      </c>
      <c r="L85">
        <v>109.2</v>
      </c>
      <c r="N85">
        <v>132.5</v>
      </c>
      <c r="P85">
        <v>128.6</v>
      </c>
      <c r="R85">
        <v>124.8</v>
      </c>
      <c r="T85">
        <v>95.7</v>
      </c>
      <c r="V85">
        <v>122.4</v>
      </c>
      <c r="X85">
        <v>118.5</v>
      </c>
      <c r="Z85">
        <v>129.1</v>
      </c>
      <c r="AB85">
        <v>124</v>
      </c>
      <c r="AD85">
        <v>126.9</v>
      </c>
      <c r="AF85">
        <v>124.7</v>
      </c>
      <c r="AH85">
        <v>120.8</v>
      </c>
      <c r="AJ85">
        <v>124.1</v>
      </c>
      <c r="AL85">
        <v>119.2</v>
      </c>
      <c r="AN85">
        <v>118.7</v>
      </c>
      <c r="AP85">
        <v>119.7</v>
      </c>
      <c r="AR85">
        <v>117.1</v>
      </c>
      <c r="AT85">
        <v>110.1</v>
      </c>
      <c r="AV85">
        <v>115.9</v>
      </c>
      <c r="AX85">
        <v>121</v>
      </c>
      <c r="AZ85">
        <v>111.7</v>
      </c>
      <c r="BB85">
        <v>115.1</v>
      </c>
      <c r="BD85">
        <v>120.7</v>
      </c>
    </row>
    <row r="86" spans="1:56" hidden="1">
      <c r="A86" t="s">
        <v>30</v>
      </c>
      <c r="B86">
        <v>2015</v>
      </c>
      <c r="C86" t="s">
        <v>38</v>
      </c>
      <c r="D86">
        <v>123.5</v>
      </c>
      <c r="F86">
        <v>127.1</v>
      </c>
      <c r="H86">
        <v>117.3</v>
      </c>
      <c r="J86">
        <v>127.7</v>
      </c>
      <c r="L86">
        <v>112.5</v>
      </c>
      <c r="N86">
        <v>134.1</v>
      </c>
      <c r="P86">
        <v>128.5</v>
      </c>
      <c r="R86">
        <v>124.3</v>
      </c>
      <c r="T86">
        <v>97.6</v>
      </c>
      <c r="V86">
        <v>120.7</v>
      </c>
      <c r="X86">
        <v>120.2</v>
      </c>
      <c r="Z86">
        <v>129.80000000000001</v>
      </c>
      <c r="AB86">
        <v>124.4</v>
      </c>
      <c r="AD86">
        <v>126.7</v>
      </c>
      <c r="AF86">
        <v>127.3</v>
      </c>
      <c r="AH86">
        <v>124.1</v>
      </c>
      <c r="AJ86">
        <v>126.8</v>
      </c>
      <c r="AL86" t="s">
        <v>32</v>
      </c>
      <c r="AN86">
        <v>121.9</v>
      </c>
      <c r="AP86">
        <v>121.5</v>
      </c>
      <c r="AR86">
        <v>119.4</v>
      </c>
      <c r="AT86">
        <v>113.3</v>
      </c>
      <c r="AV86">
        <v>116.7</v>
      </c>
      <c r="AX86">
        <v>120.5</v>
      </c>
      <c r="AZ86">
        <v>112.3</v>
      </c>
      <c r="BB86">
        <v>116.9</v>
      </c>
      <c r="BD86">
        <v>122.4</v>
      </c>
    </row>
    <row r="87" spans="1:56">
      <c r="A87" t="s">
        <v>33</v>
      </c>
      <c r="B87">
        <v>2015</v>
      </c>
      <c r="C87" t="s">
        <v>38</v>
      </c>
      <c r="D87">
        <v>123.8</v>
      </c>
      <c r="F87">
        <v>129.69999999999999</v>
      </c>
      <c r="H87">
        <v>111.3</v>
      </c>
      <c r="J87">
        <v>126.6</v>
      </c>
      <c r="L87">
        <v>105.2</v>
      </c>
      <c r="N87">
        <v>130.80000000000001</v>
      </c>
      <c r="P87">
        <v>135.6</v>
      </c>
      <c r="R87">
        <v>142.6</v>
      </c>
      <c r="T87">
        <v>90.8</v>
      </c>
      <c r="V87">
        <v>128.80000000000001</v>
      </c>
      <c r="X87">
        <v>117.7</v>
      </c>
      <c r="Z87">
        <v>129.9</v>
      </c>
      <c r="AB87">
        <v>126.1</v>
      </c>
      <c r="AD87">
        <v>131.30000000000001</v>
      </c>
      <c r="AF87">
        <v>122.4</v>
      </c>
      <c r="AH87">
        <v>117.4</v>
      </c>
      <c r="AJ87">
        <v>121.6</v>
      </c>
      <c r="AL87">
        <v>119.6</v>
      </c>
      <c r="AN87">
        <v>114.9</v>
      </c>
      <c r="AP87">
        <v>118.7</v>
      </c>
      <c r="AR87">
        <v>114.9</v>
      </c>
      <c r="AT87">
        <v>110.8</v>
      </c>
      <c r="AV87">
        <v>116</v>
      </c>
      <c r="AX87">
        <v>122</v>
      </c>
      <c r="AZ87">
        <v>112.4</v>
      </c>
      <c r="BB87">
        <v>115.2</v>
      </c>
      <c r="BD87">
        <v>120.7</v>
      </c>
    </row>
    <row r="88" spans="1:56" hidden="1">
      <c r="A88" t="s">
        <v>34</v>
      </c>
      <c r="B88">
        <v>2015</v>
      </c>
      <c r="C88" t="s">
        <v>38</v>
      </c>
      <c r="D88">
        <v>123.6</v>
      </c>
      <c r="F88">
        <v>128</v>
      </c>
      <c r="H88">
        <v>115</v>
      </c>
      <c r="J88">
        <v>127.3</v>
      </c>
      <c r="L88">
        <v>109.8</v>
      </c>
      <c r="N88">
        <v>132.6</v>
      </c>
      <c r="P88">
        <v>130.9</v>
      </c>
      <c r="R88">
        <v>130.5</v>
      </c>
      <c r="T88">
        <v>95.3</v>
      </c>
      <c r="V88">
        <v>123.4</v>
      </c>
      <c r="X88">
        <v>119.2</v>
      </c>
      <c r="Z88">
        <v>129.80000000000001</v>
      </c>
      <c r="AB88">
        <v>125</v>
      </c>
      <c r="AD88">
        <v>127.9</v>
      </c>
      <c r="AF88">
        <v>125.4</v>
      </c>
      <c r="AH88">
        <v>121.3</v>
      </c>
      <c r="AJ88">
        <v>124.7</v>
      </c>
      <c r="AL88">
        <v>119.6</v>
      </c>
      <c r="AN88">
        <v>119.2</v>
      </c>
      <c r="AP88">
        <v>120.2</v>
      </c>
      <c r="AR88">
        <v>117.7</v>
      </c>
      <c r="AT88">
        <v>112</v>
      </c>
      <c r="AV88">
        <v>116.3</v>
      </c>
      <c r="AX88">
        <v>121.4</v>
      </c>
      <c r="AZ88">
        <v>112.3</v>
      </c>
      <c r="BB88">
        <v>116.1</v>
      </c>
      <c r="BD88">
        <v>121.6</v>
      </c>
    </row>
    <row r="89" spans="1:56" hidden="1">
      <c r="A89" t="s">
        <v>30</v>
      </c>
      <c r="B89">
        <v>2015</v>
      </c>
      <c r="C89" t="s">
        <v>39</v>
      </c>
      <c r="D89">
        <v>124.1</v>
      </c>
      <c r="F89">
        <v>130.4</v>
      </c>
      <c r="H89">
        <v>122.1</v>
      </c>
      <c r="J89">
        <v>128.69999999999999</v>
      </c>
      <c r="L89">
        <v>114.1</v>
      </c>
      <c r="N89">
        <v>133.19999999999999</v>
      </c>
      <c r="P89">
        <v>135.19999999999999</v>
      </c>
      <c r="R89">
        <v>131.9</v>
      </c>
      <c r="T89">
        <v>96.3</v>
      </c>
      <c r="V89">
        <v>123</v>
      </c>
      <c r="X89">
        <v>121.1</v>
      </c>
      <c r="Z89">
        <v>131.19999999999999</v>
      </c>
      <c r="AB89">
        <v>126.6</v>
      </c>
      <c r="AD89">
        <v>128.19999999999999</v>
      </c>
      <c r="AF89">
        <v>128.4</v>
      </c>
      <c r="AH89">
        <v>125.1</v>
      </c>
      <c r="AJ89">
        <v>128</v>
      </c>
      <c r="AL89" t="s">
        <v>32</v>
      </c>
      <c r="AN89">
        <v>122.6</v>
      </c>
      <c r="AP89">
        <v>122.8</v>
      </c>
      <c r="AR89">
        <v>120.4</v>
      </c>
      <c r="AT89">
        <v>114.2</v>
      </c>
      <c r="AV89">
        <v>117.9</v>
      </c>
      <c r="AX89">
        <v>122</v>
      </c>
      <c r="AZ89">
        <v>113</v>
      </c>
      <c r="BB89">
        <v>117.9</v>
      </c>
      <c r="BD89">
        <v>124.1</v>
      </c>
    </row>
    <row r="90" spans="1:56">
      <c r="A90" t="s">
        <v>33</v>
      </c>
      <c r="B90">
        <v>2015</v>
      </c>
      <c r="C90" t="s">
        <v>39</v>
      </c>
      <c r="D90">
        <v>123.6</v>
      </c>
      <c r="F90">
        <v>134.4</v>
      </c>
      <c r="H90">
        <v>120.9</v>
      </c>
      <c r="J90">
        <v>127.3</v>
      </c>
      <c r="L90">
        <v>106</v>
      </c>
      <c r="N90">
        <v>132.30000000000001</v>
      </c>
      <c r="P90">
        <v>146.69999999999999</v>
      </c>
      <c r="R90">
        <v>148.1</v>
      </c>
      <c r="T90">
        <v>89.8</v>
      </c>
      <c r="V90">
        <v>130.5</v>
      </c>
      <c r="X90">
        <v>118</v>
      </c>
      <c r="Z90">
        <v>130.5</v>
      </c>
      <c r="AB90">
        <v>128.5</v>
      </c>
      <c r="AD90">
        <v>132.1</v>
      </c>
      <c r="AF90">
        <v>123.2</v>
      </c>
      <c r="AH90">
        <v>117.6</v>
      </c>
      <c r="AJ90">
        <v>122.3</v>
      </c>
      <c r="AL90">
        <v>119</v>
      </c>
      <c r="AN90">
        <v>115.1</v>
      </c>
      <c r="AP90">
        <v>119.2</v>
      </c>
      <c r="AR90">
        <v>115.4</v>
      </c>
      <c r="AT90">
        <v>111.7</v>
      </c>
      <c r="AV90">
        <v>116.2</v>
      </c>
      <c r="AX90">
        <v>123.8</v>
      </c>
      <c r="AZ90">
        <v>112.5</v>
      </c>
      <c r="BB90">
        <v>116</v>
      </c>
      <c r="BD90">
        <v>121.7</v>
      </c>
    </row>
    <row r="91" spans="1:56" hidden="1">
      <c r="A91" t="s">
        <v>34</v>
      </c>
      <c r="B91">
        <v>2015</v>
      </c>
      <c r="C91" t="s">
        <v>39</v>
      </c>
      <c r="D91">
        <v>123.9</v>
      </c>
      <c r="F91">
        <v>131.80000000000001</v>
      </c>
      <c r="H91">
        <v>121.6</v>
      </c>
      <c r="J91">
        <v>128.19999999999999</v>
      </c>
      <c r="L91">
        <v>111.1</v>
      </c>
      <c r="N91">
        <v>132.80000000000001</v>
      </c>
      <c r="P91">
        <v>139.1</v>
      </c>
      <c r="R91">
        <v>137.4</v>
      </c>
      <c r="T91">
        <v>94.1</v>
      </c>
      <c r="V91">
        <v>125.5</v>
      </c>
      <c r="X91">
        <v>119.8</v>
      </c>
      <c r="Z91">
        <v>130.9</v>
      </c>
      <c r="AB91">
        <v>127.3</v>
      </c>
      <c r="AD91">
        <v>129.19999999999999</v>
      </c>
      <c r="AF91">
        <v>126.4</v>
      </c>
      <c r="AH91">
        <v>122</v>
      </c>
      <c r="AJ91">
        <v>125.7</v>
      </c>
      <c r="AL91">
        <v>119</v>
      </c>
      <c r="AN91">
        <v>119.8</v>
      </c>
      <c r="AP91">
        <v>121.1</v>
      </c>
      <c r="AR91">
        <v>118.5</v>
      </c>
      <c r="AT91">
        <v>112.9</v>
      </c>
      <c r="AV91">
        <v>116.9</v>
      </c>
      <c r="AX91">
        <v>123.1</v>
      </c>
      <c r="AZ91">
        <v>112.8</v>
      </c>
      <c r="BB91">
        <v>117</v>
      </c>
      <c r="BD91">
        <v>123</v>
      </c>
    </row>
    <row r="92" spans="1:56" hidden="1">
      <c r="A92" t="s">
        <v>30</v>
      </c>
      <c r="B92">
        <v>2015</v>
      </c>
      <c r="C92" t="s">
        <v>40</v>
      </c>
      <c r="D92">
        <v>124</v>
      </c>
      <c r="F92">
        <v>131.5</v>
      </c>
      <c r="H92">
        <v>122</v>
      </c>
      <c r="J92">
        <v>128.69999999999999</v>
      </c>
      <c r="L92">
        <v>113.5</v>
      </c>
      <c r="N92">
        <v>133.30000000000001</v>
      </c>
      <c r="P92">
        <v>140.80000000000001</v>
      </c>
      <c r="R92">
        <v>133.80000000000001</v>
      </c>
      <c r="T92">
        <v>94.1</v>
      </c>
      <c r="V92">
        <v>123.4</v>
      </c>
      <c r="X92">
        <v>121</v>
      </c>
      <c r="Z92">
        <v>131.69999999999999</v>
      </c>
      <c r="AB92">
        <v>127.5</v>
      </c>
      <c r="AD92">
        <v>129.4</v>
      </c>
      <c r="AF92">
        <v>128.80000000000001</v>
      </c>
      <c r="AH92">
        <v>125.5</v>
      </c>
      <c r="AJ92">
        <v>128.30000000000001</v>
      </c>
      <c r="AL92" t="s">
        <v>32</v>
      </c>
      <c r="AN92">
        <v>123</v>
      </c>
      <c r="AP92">
        <v>123</v>
      </c>
      <c r="AR92">
        <v>120.8</v>
      </c>
      <c r="AT92">
        <v>114.1</v>
      </c>
      <c r="AV92">
        <v>118</v>
      </c>
      <c r="AX92">
        <v>122.9</v>
      </c>
      <c r="AZ92">
        <v>112.7</v>
      </c>
      <c r="BB92">
        <v>118.1</v>
      </c>
      <c r="BD92">
        <v>124.7</v>
      </c>
    </row>
    <row r="93" spans="1:56">
      <c r="A93" t="s">
        <v>33</v>
      </c>
      <c r="B93">
        <v>2015</v>
      </c>
      <c r="C93" t="s">
        <v>40</v>
      </c>
      <c r="D93">
        <v>123.2</v>
      </c>
      <c r="F93">
        <v>134.30000000000001</v>
      </c>
      <c r="H93">
        <v>119.5</v>
      </c>
      <c r="J93">
        <v>127.7</v>
      </c>
      <c r="L93">
        <v>106.3</v>
      </c>
      <c r="N93">
        <v>132.80000000000001</v>
      </c>
      <c r="P93">
        <v>153.5</v>
      </c>
      <c r="R93">
        <v>149.5</v>
      </c>
      <c r="T93">
        <v>85.7</v>
      </c>
      <c r="V93">
        <v>131.5</v>
      </c>
      <c r="X93">
        <v>118.3</v>
      </c>
      <c r="Z93">
        <v>131.1</v>
      </c>
      <c r="AB93">
        <v>129.5</v>
      </c>
      <c r="AD93">
        <v>133.1</v>
      </c>
      <c r="AF93">
        <v>123.5</v>
      </c>
      <c r="AH93">
        <v>117.9</v>
      </c>
      <c r="AJ93">
        <v>122.7</v>
      </c>
      <c r="AL93">
        <v>119.9</v>
      </c>
      <c r="AN93">
        <v>115.3</v>
      </c>
      <c r="AP93">
        <v>119.5</v>
      </c>
      <c r="AR93">
        <v>116</v>
      </c>
      <c r="AT93">
        <v>111.5</v>
      </c>
      <c r="AV93">
        <v>116.6</v>
      </c>
      <c r="AX93">
        <v>125.4</v>
      </c>
      <c r="AZ93">
        <v>111.7</v>
      </c>
      <c r="BB93">
        <v>116.3</v>
      </c>
      <c r="BD93">
        <v>122.4</v>
      </c>
    </row>
    <row r="94" spans="1:56" hidden="1">
      <c r="A94" t="s">
        <v>34</v>
      </c>
      <c r="B94">
        <v>2015</v>
      </c>
      <c r="C94" t="s">
        <v>40</v>
      </c>
      <c r="D94">
        <v>123.7</v>
      </c>
      <c r="F94">
        <v>132.5</v>
      </c>
      <c r="H94">
        <v>121</v>
      </c>
      <c r="J94">
        <v>128.30000000000001</v>
      </c>
      <c r="L94">
        <v>110.9</v>
      </c>
      <c r="N94">
        <v>133.1</v>
      </c>
      <c r="P94">
        <v>145.1</v>
      </c>
      <c r="R94">
        <v>139.1</v>
      </c>
      <c r="T94">
        <v>91.3</v>
      </c>
      <c r="V94">
        <v>126.1</v>
      </c>
      <c r="X94">
        <v>119.9</v>
      </c>
      <c r="Z94">
        <v>131.4</v>
      </c>
      <c r="AB94">
        <v>128.19999999999999</v>
      </c>
      <c r="AD94">
        <v>130.4</v>
      </c>
      <c r="AF94">
        <v>126.7</v>
      </c>
      <c r="AH94">
        <v>122.3</v>
      </c>
      <c r="AJ94">
        <v>126.1</v>
      </c>
      <c r="AL94">
        <v>119.9</v>
      </c>
      <c r="AN94">
        <v>120.1</v>
      </c>
      <c r="AP94">
        <v>121.3</v>
      </c>
      <c r="AR94">
        <v>119</v>
      </c>
      <c r="AT94">
        <v>112.7</v>
      </c>
      <c r="AV94">
        <v>117.2</v>
      </c>
      <c r="AX94">
        <v>124.4</v>
      </c>
      <c r="AZ94">
        <v>112.3</v>
      </c>
      <c r="BB94">
        <v>117.2</v>
      </c>
      <c r="BD94">
        <v>123.6</v>
      </c>
    </row>
    <row r="95" spans="1:56" hidden="1">
      <c r="A95" t="s">
        <v>30</v>
      </c>
      <c r="B95">
        <v>2015</v>
      </c>
      <c r="C95" t="s">
        <v>41</v>
      </c>
      <c r="D95">
        <v>124.7</v>
      </c>
      <c r="F95">
        <v>131.30000000000001</v>
      </c>
      <c r="H95">
        <v>121.3</v>
      </c>
      <c r="J95">
        <v>128.80000000000001</v>
      </c>
      <c r="L95">
        <v>114</v>
      </c>
      <c r="N95">
        <v>134.19999999999999</v>
      </c>
      <c r="P95">
        <v>153.6</v>
      </c>
      <c r="R95">
        <v>137.9</v>
      </c>
      <c r="T95">
        <v>93.1</v>
      </c>
      <c r="V95">
        <v>123.9</v>
      </c>
      <c r="X95">
        <v>121.5</v>
      </c>
      <c r="Z95">
        <v>132.5</v>
      </c>
      <c r="AB95">
        <v>129.80000000000001</v>
      </c>
      <c r="AD95">
        <v>130.1</v>
      </c>
      <c r="AF95">
        <v>129.5</v>
      </c>
      <c r="AH95">
        <v>126.3</v>
      </c>
      <c r="AJ95">
        <v>129</v>
      </c>
      <c r="AL95" t="s">
        <v>32</v>
      </c>
      <c r="AN95">
        <v>123.8</v>
      </c>
      <c r="AP95">
        <v>123.7</v>
      </c>
      <c r="AR95">
        <v>121.1</v>
      </c>
      <c r="AT95">
        <v>113.6</v>
      </c>
      <c r="AV95">
        <v>118.5</v>
      </c>
      <c r="AX95">
        <v>123.6</v>
      </c>
      <c r="AZ95">
        <v>112.5</v>
      </c>
      <c r="BB95">
        <v>118.2</v>
      </c>
      <c r="BD95">
        <v>126.1</v>
      </c>
    </row>
    <row r="96" spans="1:56">
      <c r="A96" t="s">
        <v>33</v>
      </c>
      <c r="B96">
        <v>2015</v>
      </c>
      <c r="C96" t="s">
        <v>41</v>
      </c>
      <c r="D96">
        <v>123.1</v>
      </c>
      <c r="F96">
        <v>131.69999999999999</v>
      </c>
      <c r="H96">
        <v>118.1</v>
      </c>
      <c r="J96">
        <v>128</v>
      </c>
      <c r="L96">
        <v>106.8</v>
      </c>
      <c r="N96">
        <v>130.1</v>
      </c>
      <c r="P96">
        <v>165.5</v>
      </c>
      <c r="R96">
        <v>156</v>
      </c>
      <c r="T96">
        <v>85.3</v>
      </c>
      <c r="V96">
        <v>132.69999999999999</v>
      </c>
      <c r="X96">
        <v>118.8</v>
      </c>
      <c r="Z96">
        <v>131.69999999999999</v>
      </c>
      <c r="AB96">
        <v>131.1</v>
      </c>
      <c r="AD96">
        <v>134.19999999999999</v>
      </c>
      <c r="AF96">
        <v>123.7</v>
      </c>
      <c r="AH96">
        <v>118.2</v>
      </c>
      <c r="AJ96">
        <v>122.9</v>
      </c>
      <c r="AL96">
        <v>120.9</v>
      </c>
      <c r="AN96">
        <v>115.3</v>
      </c>
      <c r="AP96">
        <v>120</v>
      </c>
      <c r="AR96">
        <v>116.6</v>
      </c>
      <c r="AT96">
        <v>109.9</v>
      </c>
      <c r="AV96">
        <v>117.2</v>
      </c>
      <c r="AX96">
        <v>126.2</v>
      </c>
      <c r="AZ96">
        <v>112</v>
      </c>
      <c r="BB96">
        <v>116.2</v>
      </c>
      <c r="BD96">
        <v>123.2</v>
      </c>
    </row>
    <row r="97" spans="1:56" hidden="1">
      <c r="A97" t="s">
        <v>34</v>
      </c>
      <c r="B97">
        <v>2015</v>
      </c>
      <c r="C97" t="s">
        <v>41</v>
      </c>
      <c r="D97">
        <v>124.2</v>
      </c>
      <c r="F97">
        <v>131.4</v>
      </c>
      <c r="H97">
        <v>120.1</v>
      </c>
      <c r="J97">
        <v>128.5</v>
      </c>
      <c r="L97">
        <v>111.4</v>
      </c>
      <c r="N97">
        <v>132.30000000000001</v>
      </c>
      <c r="P97">
        <v>157.6</v>
      </c>
      <c r="R97">
        <v>144</v>
      </c>
      <c r="T97">
        <v>90.5</v>
      </c>
      <c r="V97">
        <v>126.8</v>
      </c>
      <c r="X97">
        <v>120.4</v>
      </c>
      <c r="Z97">
        <v>132.1</v>
      </c>
      <c r="AB97">
        <v>130.30000000000001</v>
      </c>
      <c r="AD97">
        <v>131.19999999999999</v>
      </c>
      <c r="AF97">
        <v>127.2</v>
      </c>
      <c r="AH97">
        <v>122.9</v>
      </c>
      <c r="AJ97">
        <v>126.6</v>
      </c>
      <c r="AL97">
        <v>120.9</v>
      </c>
      <c r="AN97">
        <v>120.6</v>
      </c>
      <c r="AP97">
        <v>122</v>
      </c>
      <c r="AR97">
        <v>119.4</v>
      </c>
      <c r="AT97">
        <v>111.7</v>
      </c>
      <c r="AV97">
        <v>117.8</v>
      </c>
      <c r="AX97">
        <v>125.1</v>
      </c>
      <c r="AZ97">
        <v>112.3</v>
      </c>
      <c r="BB97">
        <v>117.2</v>
      </c>
      <c r="BD97">
        <v>124.8</v>
      </c>
    </row>
    <row r="98" spans="1:56" hidden="1">
      <c r="A98" t="s">
        <v>30</v>
      </c>
      <c r="B98">
        <v>2015</v>
      </c>
      <c r="C98" t="s">
        <v>42</v>
      </c>
      <c r="D98">
        <v>125.1</v>
      </c>
      <c r="F98">
        <v>131.1</v>
      </c>
      <c r="H98">
        <v>120.7</v>
      </c>
      <c r="J98">
        <v>129.19999999999999</v>
      </c>
      <c r="L98">
        <v>114.7</v>
      </c>
      <c r="N98">
        <v>132.30000000000001</v>
      </c>
      <c r="P98">
        <v>158.9</v>
      </c>
      <c r="R98">
        <v>142.1</v>
      </c>
      <c r="T98">
        <v>92.5</v>
      </c>
      <c r="V98">
        <v>125.4</v>
      </c>
      <c r="X98">
        <v>121.9</v>
      </c>
      <c r="Z98">
        <v>132.69999999999999</v>
      </c>
      <c r="AB98">
        <v>131</v>
      </c>
      <c r="AD98">
        <v>131</v>
      </c>
      <c r="AF98">
        <v>130.4</v>
      </c>
      <c r="AH98">
        <v>126.8</v>
      </c>
      <c r="AJ98">
        <v>129.9</v>
      </c>
      <c r="AL98" t="s">
        <v>32</v>
      </c>
      <c r="AN98">
        <v>123.7</v>
      </c>
      <c r="AP98">
        <v>124.5</v>
      </c>
      <c r="AR98">
        <v>121.4</v>
      </c>
      <c r="AT98">
        <v>113.8</v>
      </c>
      <c r="AV98">
        <v>119.6</v>
      </c>
      <c r="AX98">
        <v>124.5</v>
      </c>
      <c r="AZ98">
        <v>113.7</v>
      </c>
      <c r="BB98">
        <v>118.8</v>
      </c>
      <c r="BD98">
        <v>127</v>
      </c>
    </row>
    <row r="99" spans="1:56">
      <c r="A99" t="s">
        <v>33</v>
      </c>
      <c r="B99">
        <v>2015</v>
      </c>
      <c r="C99" t="s">
        <v>42</v>
      </c>
      <c r="D99">
        <v>123.4</v>
      </c>
      <c r="F99">
        <v>129</v>
      </c>
      <c r="H99">
        <v>115.6</v>
      </c>
      <c r="J99">
        <v>128.30000000000001</v>
      </c>
      <c r="L99">
        <v>107</v>
      </c>
      <c r="N99">
        <v>124</v>
      </c>
      <c r="P99">
        <v>168.5</v>
      </c>
      <c r="R99">
        <v>165.4</v>
      </c>
      <c r="T99">
        <v>86.3</v>
      </c>
      <c r="V99">
        <v>134.4</v>
      </c>
      <c r="X99">
        <v>119.1</v>
      </c>
      <c r="Z99">
        <v>132.30000000000001</v>
      </c>
      <c r="AB99">
        <v>131.5</v>
      </c>
      <c r="AD99">
        <v>134.69999999999999</v>
      </c>
      <c r="AF99">
        <v>124</v>
      </c>
      <c r="AH99">
        <v>118.6</v>
      </c>
      <c r="AJ99">
        <v>123.2</v>
      </c>
      <c r="AL99">
        <v>121.6</v>
      </c>
      <c r="AN99">
        <v>115.1</v>
      </c>
      <c r="AP99">
        <v>120.4</v>
      </c>
      <c r="AR99">
        <v>117.1</v>
      </c>
      <c r="AT99">
        <v>109.1</v>
      </c>
      <c r="AV99">
        <v>117.3</v>
      </c>
      <c r="AX99">
        <v>126.5</v>
      </c>
      <c r="AZ99">
        <v>112.9</v>
      </c>
      <c r="BB99">
        <v>116.2</v>
      </c>
      <c r="BD99">
        <v>123.5</v>
      </c>
    </row>
    <row r="100" spans="1:56" hidden="1">
      <c r="A100" t="s">
        <v>34</v>
      </c>
      <c r="B100">
        <v>2015</v>
      </c>
      <c r="C100" t="s">
        <v>42</v>
      </c>
      <c r="D100">
        <v>124.6</v>
      </c>
      <c r="F100">
        <v>130.4</v>
      </c>
      <c r="H100">
        <v>118.7</v>
      </c>
      <c r="J100">
        <v>128.9</v>
      </c>
      <c r="L100">
        <v>111.9</v>
      </c>
      <c r="N100">
        <v>128.4</v>
      </c>
      <c r="P100">
        <v>162.19999999999999</v>
      </c>
      <c r="R100">
        <v>150</v>
      </c>
      <c r="T100">
        <v>90.4</v>
      </c>
      <c r="V100">
        <v>128.4</v>
      </c>
      <c r="X100">
        <v>120.7</v>
      </c>
      <c r="Z100">
        <v>132.5</v>
      </c>
      <c r="AB100">
        <v>131.19999999999999</v>
      </c>
      <c r="AD100">
        <v>132</v>
      </c>
      <c r="AF100">
        <v>127.9</v>
      </c>
      <c r="AH100">
        <v>123.4</v>
      </c>
      <c r="AJ100">
        <v>127.2</v>
      </c>
      <c r="AL100">
        <v>121.6</v>
      </c>
      <c r="AN100">
        <v>120.4</v>
      </c>
      <c r="AP100">
        <v>122.6</v>
      </c>
      <c r="AR100">
        <v>119.8</v>
      </c>
      <c r="AT100">
        <v>111.3</v>
      </c>
      <c r="AV100">
        <v>118.3</v>
      </c>
      <c r="AX100">
        <v>125.7</v>
      </c>
      <c r="AZ100">
        <v>113.4</v>
      </c>
      <c r="BB100">
        <v>117.5</v>
      </c>
      <c r="BD100">
        <v>125.4</v>
      </c>
    </row>
    <row r="101" spans="1:56" hidden="1">
      <c r="A101" t="s">
        <v>30</v>
      </c>
      <c r="B101">
        <v>2015</v>
      </c>
      <c r="C101" t="s">
        <v>43</v>
      </c>
      <c r="D101">
        <v>125.6</v>
      </c>
      <c r="F101">
        <v>130.4</v>
      </c>
      <c r="H101">
        <v>120.8</v>
      </c>
      <c r="J101">
        <v>129.4</v>
      </c>
      <c r="L101">
        <v>115.8</v>
      </c>
      <c r="N101">
        <v>133.19999999999999</v>
      </c>
      <c r="P101">
        <v>157.69999999999999</v>
      </c>
      <c r="R101">
        <v>154.19999999999999</v>
      </c>
      <c r="T101">
        <v>93.7</v>
      </c>
      <c r="V101">
        <v>126.6</v>
      </c>
      <c r="X101">
        <v>122.3</v>
      </c>
      <c r="Z101">
        <v>133.1</v>
      </c>
      <c r="AB101">
        <v>131.80000000000001</v>
      </c>
      <c r="AD101">
        <v>131.5</v>
      </c>
      <c r="AF101">
        <v>131.1</v>
      </c>
      <c r="AH101">
        <v>127.3</v>
      </c>
      <c r="AJ101">
        <v>130.6</v>
      </c>
      <c r="AL101" t="s">
        <v>32</v>
      </c>
      <c r="AN101">
        <v>124.4</v>
      </c>
      <c r="AP101">
        <v>125.1</v>
      </c>
      <c r="AR101">
        <v>122</v>
      </c>
      <c r="AT101">
        <v>113.8</v>
      </c>
      <c r="AV101">
        <v>120.1</v>
      </c>
      <c r="AX101">
        <v>125.1</v>
      </c>
      <c r="AZ101">
        <v>114.2</v>
      </c>
      <c r="BB101">
        <v>119.2</v>
      </c>
      <c r="BD101">
        <v>127.7</v>
      </c>
    </row>
    <row r="102" spans="1:56">
      <c r="A102" t="s">
        <v>33</v>
      </c>
      <c r="B102">
        <v>2015</v>
      </c>
      <c r="C102" t="s">
        <v>43</v>
      </c>
      <c r="D102">
        <v>123.6</v>
      </c>
      <c r="F102">
        <v>128.6</v>
      </c>
      <c r="H102">
        <v>115.9</v>
      </c>
      <c r="J102">
        <v>128.5</v>
      </c>
      <c r="L102">
        <v>109</v>
      </c>
      <c r="N102">
        <v>124.1</v>
      </c>
      <c r="P102">
        <v>165.8</v>
      </c>
      <c r="R102">
        <v>187.2</v>
      </c>
      <c r="T102">
        <v>89.4</v>
      </c>
      <c r="V102">
        <v>135.80000000000001</v>
      </c>
      <c r="X102">
        <v>119.4</v>
      </c>
      <c r="Z102">
        <v>132.9</v>
      </c>
      <c r="AB102">
        <v>132.6</v>
      </c>
      <c r="AD102">
        <v>135.30000000000001</v>
      </c>
      <c r="AF102">
        <v>124.4</v>
      </c>
      <c r="AH102">
        <v>118.8</v>
      </c>
      <c r="AJ102">
        <v>123.6</v>
      </c>
      <c r="AL102">
        <v>122.4</v>
      </c>
      <c r="AN102">
        <v>114.9</v>
      </c>
      <c r="AP102">
        <v>120.7</v>
      </c>
      <c r="AR102">
        <v>117.7</v>
      </c>
      <c r="AT102">
        <v>109.3</v>
      </c>
      <c r="AV102">
        <v>117.7</v>
      </c>
      <c r="AX102">
        <v>126.5</v>
      </c>
      <c r="AZ102">
        <v>113.5</v>
      </c>
      <c r="BB102">
        <v>116.5</v>
      </c>
      <c r="BD102">
        <v>124.2</v>
      </c>
    </row>
    <row r="103" spans="1:56" hidden="1">
      <c r="A103" t="s">
        <v>34</v>
      </c>
      <c r="B103">
        <v>2015</v>
      </c>
      <c r="C103" t="s">
        <v>43</v>
      </c>
      <c r="D103">
        <v>125</v>
      </c>
      <c r="F103">
        <v>129.80000000000001</v>
      </c>
      <c r="H103">
        <v>118.9</v>
      </c>
      <c r="J103">
        <v>129.1</v>
      </c>
      <c r="L103">
        <v>113.3</v>
      </c>
      <c r="N103">
        <v>129</v>
      </c>
      <c r="P103">
        <v>160.4</v>
      </c>
      <c r="R103">
        <v>165.3</v>
      </c>
      <c r="T103">
        <v>92.3</v>
      </c>
      <c r="V103">
        <v>129.69999999999999</v>
      </c>
      <c r="X103">
        <v>121.1</v>
      </c>
      <c r="Z103">
        <v>133</v>
      </c>
      <c r="AB103">
        <v>132.1</v>
      </c>
      <c r="AD103">
        <v>132.5</v>
      </c>
      <c r="AF103">
        <v>128.5</v>
      </c>
      <c r="AH103">
        <v>123.8</v>
      </c>
      <c r="AJ103">
        <v>127.8</v>
      </c>
      <c r="AL103">
        <v>122.4</v>
      </c>
      <c r="AN103">
        <v>120.8</v>
      </c>
      <c r="AP103">
        <v>123</v>
      </c>
      <c r="AR103">
        <v>120.4</v>
      </c>
      <c r="AT103">
        <v>111.4</v>
      </c>
      <c r="AV103">
        <v>118.7</v>
      </c>
      <c r="AX103">
        <v>125.9</v>
      </c>
      <c r="AZ103">
        <v>113.9</v>
      </c>
      <c r="BB103">
        <v>117.9</v>
      </c>
      <c r="BD103">
        <v>126.1</v>
      </c>
    </row>
    <row r="104" spans="1:56" hidden="1">
      <c r="A104" t="s">
        <v>30</v>
      </c>
      <c r="B104">
        <v>2015</v>
      </c>
      <c r="C104" t="s">
        <v>45</v>
      </c>
      <c r="D104">
        <v>126.1</v>
      </c>
      <c r="F104">
        <v>130.6</v>
      </c>
      <c r="H104">
        <v>121.7</v>
      </c>
      <c r="J104">
        <v>129.5</v>
      </c>
      <c r="L104">
        <v>117.8</v>
      </c>
      <c r="N104">
        <v>132.1</v>
      </c>
      <c r="P104">
        <v>155.19999999999999</v>
      </c>
      <c r="R104">
        <v>160.80000000000001</v>
      </c>
      <c r="T104">
        <v>94.5</v>
      </c>
      <c r="V104">
        <v>128.30000000000001</v>
      </c>
      <c r="X104">
        <v>123.1</v>
      </c>
      <c r="Z104">
        <v>134.19999999999999</v>
      </c>
      <c r="AB104">
        <v>132.4</v>
      </c>
      <c r="AD104">
        <v>132.19999999999999</v>
      </c>
      <c r="AF104">
        <v>132.1</v>
      </c>
      <c r="AH104">
        <v>128.19999999999999</v>
      </c>
      <c r="AJ104">
        <v>131.5</v>
      </c>
      <c r="AL104" t="s">
        <v>32</v>
      </c>
      <c r="AN104">
        <v>125.6</v>
      </c>
      <c r="AP104">
        <v>125.6</v>
      </c>
      <c r="AR104">
        <v>122.6</v>
      </c>
      <c r="AT104">
        <v>114</v>
      </c>
      <c r="AV104">
        <v>120.9</v>
      </c>
      <c r="AX104">
        <v>125.8</v>
      </c>
      <c r="AZ104">
        <v>114.2</v>
      </c>
      <c r="BB104">
        <v>119.6</v>
      </c>
      <c r="BD104">
        <v>128.30000000000001</v>
      </c>
    </row>
    <row r="105" spans="1:56">
      <c r="A105" t="s">
        <v>33</v>
      </c>
      <c r="B105">
        <v>2015</v>
      </c>
      <c r="C105" t="s">
        <v>45</v>
      </c>
      <c r="D105">
        <v>124</v>
      </c>
      <c r="F105">
        <v>129.80000000000001</v>
      </c>
      <c r="H105">
        <v>121.5</v>
      </c>
      <c r="J105">
        <v>128.6</v>
      </c>
      <c r="L105">
        <v>110</v>
      </c>
      <c r="N105">
        <v>123.7</v>
      </c>
      <c r="P105">
        <v>164.6</v>
      </c>
      <c r="R105">
        <v>191.6</v>
      </c>
      <c r="T105">
        <v>90.8</v>
      </c>
      <c r="V105">
        <v>137.1</v>
      </c>
      <c r="X105">
        <v>119.8</v>
      </c>
      <c r="Z105">
        <v>133.69999999999999</v>
      </c>
      <c r="AB105">
        <v>133.30000000000001</v>
      </c>
      <c r="AD105">
        <v>137.6</v>
      </c>
      <c r="AF105">
        <v>125</v>
      </c>
      <c r="AH105">
        <v>119.3</v>
      </c>
      <c r="AJ105">
        <v>124.2</v>
      </c>
      <c r="AL105">
        <v>122.9</v>
      </c>
      <c r="AN105">
        <v>115.1</v>
      </c>
      <c r="AP105">
        <v>121</v>
      </c>
      <c r="AR105">
        <v>118.1</v>
      </c>
      <c r="AT105">
        <v>109.3</v>
      </c>
      <c r="AV105">
        <v>117.9</v>
      </c>
      <c r="AX105">
        <v>126.6</v>
      </c>
      <c r="AZ105">
        <v>113.3</v>
      </c>
      <c r="BB105">
        <v>116.6</v>
      </c>
      <c r="BD105">
        <v>124.6</v>
      </c>
    </row>
    <row r="106" spans="1:56" hidden="1">
      <c r="A106" t="s">
        <v>34</v>
      </c>
      <c r="B106">
        <v>2015</v>
      </c>
      <c r="C106" t="s">
        <v>45</v>
      </c>
      <c r="D106">
        <v>125.4</v>
      </c>
      <c r="F106">
        <v>130.30000000000001</v>
      </c>
      <c r="H106">
        <v>121.6</v>
      </c>
      <c r="J106">
        <v>129.19999999999999</v>
      </c>
      <c r="L106">
        <v>114.9</v>
      </c>
      <c r="N106">
        <v>128.19999999999999</v>
      </c>
      <c r="P106">
        <v>158.4</v>
      </c>
      <c r="R106">
        <v>171.2</v>
      </c>
      <c r="T106">
        <v>93.3</v>
      </c>
      <c r="V106">
        <v>131.19999999999999</v>
      </c>
      <c r="X106">
        <v>121.7</v>
      </c>
      <c r="Z106">
        <v>134</v>
      </c>
      <c r="AB106">
        <v>132.69999999999999</v>
      </c>
      <c r="AD106">
        <v>133.6</v>
      </c>
      <c r="AF106">
        <v>129.30000000000001</v>
      </c>
      <c r="AH106">
        <v>124.5</v>
      </c>
      <c r="AJ106">
        <v>128.6</v>
      </c>
      <c r="AL106">
        <v>122.9</v>
      </c>
      <c r="AN106">
        <v>121.6</v>
      </c>
      <c r="AP106">
        <v>123.4</v>
      </c>
      <c r="AR106">
        <v>120.9</v>
      </c>
      <c r="AT106">
        <v>111.5</v>
      </c>
      <c r="AV106">
        <v>119.2</v>
      </c>
      <c r="AX106">
        <v>126.3</v>
      </c>
      <c r="AZ106">
        <v>113.8</v>
      </c>
      <c r="BB106">
        <v>118.1</v>
      </c>
      <c r="BD106">
        <v>126.6</v>
      </c>
    </row>
    <row r="107" spans="1:56" hidden="1">
      <c r="A107" t="s">
        <v>30</v>
      </c>
      <c r="B107">
        <v>2015</v>
      </c>
      <c r="C107" t="s">
        <v>46</v>
      </c>
      <c r="D107">
        <v>126.3</v>
      </c>
      <c r="F107">
        <v>131.30000000000001</v>
      </c>
      <c r="H107">
        <v>123.3</v>
      </c>
      <c r="J107">
        <v>129.80000000000001</v>
      </c>
      <c r="L107">
        <v>118.3</v>
      </c>
      <c r="N107">
        <v>131.6</v>
      </c>
      <c r="P107">
        <v>145.5</v>
      </c>
      <c r="R107">
        <v>162.1</v>
      </c>
      <c r="T107">
        <v>95.4</v>
      </c>
      <c r="V107">
        <v>128.9</v>
      </c>
      <c r="X107">
        <v>123.3</v>
      </c>
      <c r="Z107">
        <v>135.1</v>
      </c>
      <c r="AB107">
        <v>131.4</v>
      </c>
      <c r="AD107">
        <v>133.1</v>
      </c>
      <c r="AF107">
        <v>132.5</v>
      </c>
      <c r="AH107">
        <v>128.5</v>
      </c>
      <c r="AJ107">
        <v>131.9</v>
      </c>
      <c r="AL107" t="s">
        <v>32</v>
      </c>
      <c r="AN107">
        <v>125.7</v>
      </c>
      <c r="AP107">
        <v>126</v>
      </c>
      <c r="AR107">
        <v>123.1</v>
      </c>
      <c r="AT107">
        <v>114</v>
      </c>
      <c r="AV107">
        <v>121.6</v>
      </c>
      <c r="AX107">
        <v>125.6</v>
      </c>
      <c r="AZ107">
        <v>114.1</v>
      </c>
      <c r="BB107">
        <v>119.8</v>
      </c>
      <c r="BD107">
        <v>127.9</v>
      </c>
    </row>
    <row r="108" spans="1:56">
      <c r="A108" t="s">
        <v>33</v>
      </c>
      <c r="B108">
        <v>2015</v>
      </c>
      <c r="C108" t="s">
        <v>46</v>
      </c>
      <c r="D108">
        <v>124.3</v>
      </c>
      <c r="F108">
        <v>131.69999999999999</v>
      </c>
      <c r="H108">
        <v>127.1</v>
      </c>
      <c r="J108">
        <v>128.6</v>
      </c>
      <c r="L108">
        <v>110</v>
      </c>
      <c r="N108">
        <v>120.8</v>
      </c>
      <c r="P108">
        <v>149</v>
      </c>
      <c r="R108">
        <v>190.1</v>
      </c>
      <c r="T108">
        <v>92.7</v>
      </c>
      <c r="V108">
        <v>138.6</v>
      </c>
      <c r="X108">
        <v>120.2</v>
      </c>
      <c r="Z108">
        <v>134.19999999999999</v>
      </c>
      <c r="AB108">
        <v>131.5</v>
      </c>
      <c r="AD108">
        <v>138.19999999999999</v>
      </c>
      <c r="AF108">
        <v>125.4</v>
      </c>
      <c r="AH108">
        <v>119.5</v>
      </c>
      <c r="AJ108">
        <v>124.5</v>
      </c>
      <c r="AL108">
        <v>122.4</v>
      </c>
      <c r="AN108">
        <v>116</v>
      </c>
      <c r="AP108">
        <v>121</v>
      </c>
      <c r="AR108">
        <v>118.6</v>
      </c>
      <c r="AT108">
        <v>109.3</v>
      </c>
      <c r="AV108">
        <v>118.1</v>
      </c>
      <c r="AX108">
        <v>126.6</v>
      </c>
      <c r="AZ108">
        <v>113.2</v>
      </c>
      <c r="BB108">
        <v>116.7</v>
      </c>
      <c r="BD108">
        <v>124</v>
      </c>
    </row>
    <row r="109" spans="1:56" hidden="1">
      <c r="A109" t="s">
        <v>34</v>
      </c>
      <c r="B109">
        <v>2015</v>
      </c>
      <c r="C109" t="s">
        <v>46</v>
      </c>
      <c r="D109">
        <v>125.7</v>
      </c>
      <c r="F109">
        <v>131.4</v>
      </c>
      <c r="H109">
        <v>124.8</v>
      </c>
      <c r="J109">
        <v>129.4</v>
      </c>
      <c r="L109">
        <v>115.3</v>
      </c>
      <c r="N109">
        <v>126.6</v>
      </c>
      <c r="P109">
        <v>146.69999999999999</v>
      </c>
      <c r="R109">
        <v>171.5</v>
      </c>
      <c r="T109">
        <v>94.5</v>
      </c>
      <c r="V109">
        <v>132.1</v>
      </c>
      <c r="X109">
        <v>122</v>
      </c>
      <c r="Z109">
        <v>134.69999999999999</v>
      </c>
      <c r="AB109">
        <v>131.4</v>
      </c>
      <c r="AD109">
        <v>134.5</v>
      </c>
      <c r="AF109">
        <v>129.69999999999999</v>
      </c>
      <c r="AH109">
        <v>124.8</v>
      </c>
      <c r="AJ109">
        <v>129</v>
      </c>
      <c r="AL109">
        <v>122.4</v>
      </c>
      <c r="AN109">
        <v>122</v>
      </c>
      <c r="AP109">
        <v>123.6</v>
      </c>
      <c r="AR109">
        <v>121.4</v>
      </c>
      <c r="AT109">
        <v>111.5</v>
      </c>
      <c r="AV109">
        <v>119.6</v>
      </c>
      <c r="AX109">
        <v>126.2</v>
      </c>
      <c r="AZ109">
        <v>113.7</v>
      </c>
      <c r="BB109">
        <v>118.3</v>
      </c>
      <c r="BD109">
        <v>126.1</v>
      </c>
    </row>
    <row r="110" spans="1:56" hidden="1">
      <c r="A110" t="s">
        <v>30</v>
      </c>
      <c r="B110">
        <v>2016</v>
      </c>
      <c r="C110" t="s">
        <v>31</v>
      </c>
      <c r="D110">
        <v>126.8</v>
      </c>
      <c r="F110">
        <v>133.19999999999999</v>
      </c>
      <c r="H110">
        <v>126.5</v>
      </c>
      <c r="J110">
        <v>130.30000000000001</v>
      </c>
      <c r="L110">
        <v>118.9</v>
      </c>
      <c r="N110">
        <v>131.6</v>
      </c>
      <c r="P110">
        <v>140.1</v>
      </c>
      <c r="R110">
        <v>163.80000000000001</v>
      </c>
      <c r="T110">
        <v>97.7</v>
      </c>
      <c r="V110">
        <v>129.6</v>
      </c>
      <c r="X110">
        <v>124.3</v>
      </c>
      <c r="Z110">
        <v>135.9</v>
      </c>
      <c r="AB110">
        <v>131.4</v>
      </c>
      <c r="AD110">
        <v>133.6</v>
      </c>
      <c r="AF110">
        <v>133.19999999999999</v>
      </c>
      <c r="AH110">
        <v>128.9</v>
      </c>
      <c r="AJ110">
        <v>132.6</v>
      </c>
      <c r="AL110" t="s">
        <v>32</v>
      </c>
      <c r="AN110">
        <v>126.2</v>
      </c>
      <c r="AP110">
        <v>126.6</v>
      </c>
      <c r="AR110">
        <v>123.7</v>
      </c>
      <c r="AT110">
        <v>113.6</v>
      </c>
      <c r="AV110">
        <v>121.4</v>
      </c>
      <c r="AX110">
        <v>126.2</v>
      </c>
      <c r="AZ110">
        <v>114.9</v>
      </c>
      <c r="BB110">
        <v>120.1</v>
      </c>
      <c r="BD110">
        <v>128.1</v>
      </c>
    </row>
    <row r="111" spans="1:56">
      <c r="A111" t="s">
        <v>33</v>
      </c>
      <c r="B111">
        <v>2016</v>
      </c>
      <c r="C111" t="s">
        <v>31</v>
      </c>
      <c r="D111">
        <v>124.7</v>
      </c>
      <c r="F111">
        <v>135.9</v>
      </c>
      <c r="H111">
        <v>132</v>
      </c>
      <c r="J111">
        <v>129.19999999999999</v>
      </c>
      <c r="L111">
        <v>109.7</v>
      </c>
      <c r="N111">
        <v>119</v>
      </c>
      <c r="P111">
        <v>144.1</v>
      </c>
      <c r="R111">
        <v>184.2</v>
      </c>
      <c r="T111">
        <v>96.7</v>
      </c>
      <c r="V111">
        <v>139.5</v>
      </c>
      <c r="X111">
        <v>120.5</v>
      </c>
      <c r="Z111">
        <v>134.69999999999999</v>
      </c>
      <c r="AB111">
        <v>131.19999999999999</v>
      </c>
      <c r="AD111">
        <v>139.5</v>
      </c>
      <c r="AF111">
        <v>125.8</v>
      </c>
      <c r="AH111">
        <v>119.8</v>
      </c>
      <c r="AJ111">
        <v>124.9</v>
      </c>
      <c r="AL111">
        <v>123.4</v>
      </c>
      <c r="AN111">
        <v>116.9</v>
      </c>
      <c r="AP111">
        <v>121.6</v>
      </c>
      <c r="AR111">
        <v>119.1</v>
      </c>
      <c r="AT111">
        <v>108.9</v>
      </c>
      <c r="AV111">
        <v>118.5</v>
      </c>
      <c r="AX111">
        <v>126.4</v>
      </c>
      <c r="AZ111">
        <v>114</v>
      </c>
      <c r="BB111">
        <v>116.8</v>
      </c>
      <c r="BD111">
        <v>124.2</v>
      </c>
    </row>
    <row r="112" spans="1:56" hidden="1">
      <c r="A112" t="s">
        <v>34</v>
      </c>
      <c r="B112">
        <v>2016</v>
      </c>
      <c r="C112" t="s">
        <v>31</v>
      </c>
      <c r="D112">
        <v>126.1</v>
      </c>
      <c r="F112">
        <v>134.1</v>
      </c>
      <c r="H112">
        <v>128.6</v>
      </c>
      <c r="J112">
        <v>129.9</v>
      </c>
      <c r="L112">
        <v>115.5</v>
      </c>
      <c r="N112">
        <v>125.7</v>
      </c>
      <c r="P112">
        <v>141.5</v>
      </c>
      <c r="R112">
        <v>170.7</v>
      </c>
      <c r="T112">
        <v>97.4</v>
      </c>
      <c r="V112">
        <v>132.9</v>
      </c>
      <c r="X112">
        <v>122.7</v>
      </c>
      <c r="Z112">
        <v>135.30000000000001</v>
      </c>
      <c r="AB112">
        <v>131.30000000000001</v>
      </c>
      <c r="AD112">
        <v>135.19999999999999</v>
      </c>
      <c r="AF112">
        <v>130.30000000000001</v>
      </c>
      <c r="AH112">
        <v>125.1</v>
      </c>
      <c r="AJ112">
        <v>129.5</v>
      </c>
      <c r="AL112">
        <v>123.4</v>
      </c>
      <c r="AN112">
        <v>122.7</v>
      </c>
      <c r="AP112">
        <v>124.2</v>
      </c>
      <c r="AR112">
        <v>122</v>
      </c>
      <c r="AT112">
        <v>111.1</v>
      </c>
      <c r="AV112">
        <v>119.8</v>
      </c>
      <c r="AX112">
        <v>126.3</v>
      </c>
      <c r="AZ112">
        <v>114.5</v>
      </c>
      <c r="BB112">
        <v>118.5</v>
      </c>
      <c r="BD112">
        <v>126.3</v>
      </c>
    </row>
    <row r="113" spans="1:56" hidden="1">
      <c r="A113" t="s">
        <v>30</v>
      </c>
      <c r="B113">
        <v>2016</v>
      </c>
      <c r="C113" t="s">
        <v>35</v>
      </c>
      <c r="D113">
        <v>127.1</v>
      </c>
      <c r="F113">
        <v>133.69999999999999</v>
      </c>
      <c r="H113">
        <v>127.7</v>
      </c>
      <c r="J113">
        <v>130.69999999999999</v>
      </c>
      <c r="L113">
        <v>118.5</v>
      </c>
      <c r="N113">
        <v>130.4</v>
      </c>
      <c r="P113">
        <v>130.9</v>
      </c>
      <c r="R113">
        <v>162.80000000000001</v>
      </c>
      <c r="T113">
        <v>98.7</v>
      </c>
      <c r="V113">
        <v>130.6</v>
      </c>
      <c r="X113">
        <v>124.8</v>
      </c>
      <c r="Z113">
        <v>136.4</v>
      </c>
      <c r="AB113">
        <v>130.30000000000001</v>
      </c>
      <c r="AD113">
        <v>134.4</v>
      </c>
      <c r="AF113">
        <v>133.9</v>
      </c>
      <c r="AH113">
        <v>129.80000000000001</v>
      </c>
      <c r="AJ113">
        <v>133.4</v>
      </c>
      <c r="AL113" t="s">
        <v>32</v>
      </c>
      <c r="AN113">
        <v>127.5</v>
      </c>
      <c r="AP113">
        <v>127.1</v>
      </c>
      <c r="AR113">
        <v>124.3</v>
      </c>
      <c r="AT113">
        <v>113.9</v>
      </c>
      <c r="AV113">
        <v>122.3</v>
      </c>
      <c r="AX113">
        <v>127.1</v>
      </c>
      <c r="AZ113">
        <v>116.8</v>
      </c>
      <c r="BB113">
        <v>120.9</v>
      </c>
      <c r="BD113">
        <v>127.9</v>
      </c>
    </row>
    <row r="114" spans="1:56">
      <c r="A114" t="s">
        <v>33</v>
      </c>
      <c r="B114">
        <v>2016</v>
      </c>
      <c r="C114" t="s">
        <v>35</v>
      </c>
      <c r="D114">
        <v>124.8</v>
      </c>
      <c r="F114">
        <v>135.1</v>
      </c>
      <c r="H114">
        <v>130.30000000000001</v>
      </c>
      <c r="J114">
        <v>129.6</v>
      </c>
      <c r="L114">
        <v>108.4</v>
      </c>
      <c r="N114">
        <v>118.6</v>
      </c>
      <c r="P114">
        <v>129.19999999999999</v>
      </c>
      <c r="R114">
        <v>176.4</v>
      </c>
      <c r="T114">
        <v>99.1</v>
      </c>
      <c r="V114">
        <v>139.69999999999999</v>
      </c>
      <c r="X114">
        <v>120.6</v>
      </c>
      <c r="Z114">
        <v>135.19999999999999</v>
      </c>
      <c r="AB114">
        <v>129.1</v>
      </c>
      <c r="AD114">
        <v>140</v>
      </c>
      <c r="AF114">
        <v>126.2</v>
      </c>
      <c r="AH114">
        <v>120.1</v>
      </c>
      <c r="AJ114">
        <v>125.3</v>
      </c>
      <c r="AL114">
        <v>124.4</v>
      </c>
      <c r="AN114">
        <v>116</v>
      </c>
      <c r="AP114">
        <v>121.8</v>
      </c>
      <c r="AR114">
        <v>119.5</v>
      </c>
      <c r="AT114">
        <v>109.1</v>
      </c>
      <c r="AV114">
        <v>118.8</v>
      </c>
      <c r="AX114">
        <v>126.3</v>
      </c>
      <c r="AZ114">
        <v>116.2</v>
      </c>
      <c r="BB114">
        <v>117.2</v>
      </c>
      <c r="BD114">
        <v>123.8</v>
      </c>
    </row>
    <row r="115" spans="1:56" hidden="1">
      <c r="A115" t="s">
        <v>34</v>
      </c>
      <c r="B115">
        <v>2016</v>
      </c>
      <c r="C115" t="s">
        <v>35</v>
      </c>
      <c r="D115">
        <v>126.4</v>
      </c>
      <c r="F115">
        <v>134.19999999999999</v>
      </c>
      <c r="H115">
        <v>128.69999999999999</v>
      </c>
      <c r="J115">
        <v>130.30000000000001</v>
      </c>
      <c r="L115">
        <v>114.8</v>
      </c>
      <c r="N115">
        <v>124.9</v>
      </c>
      <c r="P115">
        <v>130.30000000000001</v>
      </c>
      <c r="R115">
        <v>167.4</v>
      </c>
      <c r="T115">
        <v>98.8</v>
      </c>
      <c r="V115">
        <v>133.6</v>
      </c>
      <c r="X115">
        <v>123</v>
      </c>
      <c r="Z115">
        <v>135.80000000000001</v>
      </c>
      <c r="AB115">
        <v>129.9</v>
      </c>
      <c r="AD115">
        <v>135.9</v>
      </c>
      <c r="AF115">
        <v>130.9</v>
      </c>
      <c r="AH115">
        <v>125.8</v>
      </c>
      <c r="AJ115">
        <v>130.19999999999999</v>
      </c>
      <c r="AL115">
        <v>124.4</v>
      </c>
      <c r="AN115">
        <v>123.1</v>
      </c>
      <c r="AP115">
        <v>124.6</v>
      </c>
      <c r="AR115">
        <v>122.5</v>
      </c>
      <c r="AT115">
        <v>111.4</v>
      </c>
      <c r="AV115">
        <v>120.3</v>
      </c>
      <c r="AX115">
        <v>126.6</v>
      </c>
      <c r="AZ115">
        <v>116.6</v>
      </c>
      <c r="BB115">
        <v>119.1</v>
      </c>
      <c r="BD115">
        <v>126</v>
      </c>
    </row>
    <row r="116" spans="1:56" hidden="1">
      <c r="A116" t="s">
        <v>30</v>
      </c>
      <c r="B116">
        <v>2016</v>
      </c>
      <c r="C116" t="s">
        <v>36</v>
      </c>
      <c r="D116">
        <v>127.3</v>
      </c>
      <c r="F116">
        <v>134.4</v>
      </c>
      <c r="H116">
        <v>125.1</v>
      </c>
      <c r="J116">
        <v>130.5</v>
      </c>
      <c r="L116">
        <v>118.3</v>
      </c>
      <c r="N116">
        <v>131.69999999999999</v>
      </c>
      <c r="P116">
        <v>130.69999999999999</v>
      </c>
      <c r="R116">
        <v>161.19999999999999</v>
      </c>
      <c r="T116">
        <v>100.4</v>
      </c>
      <c r="V116">
        <v>130.80000000000001</v>
      </c>
      <c r="X116">
        <v>124.9</v>
      </c>
      <c r="Z116">
        <v>137</v>
      </c>
      <c r="AB116">
        <v>130.4</v>
      </c>
      <c r="AD116">
        <v>135</v>
      </c>
      <c r="AF116">
        <v>134.4</v>
      </c>
      <c r="AH116">
        <v>130.19999999999999</v>
      </c>
      <c r="AJ116">
        <v>133.80000000000001</v>
      </c>
      <c r="AL116" t="s">
        <v>32</v>
      </c>
      <c r="AN116">
        <v>127</v>
      </c>
      <c r="AP116">
        <v>127.7</v>
      </c>
      <c r="AR116">
        <v>124.8</v>
      </c>
      <c r="AT116">
        <v>113.6</v>
      </c>
      <c r="AV116">
        <v>122.5</v>
      </c>
      <c r="AX116">
        <v>127.5</v>
      </c>
      <c r="AZ116">
        <v>117.4</v>
      </c>
      <c r="BB116">
        <v>121.1</v>
      </c>
      <c r="BD116">
        <v>128</v>
      </c>
    </row>
    <row r="117" spans="1:56">
      <c r="A117" t="s">
        <v>33</v>
      </c>
      <c r="B117">
        <v>2016</v>
      </c>
      <c r="C117" t="s">
        <v>36</v>
      </c>
      <c r="D117">
        <v>124.8</v>
      </c>
      <c r="F117">
        <v>136.30000000000001</v>
      </c>
      <c r="H117">
        <v>123.7</v>
      </c>
      <c r="J117">
        <v>129.69999999999999</v>
      </c>
      <c r="L117">
        <v>107.9</v>
      </c>
      <c r="N117">
        <v>119.9</v>
      </c>
      <c r="P117">
        <v>128.1</v>
      </c>
      <c r="R117">
        <v>170.3</v>
      </c>
      <c r="T117">
        <v>101.8</v>
      </c>
      <c r="V117">
        <v>140.1</v>
      </c>
      <c r="X117">
        <v>120.7</v>
      </c>
      <c r="Z117">
        <v>135.4</v>
      </c>
      <c r="AB117">
        <v>128.9</v>
      </c>
      <c r="AD117">
        <v>140.6</v>
      </c>
      <c r="AF117">
        <v>126.4</v>
      </c>
      <c r="AH117">
        <v>120.3</v>
      </c>
      <c r="AJ117">
        <v>125.5</v>
      </c>
      <c r="AL117">
        <v>124.9</v>
      </c>
      <c r="AN117">
        <v>114.8</v>
      </c>
      <c r="AP117">
        <v>122.3</v>
      </c>
      <c r="AR117">
        <v>119.7</v>
      </c>
      <c r="AT117">
        <v>108.5</v>
      </c>
      <c r="AV117">
        <v>119.1</v>
      </c>
      <c r="AX117">
        <v>126.4</v>
      </c>
      <c r="AZ117">
        <v>117.1</v>
      </c>
      <c r="BB117">
        <v>117.3</v>
      </c>
      <c r="BD117">
        <v>123.8</v>
      </c>
    </row>
    <row r="118" spans="1:56" hidden="1">
      <c r="A118" t="s">
        <v>34</v>
      </c>
      <c r="B118">
        <v>2016</v>
      </c>
      <c r="C118" t="s">
        <v>36</v>
      </c>
      <c r="D118">
        <v>126.5</v>
      </c>
      <c r="F118">
        <v>135.1</v>
      </c>
      <c r="H118">
        <v>124.6</v>
      </c>
      <c r="J118">
        <v>130.19999999999999</v>
      </c>
      <c r="L118">
        <v>114.5</v>
      </c>
      <c r="N118">
        <v>126.2</v>
      </c>
      <c r="P118">
        <v>129.80000000000001</v>
      </c>
      <c r="R118">
        <v>164.3</v>
      </c>
      <c r="T118">
        <v>100.9</v>
      </c>
      <c r="V118">
        <v>133.9</v>
      </c>
      <c r="X118">
        <v>123.1</v>
      </c>
      <c r="Z118">
        <v>136.30000000000001</v>
      </c>
      <c r="AB118">
        <v>129.80000000000001</v>
      </c>
      <c r="AD118">
        <v>136.5</v>
      </c>
      <c r="AF118">
        <v>131.30000000000001</v>
      </c>
      <c r="AH118">
        <v>126.1</v>
      </c>
      <c r="AJ118">
        <v>130.5</v>
      </c>
      <c r="AL118">
        <v>124.9</v>
      </c>
      <c r="AN118">
        <v>122.4</v>
      </c>
      <c r="AP118">
        <v>125.1</v>
      </c>
      <c r="AR118">
        <v>122.9</v>
      </c>
      <c r="AT118">
        <v>110.9</v>
      </c>
      <c r="AV118">
        <v>120.6</v>
      </c>
      <c r="AX118">
        <v>126.9</v>
      </c>
      <c r="AZ118">
        <v>117.3</v>
      </c>
      <c r="BB118">
        <v>119.3</v>
      </c>
      <c r="BD118">
        <v>126</v>
      </c>
    </row>
    <row r="119" spans="1:56" hidden="1">
      <c r="A119" t="s">
        <v>30</v>
      </c>
      <c r="B119">
        <v>2016</v>
      </c>
      <c r="C119" t="s">
        <v>37</v>
      </c>
      <c r="D119">
        <v>127.4</v>
      </c>
      <c r="F119">
        <v>135.4</v>
      </c>
      <c r="H119">
        <v>123.4</v>
      </c>
      <c r="J119">
        <v>131.30000000000001</v>
      </c>
      <c r="L119">
        <v>118.2</v>
      </c>
      <c r="N119">
        <v>138.1</v>
      </c>
      <c r="P119">
        <v>134.1</v>
      </c>
      <c r="R119">
        <v>162.69999999999999</v>
      </c>
      <c r="T119">
        <v>105</v>
      </c>
      <c r="V119">
        <v>131.4</v>
      </c>
      <c r="X119">
        <v>125.4</v>
      </c>
      <c r="Z119">
        <v>137.4</v>
      </c>
      <c r="AB119">
        <v>131.80000000000001</v>
      </c>
      <c r="AD119">
        <v>135.5</v>
      </c>
      <c r="AF119">
        <v>135</v>
      </c>
      <c r="AH119">
        <v>130.6</v>
      </c>
      <c r="AJ119">
        <v>134.4</v>
      </c>
      <c r="AL119" t="s">
        <v>32</v>
      </c>
      <c r="AN119">
        <v>127</v>
      </c>
      <c r="AP119">
        <v>128</v>
      </c>
      <c r="AR119">
        <v>125.2</v>
      </c>
      <c r="AT119">
        <v>114.4</v>
      </c>
      <c r="AV119">
        <v>123.2</v>
      </c>
      <c r="AX119">
        <v>127.9</v>
      </c>
      <c r="AZ119">
        <v>118.4</v>
      </c>
      <c r="BB119">
        <v>121.7</v>
      </c>
      <c r="BD119">
        <v>129</v>
      </c>
    </row>
    <row r="120" spans="1:56">
      <c r="A120" t="s">
        <v>33</v>
      </c>
      <c r="B120">
        <v>2016</v>
      </c>
      <c r="C120" t="s">
        <v>37</v>
      </c>
      <c r="D120">
        <v>124.9</v>
      </c>
      <c r="F120">
        <v>139.30000000000001</v>
      </c>
      <c r="H120">
        <v>119.9</v>
      </c>
      <c r="J120">
        <v>130.19999999999999</v>
      </c>
      <c r="L120">
        <v>108.9</v>
      </c>
      <c r="N120">
        <v>131.1</v>
      </c>
      <c r="P120">
        <v>136.80000000000001</v>
      </c>
      <c r="R120">
        <v>176.9</v>
      </c>
      <c r="T120">
        <v>109.1</v>
      </c>
      <c r="V120">
        <v>140.4</v>
      </c>
      <c r="X120">
        <v>121.1</v>
      </c>
      <c r="Z120">
        <v>135.9</v>
      </c>
      <c r="AB120">
        <v>131.80000000000001</v>
      </c>
      <c r="AD120">
        <v>141.5</v>
      </c>
      <c r="AF120">
        <v>126.8</v>
      </c>
      <c r="AH120">
        <v>120.5</v>
      </c>
      <c r="AJ120">
        <v>125.8</v>
      </c>
      <c r="AL120">
        <v>125.6</v>
      </c>
      <c r="AN120">
        <v>114.6</v>
      </c>
      <c r="AP120">
        <v>122.8</v>
      </c>
      <c r="AR120">
        <v>120</v>
      </c>
      <c r="AT120">
        <v>110</v>
      </c>
      <c r="AV120">
        <v>119.5</v>
      </c>
      <c r="AX120">
        <v>127.6</v>
      </c>
      <c r="AZ120">
        <v>117.6</v>
      </c>
      <c r="BB120">
        <v>118.2</v>
      </c>
      <c r="BD120">
        <v>125.3</v>
      </c>
    </row>
    <row r="121" spans="1:56" hidden="1">
      <c r="A121" t="s">
        <v>34</v>
      </c>
      <c r="B121">
        <v>2016</v>
      </c>
      <c r="C121" t="s">
        <v>37</v>
      </c>
      <c r="D121">
        <v>126.6</v>
      </c>
      <c r="F121">
        <v>136.80000000000001</v>
      </c>
      <c r="H121">
        <v>122</v>
      </c>
      <c r="J121">
        <v>130.9</v>
      </c>
      <c r="L121">
        <v>114.8</v>
      </c>
      <c r="N121">
        <v>134.80000000000001</v>
      </c>
      <c r="P121">
        <v>135</v>
      </c>
      <c r="R121">
        <v>167.5</v>
      </c>
      <c r="T121">
        <v>106.4</v>
      </c>
      <c r="V121">
        <v>134.4</v>
      </c>
      <c r="X121">
        <v>123.6</v>
      </c>
      <c r="Z121">
        <v>136.69999999999999</v>
      </c>
      <c r="AB121">
        <v>131.80000000000001</v>
      </c>
      <c r="AD121">
        <v>137.1</v>
      </c>
      <c r="AF121">
        <v>131.80000000000001</v>
      </c>
      <c r="AH121">
        <v>126.4</v>
      </c>
      <c r="AJ121">
        <v>131</v>
      </c>
      <c r="AL121">
        <v>125.6</v>
      </c>
      <c r="AN121">
        <v>122.3</v>
      </c>
      <c r="AP121">
        <v>125.5</v>
      </c>
      <c r="AR121">
        <v>123.2</v>
      </c>
      <c r="AT121">
        <v>112.1</v>
      </c>
      <c r="AV121">
        <v>121.1</v>
      </c>
      <c r="AX121">
        <v>127.7</v>
      </c>
      <c r="AZ121">
        <v>118.1</v>
      </c>
      <c r="BB121">
        <v>120</v>
      </c>
      <c r="BD121">
        <v>127.3</v>
      </c>
    </row>
    <row r="122" spans="1:56" hidden="1">
      <c r="A122" t="s">
        <v>30</v>
      </c>
      <c r="B122">
        <v>2016</v>
      </c>
      <c r="C122" t="s">
        <v>38</v>
      </c>
      <c r="D122">
        <v>127.6</v>
      </c>
      <c r="F122">
        <v>137.5</v>
      </c>
      <c r="H122">
        <v>124.4</v>
      </c>
      <c r="J122">
        <v>132.4</v>
      </c>
      <c r="L122">
        <v>118.2</v>
      </c>
      <c r="N122">
        <v>138.1</v>
      </c>
      <c r="P122">
        <v>141.80000000000001</v>
      </c>
      <c r="R122">
        <v>166</v>
      </c>
      <c r="T122">
        <v>107.5</v>
      </c>
      <c r="V122">
        <v>132.19999999999999</v>
      </c>
      <c r="X122">
        <v>126.1</v>
      </c>
      <c r="Z122">
        <v>138.30000000000001</v>
      </c>
      <c r="AB122">
        <v>133.6</v>
      </c>
      <c r="AD122">
        <v>136</v>
      </c>
      <c r="AF122">
        <v>135.4</v>
      </c>
      <c r="AH122">
        <v>131.1</v>
      </c>
      <c r="AJ122">
        <v>134.80000000000001</v>
      </c>
      <c r="AL122" t="s">
        <v>32</v>
      </c>
      <c r="AN122">
        <v>127.4</v>
      </c>
      <c r="AP122">
        <v>128.5</v>
      </c>
      <c r="AR122">
        <v>125.8</v>
      </c>
      <c r="AT122">
        <v>115.1</v>
      </c>
      <c r="AV122">
        <v>123.6</v>
      </c>
      <c r="AX122">
        <v>129.1</v>
      </c>
      <c r="AZ122">
        <v>119.7</v>
      </c>
      <c r="BB122">
        <v>122.5</v>
      </c>
      <c r="BD122">
        <v>130.30000000000001</v>
      </c>
    </row>
    <row r="123" spans="1:56">
      <c r="A123" t="s">
        <v>33</v>
      </c>
      <c r="B123">
        <v>2016</v>
      </c>
      <c r="C123" t="s">
        <v>38</v>
      </c>
      <c r="D123">
        <v>125</v>
      </c>
      <c r="F123">
        <v>142.1</v>
      </c>
      <c r="H123">
        <v>127</v>
      </c>
      <c r="J123">
        <v>130.4</v>
      </c>
      <c r="L123">
        <v>109.6</v>
      </c>
      <c r="N123">
        <v>133.5</v>
      </c>
      <c r="P123">
        <v>151.4</v>
      </c>
      <c r="R123">
        <v>182.8</v>
      </c>
      <c r="T123">
        <v>111.1</v>
      </c>
      <c r="V123">
        <v>141.5</v>
      </c>
      <c r="X123">
        <v>121.5</v>
      </c>
      <c r="Z123">
        <v>136.30000000000001</v>
      </c>
      <c r="AB123">
        <v>134.6</v>
      </c>
      <c r="AD123">
        <v>142.19999999999999</v>
      </c>
      <c r="AF123">
        <v>127.2</v>
      </c>
      <c r="AH123">
        <v>120.7</v>
      </c>
      <c r="AJ123">
        <v>126.2</v>
      </c>
      <c r="AL123">
        <v>126</v>
      </c>
      <c r="AN123">
        <v>115</v>
      </c>
      <c r="AP123">
        <v>123.2</v>
      </c>
      <c r="AR123">
        <v>120.3</v>
      </c>
      <c r="AT123">
        <v>110.7</v>
      </c>
      <c r="AV123">
        <v>119.8</v>
      </c>
      <c r="AX123">
        <v>128</v>
      </c>
      <c r="AZ123">
        <v>118.5</v>
      </c>
      <c r="BB123">
        <v>118.7</v>
      </c>
      <c r="BD123">
        <v>126.6</v>
      </c>
    </row>
    <row r="124" spans="1:56" hidden="1">
      <c r="A124" t="s">
        <v>34</v>
      </c>
      <c r="B124">
        <v>2016</v>
      </c>
      <c r="C124" t="s">
        <v>38</v>
      </c>
      <c r="D124">
        <v>126.8</v>
      </c>
      <c r="F124">
        <v>139.1</v>
      </c>
      <c r="H124">
        <v>125.4</v>
      </c>
      <c r="J124">
        <v>131.69999999999999</v>
      </c>
      <c r="L124">
        <v>115</v>
      </c>
      <c r="N124">
        <v>136</v>
      </c>
      <c r="P124">
        <v>145.1</v>
      </c>
      <c r="R124">
        <v>171.7</v>
      </c>
      <c r="T124">
        <v>108.7</v>
      </c>
      <c r="V124">
        <v>135.30000000000001</v>
      </c>
      <c r="X124">
        <v>124.2</v>
      </c>
      <c r="Z124">
        <v>137.4</v>
      </c>
      <c r="AB124">
        <v>134</v>
      </c>
      <c r="AD124">
        <v>137.69999999999999</v>
      </c>
      <c r="AF124">
        <v>132.19999999999999</v>
      </c>
      <c r="AH124">
        <v>126.8</v>
      </c>
      <c r="AJ124">
        <v>131.4</v>
      </c>
      <c r="AL124">
        <v>126</v>
      </c>
      <c r="AN124">
        <v>122.7</v>
      </c>
      <c r="AP124">
        <v>126</v>
      </c>
      <c r="AR124">
        <v>123.7</v>
      </c>
      <c r="AT124">
        <v>112.8</v>
      </c>
      <c r="AV124">
        <v>121.5</v>
      </c>
      <c r="AX124">
        <v>128.5</v>
      </c>
      <c r="AZ124">
        <v>119.2</v>
      </c>
      <c r="BB124">
        <v>120.7</v>
      </c>
      <c r="BD124">
        <v>128.6</v>
      </c>
    </row>
    <row r="125" spans="1:56" hidden="1">
      <c r="A125" t="s">
        <v>30</v>
      </c>
      <c r="B125">
        <v>2016</v>
      </c>
      <c r="C125" t="s">
        <v>39</v>
      </c>
      <c r="D125">
        <v>128.6</v>
      </c>
      <c r="F125">
        <v>138.6</v>
      </c>
      <c r="H125">
        <v>126.6</v>
      </c>
      <c r="J125">
        <v>133.6</v>
      </c>
      <c r="L125">
        <v>118.6</v>
      </c>
      <c r="N125">
        <v>137.4</v>
      </c>
      <c r="P125">
        <v>152.5</v>
      </c>
      <c r="R125">
        <v>169.2</v>
      </c>
      <c r="T125">
        <v>108.8</v>
      </c>
      <c r="V125">
        <v>133.1</v>
      </c>
      <c r="X125">
        <v>126.4</v>
      </c>
      <c r="Z125">
        <v>139.19999999999999</v>
      </c>
      <c r="AB125">
        <v>136</v>
      </c>
      <c r="AD125">
        <v>137.19999999999999</v>
      </c>
      <c r="AF125">
        <v>136.30000000000001</v>
      </c>
      <c r="AH125">
        <v>131.6</v>
      </c>
      <c r="AJ125">
        <v>135.6</v>
      </c>
      <c r="AL125" t="s">
        <v>32</v>
      </c>
      <c r="AN125">
        <v>128</v>
      </c>
      <c r="AP125">
        <v>129.30000000000001</v>
      </c>
      <c r="AR125">
        <v>126.2</v>
      </c>
      <c r="AT125">
        <v>116.3</v>
      </c>
      <c r="AV125">
        <v>124.1</v>
      </c>
      <c r="AX125">
        <v>130.19999999999999</v>
      </c>
      <c r="AZ125">
        <v>119.9</v>
      </c>
      <c r="BB125">
        <v>123.3</v>
      </c>
      <c r="BD125">
        <v>131.9</v>
      </c>
    </row>
    <row r="126" spans="1:56">
      <c r="A126" t="s">
        <v>33</v>
      </c>
      <c r="B126">
        <v>2016</v>
      </c>
      <c r="C126" t="s">
        <v>39</v>
      </c>
      <c r="D126">
        <v>125.9</v>
      </c>
      <c r="F126">
        <v>143.9</v>
      </c>
      <c r="H126">
        <v>130.9</v>
      </c>
      <c r="J126">
        <v>131</v>
      </c>
      <c r="L126">
        <v>110.2</v>
      </c>
      <c r="N126">
        <v>135.5</v>
      </c>
      <c r="P126">
        <v>173.7</v>
      </c>
      <c r="R126">
        <v>184.4</v>
      </c>
      <c r="T126">
        <v>112</v>
      </c>
      <c r="V126">
        <v>142.80000000000001</v>
      </c>
      <c r="X126">
        <v>121.6</v>
      </c>
      <c r="Z126">
        <v>136.9</v>
      </c>
      <c r="AB126">
        <v>138.19999999999999</v>
      </c>
      <c r="AD126">
        <v>142.69999999999999</v>
      </c>
      <c r="AF126">
        <v>127.6</v>
      </c>
      <c r="AH126">
        <v>121.1</v>
      </c>
      <c r="AJ126">
        <v>126.6</v>
      </c>
      <c r="AL126">
        <v>125.5</v>
      </c>
      <c r="AN126">
        <v>115.5</v>
      </c>
      <c r="AP126">
        <v>123.2</v>
      </c>
      <c r="AR126">
        <v>120.6</v>
      </c>
      <c r="AT126">
        <v>112.3</v>
      </c>
      <c r="AV126">
        <v>119.9</v>
      </c>
      <c r="AX126">
        <v>129.30000000000001</v>
      </c>
      <c r="AZ126">
        <v>118.8</v>
      </c>
      <c r="BB126">
        <v>119.6</v>
      </c>
      <c r="BD126">
        <v>128.1</v>
      </c>
    </row>
    <row r="127" spans="1:56" hidden="1">
      <c r="A127" t="s">
        <v>34</v>
      </c>
      <c r="B127">
        <v>2016</v>
      </c>
      <c r="C127" t="s">
        <v>39</v>
      </c>
      <c r="D127">
        <v>127.7</v>
      </c>
      <c r="F127">
        <v>140.5</v>
      </c>
      <c r="H127">
        <v>128.30000000000001</v>
      </c>
      <c r="J127">
        <v>132.6</v>
      </c>
      <c r="L127">
        <v>115.5</v>
      </c>
      <c r="N127">
        <v>136.5</v>
      </c>
      <c r="P127">
        <v>159.69999999999999</v>
      </c>
      <c r="R127">
        <v>174.3</v>
      </c>
      <c r="T127">
        <v>109.9</v>
      </c>
      <c r="V127">
        <v>136.30000000000001</v>
      </c>
      <c r="X127">
        <v>124.4</v>
      </c>
      <c r="Z127">
        <v>138.1</v>
      </c>
      <c r="AB127">
        <v>136.80000000000001</v>
      </c>
      <c r="AD127">
        <v>138.69999999999999</v>
      </c>
      <c r="AF127">
        <v>132.9</v>
      </c>
      <c r="AH127">
        <v>127.2</v>
      </c>
      <c r="AJ127">
        <v>132</v>
      </c>
      <c r="AL127">
        <v>125.5</v>
      </c>
      <c r="AN127">
        <v>123.3</v>
      </c>
      <c r="AP127">
        <v>126.4</v>
      </c>
      <c r="AR127">
        <v>124.1</v>
      </c>
      <c r="AT127">
        <v>114.2</v>
      </c>
      <c r="AV127">
        <v>121.7</v>
      </c>
      <c r="AX127">
        <v>129.69999999999999</v>
      </c>
      <c r="AZ127">
        <v>119.4</v>
      </c>
      <c r="BB127">
        <v>121.5</v>
      </c>
      <c r="BD127">
        <v>130.1</v>
      </c>
    </row>
    <row r="128" spans="1:56" hidden="1">
      <c r="A128" t="s">
        <v>30</v>
      </c>
      <c r="B128">
        <v>2016</v>
      </c>
      <c r="C128" t="s">
        <v>40</v>
      </c>
      <c r="D128">
        <v>129.30000000000001</v>
      </c>
      <c r="F128">
        <v>139.5</v>
      </c>
      <c r="H128">
        <v>129.6</v>
      </c>
      <c r="J128">
        <v>134.5</v>
      </c>
      <c r="L128">
        <v>119.5</v>
      </c>
      <c r="N128">
        <v>138.5</v>
      </c>
      <c r="P128">
        <v>158.19999999999999</v>
      </c>
      <c r="R128">
        <v>171.8</v>
      </c>
      <c r="T128">
        <v>110.3</v>
      </c>
      <c r="V128">
        <v>134.30000000000001</v>
      </c>
      <c r="X128">
        <v>127.3</v>
      </c>
      <c r="Z128">
        <v>139.9</v>
      </c>
      <c r="AB128">
        <v>137.6</v>
      </c>
      <c r="AD128">
        <v>138</v>
      </c>
      <c r="AF128">
        <v>137.19999999999999</v>
      </c>
      <c r="AH128">
        <v>132.19999999999999</v>
      </c>
      <c r="AJ128">
        <v>136.5</v>
      </c>
      <c r="AL128" t="s">
        <v>32</v>
      </c>
      <c r="AN128">
        <v>128.19999999999999</v>
      </c>
      <c r="AP128">
        <v>130</v>
      </c>
      <c r="AR128">
        <v>126.7</v>
      </c>
      <c r="AT128">
        <v>116.4</v>
      </c>
      <c r="AV128">
        <v>125.2</v>
      </c>
      <c r="AX128">
        <v>130.80000000000001</v>
      </c>
      <c r="AZ128">
        <v>120.9</v>
      </c>
      <c r="BB128">
        <v>123.8</v>
      </c>
      <c r="BD128">
        <v>133</v>
      </c>
    </row>
    <row r="129" spans="1:56">
      <c r="A129" t="s">
        <v>33</v>
      </c>
      <c r="B129">
        <v>2016</v>
      </c>
      <c r="C129" t="s">
        <v>40</v>
      </c>
      <c r="D129">
        <v>126.8</v>
      </c>
      <c r="F129">
        <v>144.19999999999999</v>
      </c>
      <c r="H129">
        <v>136.6</v>
      </c>
      <c r="J129">
        <v>131.80000000000001</v>
      </c>
      <c r="L129">
        <v>111</v>
      </c>
      <c r="N129">
        <v>137</v>
      </c>
      <c r="P129">
        <v>179.5</v>
      </c>
      <c r="R129">
        <v>188.4</v>
      </c>
      <c r="T129">
        <v>113.3</v>
      </c>
      <c r="V129">
        <v>143.9</v>
      </c>
      <c r="X129">
        <v>121.7</v>
      </c>
      <c r="Z129">
        <v>137.5</v>
      </c>
      <c r="AB129">
        <v>139.80000000000001</v>
      </c>
      <c r="AD129">
        <v>142.9</v>
      </c>
      <c r="AF129">
        <v>127.9</v>
      </c>
      <c r="AH129">
        <v>121.1</v>
      </c>
      <c r="AJ129">
        <v>126.9</v>
      </c>
      <c r="AL129">
        <v>126.4</v>
      </c>
      <c r="AN129">
        <v>115.5</v>
      </c>
      <c r="AP129">
        <v>123.5</v>
      </c>
      <c r="AR129">
        <v>120.9</v>
      </c>
      <c r="AT129">
        <v>111.7</v>
      </c>
      <c r="AV129">
        <v>120.3</v>
      </c>
      <c r="AX129">
        <v>130.80000000000001</v>
      </c>
      <c r="AZ129">
        <v>120</v>
      </c>
      <c r="BB129">
        <v>119.9</v>
      </c>
      <c r="BD129">
        <v>129</v>
      </c>
    </row>
    <row r="130" spans="1:56" hidden="1">
      <c r="A130" t="s">
        <v>34</v>
      </c>
      <c r="B130">
        <v>2016</v>
      </c>
      <c r="C130" t="s">
        <v>40</v>
      </c>
      <c r="D130">
        <v>128.5</v>
      </c>
      <c r="F130">
        <v>141.19999999999999</v>
      </c>
      <c r="H130">
        <v>132.30000000000001</v>
      </c>
      <c r="J130">
        <v>133.5</v>
      </c>
      <c r="L130">
        <v>116.4</v>
      </c>
      <c r="N130">
        <v>137.80000000000001</v>
      </c>
      <c r="P130">
        <v>165.4</v>
      </c>
      <c r="R130">
        <v>177.4</v>
      </c>
      <c r="T130">
        <v>111.3</v>
      </c>
      <c r="V130">
        <v>137.5</v>
      </c>
      <c r="X130">
        <v>125</v>
      </c>
      <c r="Z130">
        <v>138.80000000000001</v>
      </c>
      <c r="AB130">
        <v>138.4</v>
      </c>
      <c r="AD130">
        <v>139.30000000000001</v>
      </c>
      <c r="AF130">
        <v>133.5</v>
      </c>
      <c r="AH130">
        <v>127.6</v>
      </c>
      <c r="AJ130">
        <v>132.69999999999999</v>
      </c>
      <c r="AL130">
        <v>126.4</v>
      </c>
      <c r="AN130">
        <v>123.4</v>
      </c>
      <c r="AP130">
        <v>126.9</v>
      </c>
      <c r="AR130">
        <v>124.5</v>
      </c>
      <c r="AT130">
        <v>113.9</v>
      </c>
      <c r="AV130">
        <v>122.4</v>
      </c>
      <c r="AX130">
        <v>130.80000000000001</v>
      </c>
      <c r="AZ130">
        <v>120.5</v>
      </c>
      <c r="BB130">
        <v>121.9</v>
      </c>
      <c r="BD130">
        <v>131.1</v>
      </c>
    </row>
    <row r="131" spans="1:56" hidden="1">
      <c r="A131" t="s">
        <v>30</v>
      </c>
      <c r="B131">
        <v>2016</v>
      </c>
      <c r="C131" t="s">
        <v>41</v>
      </c>
      <c r="D131">
        <v>130.1</v>
      </c>
      <c r="F131">
        <v>138.80000000000001</v>
      </c>
      <c r="H131">
        <v>130.30000000000001</v>
      </c>
      <c r="J131">
        <v>135.30000000000001</v>
      </c>
      <c r="L131">
        <v>119.9</v>
      </c>
      <c r="N131">
        <v>140.19999999999999</v>
      </c>
      <c r="P131">
        <v>156.9</v>
      </c>
      <c r="R131">
        <v>172.2</v>
      </c>
      <c r="T131">
        <v>112.1</v>
      </c>
      <c r="V131">
        <v>134.9</v>
      </c>
      <c r="X131">
        <v>128.1</v>
      </c>
      <c r="Z131">
        <v>140.69999999999999</v>
      </c>
      <c r="AB131">
        <v>138</v>
      </c>
      <c r="AD131">
        <v>138.9</v>
      </c>
      <c r="AF131">
        <v>137.80000000000001</v>
      </c>
      <c r="AH131">
        <v>133</v>
      </c>
      <c r="AJ131">
        <v>137.1</v>
      </c>
      <c r="AL131" t="s">
        <v>32</v>
      </c>
      <c r="AN131">
        <v>129.1</v>
      </c>
      <c r="AP131">
        <v>130.6</v>
      </c>
      <c r="AR131">
        <v>127</v>
      </c>
      <c r="AT131">
        <v>116</v>
      </c>
      <c r="AV131">
        <v>125.5</v>
      </c>
      <c r="AX131">
        <v>131.9</v>
      </c>
      <c r="AZ131">
        <v>122</v>
      </c>
      <c r="BB131">
        <v>124.2</v>
      </c>
      <c r="BD131">
        <v>133.5</v>
      </c>
    </row>
    <row r="132" spans="1:56">
      <c r="A132" t="s">
        <v>33</v>
      </c>
      <c r="B132">
        <v>2016</v>
      </c>
      <c r="C132" t="s">
        <v>41</v>
      </c>
      <c r="D132">
        <v>127.6</v>
      </c>
      <c r="F132">
        <v>140.30000000000001</v>
      </c>
      <c r="H132">
        <v>133.69999999999999</v>
      </c>
      <c r="J132">
        <v>132.19999999999999</v>
      </c>
      <c r="L132">
        <v>111.8</v>
      </c>
      <c r="N132">
        <v>135.80000000000001</v>
      </c>
      <c r="P132">
        <v>163.5</v>
      </c>
      <c r="R132">
        <v>182.3</v>
      </c>
      <c r="T132">
        <v>114.6</v>
      </c>
      <c r="V132">
        <v>144.6</v>
      </c>
      <c r="X132">
        <v>121.9</v>
      </c>
      <c r="Z132">
        <v>138.1</v>
      </c>
      <c r="AB132">
        <v>137.6</v>
      </c>
      <c r="AD132">
        <v>143.6</v>
      </c>
      <c r="AF132">
        <v>128.30000000000001</v>
      </c>
      <c r="AH132">
        <v>121.4</v>
      </c>
      <c r="AJ132">
        <v>127.3</v>
      </c>
      <c r="AL132">
        <v>127.3</v>
      </c>
      <c r="AN132">
        <v>114.7</v>
      </c>
      <c r="AP132">
        <v>123.9</v>
      </c>
      <c r="AR132">
        <v>121.2</v>
      </c>
      <c r="AT132">
        <v>110.4</v>
      </c>
      <c r="AV132">
        <v>120.6</v>
      </c>
      <c r="AX132">
        <v>131.5</v>
      </c>
      <c r="AZ132">
        <v>120.9</v>
      </c>
      <c r="BB132">
        <v>119.9</v>
      </c>
      <c r="BD132">
        <v>128.4</v>
      </c>
    </row>
    <row r="133" spans="1:56" hidden="1">
      <c r="A133" t="s">
        <v>34</v>
      </c>
      <c r="B133">
        <v>2016</v>
      </c>
      <c r="C133" t="s">
        <v>41</v>
      </c>
      <c r="D133">
        <v>129.30000000000001</v>
      </c>
      <c r="F133">
        <v>139.30000000000001</v>
      </c>
      <c r="H133">
        <v>131.6</v>
      </c>
      <c r="J133">
        <v>134.1</v>
      </c>
      <c r="L133">
        <v>116.9</v>
      </c>
      <c r="N133">
        <v>138.1</v>
      </c>
      <c r="P133">
        <v>159.1</v>
      </c>
      <c r="R133">
        <v>175.6</v>
      </c>
      <c r="T133">
        <v>112.9</v>
      </c>
      <c r="V133">
        <v>138.1</v>
      </c>
      <c r="X133">
        <v>125.5</v>
      </c>
      <c r="Z133">
        <v>139.5</v>
      </c>
      <c r="AB133">
        <v>137.9</v>
      </c>
      <c r="AD133">
        <v>140.19999999999999</v>
      </c>
      <c r="AF133">
        <v>134.1</v>
      </c>
      <c r="AH133">
        <v>128.19999999999999</v>
      </c>
      <c r="AJ133">
        <v>133.19999999999999</v>
      </c>
      <c r="AL133">
        <v>127.3</v>
      </c>
      <c r="AN133">
        <v>123.6</v>
      </c>
      <c r="AP133">
        <v>127.4</v>
      </c>
      <c r="AR133">
        <v>124.8</v>
      </c>
      <c r="AT133">
        <v>113.1</v>
      </c>
      <c r="AV133">
        <v>122.7</v>
      </c>
      <c r="AX133">
        <v>131.69999999999999</v>
      </c>
      <c r="AZ133">
        <v>121.5</v>
      </c>
      <c r="BB133">
        <v>122.1</v>
      </c>
      <c r="BD133">
        <v>131.1</v>
      </c>
    </row>
    <row r="134" spans="1:56" hidden="1">
      <c r="A134" t="s">
        <v>30</v>
      </c>
      <c r="B134">
        <v>2016</v>
      </c>
      <c r="C134" t="s">
        <v>42</v>
      </c>
      <c r="D134">
        <v>130.80000000000001</v>
      </c>
      <c r="F134">
        <v>138.19999999999999</v>
      </c>
      <c r="H134">
        <v>130.5</v>
      </c>
      <c r="J134">
        <v>135.5</v>
      </c>
      <c r="L134">
        <v>120.2</v>
      </c>
      <c r="N134">
        <v>139.19999999999999</v>
      </c>
      <c r="P134">
        <v>149.5</v>
      </c>
      <c r="R134">
        <v>170.4</v>
      </c>
      <c r="T134">
        <v>113.1</v>
      </c>
      <c r="V134">
        <v>135.80000000000001</v>
      </c>
      <c r="X134">
        <v>128.80000000000001</v>
      </c>
      <c r="Z134">
        <v>141.5</v>
      </c>
      <c r="AB134">
        <v>137.19999999999999</v>
      </c>
      <c r="AD134">
        <v>139.9</v>
      </c>
      <c r="AF134">
        <v>138.5</v>
      </c>
      <c r="AH134">
        <v>133.5</v>
      </c>
      <c r="AJ134">
        <v>137.80000000000001</v>
      </c>
      <c r="AL134" t="s">
        <v>32</v>
      </c>
      <c r="AN134">
        <v>129.69999999999999</v>
      </c>
      <c r="AP134">
        <v>131.1</v>
      </c>
      <c r="AR134">
        <v>127.8</v>
      </c>
      <c r="AT134">
        <v>117</v>
      </c>
      <c r="AV134">
        <v>125.7</v>
      </c>
      <c r="AX134">
        <v>132.19999999999999</v>
      </c>
      <c r="AZ134">
        <v>122.8</v>
      </c>
      <c r="BB134">
        <v>124.9</v>
      </c>
      <c r="BD134">
        <v>133.4</v>
      </c>
    </row>
    <row r="135" spans="1:56">
      <c r="A135" t="s">
        <v>33</v>
      </c>
      <c r="B135">
        <v>2016</v>
      </c>
      <c r="C135" t="s">
        <v>42</v>
      </c>
      <c r="D135">
        <v>128.1</v>
      </c>
      <c r="F135">
        <v>137.69999999999999</v>
      </c>
      <c r="H135">
        <v>130.6</v>
      </c>
      <c r="J135">
        <v>132.6</v>
      </c>
      <c r="L135">
        <v>111.9</v>
      </c>
      <c r="N135">
        <v>132.5</v>
      </c>
      <c r="P135">
        <v>152.9</v>
      </c>
      <c r="R135">
        <v>173.6</v>
      </c>
      <c r="T135">
        <v>115.1</v>
      </c>
      <c r="V135">
        <v>144.80000000000001</v>
      </c>
      <c r="X135">
        <v>122.1</v>
      </c>
      <c r="Z135">
        <v>138.80000000000001</v>
      </c>
      <c r="AB135">
        <v>135.69999999999999</v>
      </c>
      <c r="AD135">
        <v>143.9</v>
      </c>
      <c r="AF135">
        <v>128.69999999999999</v>
      </c>
      <c r="AH135">
        <v>121.6</v>
      </c>
      <c r="AJ135">
        <v>127.7</v>
      </c>
      <c r="AL135">
        <v>127.9</v>
      </c>
      <c r="AN135">
        <v>114.8</v>
      </c>
      <c r="AP135">
        <v>124.3</v>
      </c>
      <c r="AR135">
        <v>121.4</v>
      </c>
      <c r="AT135">
        <v>111.8</v>
      </c>
      <c r="AV135">
        <v>120.8</v>
      </c>
      <c r="AX135">
        <v>131.6</v>
      </c>
      <c r="AZ135">
        <v>121.2</v>
      </c>
      <c r="BB135">
        <v>120.5</v>
      </c>
      <c r="BD135">
        <v>128</v>
      </c>
    </row>
    <row r="136" spans="1:56" hidden="1">
      <c r="A136" t="s">
        <v>34</v>
      </c>
      <c r="B136">
        <v>2016</v>
      </c>
      <c r="C136" t="s">
        <v>42</v>
      </c>
      <c r="D136">
        <v>129.9</v>
      </c>
      <c r="F136">
        <v>138</v>
      </c>
      <c r="H136">
        <v>130.5</v>
      </c>
      <c r="J136">
        <v>134.4</v>
      </c>
      <c r="L136">
        <v>117.2</v>
      </c>
      <c r="N136">
        <v>136.1</v>
      </c>
      <c r="P136">
        <v>150.69999999999999</v>
      </c>
      <c r="R136">
        <v>171.5</v>
      </c>
      <c r="T136">
        <v>113.8</v>
      </c>
      <c r="V136">
        <v>138.80000000000001</v>
      </c>
      <c r="X136">
        <v>126</v>
      </c>
      <c r="Z136">
        <v>140.19999999999999</v>
      </c>
      <c r="AB136">
        <v>136.6</v>
      </c>
      <c r="AD136">
        <v>141</v>
      </c>
      <c r="AF136">
        <v>134.6</v>
      </c>
      <c r="AH136">
        <v>128.6</v>
      </c>
      <c r="AJ136">
        <v>133.80000000000001</v>
      </c>
      <c r="AL136">
        <v>127.9</v>
      </c>
      <c r="AN136">
        <v>124.1</v>
      </c>
      <c r="AP136">
        <v>127.9</v>
      </c>
      <c r="AR136">
        <v>125.4</v>
      </c>
      <c r="AT136">
        <v>114.3</v>
      </c>
      <c r="AV136">
        <v>122.9</v>
      </c>
      <c r="AX136">
        <v>131.80000000000001</v>
      </c>
      <c r="AZ136">
        <v>122.1</v>
      </c>
      <c r="BB136">
        <v>122.8</v>
      </c>
      <c r="BD136">
        <v>130.9</v>
      </c>
    </row>
    <row r="137" spans="1:56" hidden="1">
      <c r="A137" t="s">
        <v>30</v>
      </c>
      <c r="B137">
        <v>2016</v>
      </c>
      <c r="C137" t="s">
        <v>43</v>
      </c>
      <c r="D137">
        <v>131.30000000000001</v>
      </c>
      <c r="F137">
        <v>137.6</v>
      </c>
      <c r="H137">
        <v>130.1</v>
      </c>
      <c r="J137">
        <v>136</v>
      </c>
      <c r="L137">
        <v>120.8</v>
      </c>
      <c r="N137">
        <v>138.4</v>
      </c>
      <c r="P137">
        <v>149.19999999999999</v>
      </c>
      <c r="R137">
        <v>170.2</v>
      </c>
      <c r="T137">
        <v>113.4</v>
      </c>
      <c r="V137">
        <v>136.30000000000001</v>
      </c>
      <c r="X137">
        <v>128.69999999999999</v>
      </c>
      <c r="Z137">
        <v>142.4</v>
      </c>
      <c r="AB137">
        <v>137.4</v>
      </c>
      <c r="AD137">
        <v>140.9</v>
      </c>
      <c r="AF137">
        <v>139.6</v>
      </c>
      <c r="AH137">
        <v>134.30000000000001</v>
      </c>
      <c r="AJ137">
        <v>138.80000000000001</v>
      </c>
      <c r="AL137" t="s">
        <v>32</v>
      </c>
      <c r="AN137">
        <v>129.80000000000001</v>
      </c>
      <c r="AP137">
        <v>131.80000000000001</v>
      </c>
      <c r="AR137">
        <v>128.69999999999999</v>
      </c>
      <c r="AT137">
        <v>117.8</v>
      </c>
      <c r="AV137">
        <v>126.5</v>
      </c>
      <c r="AX137">
        <v>133</v>
      </c>
      <c r="AZ137">
        <v>123</v>
      </c>
      <c r="BB137">
        <v>125.7</v>
      </c>
      <c r="BD137">
        <v>133.80000000000001</v>
      </c>
    </row>
    <row r="138" spans="1:56">
      <c r="A138" t="s">
        <v>33</v>
      </c>
      <c r="B138">
        <v>2016</v>
      </c>
      <c r="C138" t="s">
        <v>43</v>
      </c>
      <c r="D138">
        <v>128.69999999999999</v>
      </c>
      <c r="F138">
        <v>138.4</v>
      </c>
      <c r="H138">
        <v>130.30000000000001</v>
      </c>
      <c r="J138">
        <v>132.69999999999999</v>
      </c>
      <c r="L138">
        <v>112.5</v>
      </c>
      <c r="N138">
        <v>130.4</v>
      </c>
      <c r="P138">
        <v>155.1</v>
      </c>
      <c r="R138">
        <v>175.7</v>
      </c>
      <c r="T138">
        <v>115.4</v>
      </c>
      <c r="V138">
        <v>145.30000000000001</v>
      </c>
      <c r="X138">
        <v>122.5</v>
      </c>
      <c r="Z138">
        <v>139.6</v>
      </c>
      <c r="AB138">
        <v>136.30000000000001</v>
      </c>
      <c r="AD138">
        <v>144.30000000000001</v>
      </c>
      <c r="AF138">
        <v>129.1</v>
      </c>
      <c r="AH138">
        <v>121.9</v>
      </c>
      <c r="AJ138">
        <v>128</v>
      </c>
      <c r="AL138">
        <v>128.69999999999999</v>
      </c>
      <c r="AN138">
        <v>115.2</v>
      </c>
      <c r="AP138">
        <v>124.5</v>
      </c>
      <c r="AR138">
        <v>121.8</v>
      </c>
      <c r="AT138">
        <v>112.8</v>
      </c>
      <c r="AV138">
        <v>121.2</v>
      </c>
      <c r="AX138">
        <v>131.9</v>
      </c>
      <c r="AZ138">
        <v>120.8</v>
      </c>
      <c r="BB138">
        <v>120.9</v>
      </c>
      <c r="BD138">
        <v>128.6</v>
      </c>
    </row>
    <row r="139" spans="1:56" hidden="1">
      <c r="A139" t="s">
        <v>34</v>
      </c>
      <c r="B139">
        <v>2016</v>
      </c>
      <c r="C139" t="s">
        <v>43</v>
      </c>
      <c r="D139">
        <v>130.5</v>
      </c>
      <c r="F139">
        <v>137.9</v>
      </c>
      <c r="H139">
        <v>130.19999999999999</v>
      </c>
      <c r="J139">
        <v>134.80000000000001</v>
      </c>
      <c r="L139">
        <v>117.8</v>
      </c>
      <c r="N139">
        <v>134.69999999999999</v>
      </c>
      <c r="P139">
        <v>151.19999999999999</v>
      </c>
      <c r="R139">
        <v>172.1</v>
      </c>
      <c r="T139">
        <v>114.1</v>
      </c>
      <c r="V139">
        <v>139.30000000000001</v>
      </c>
      <c r="X139">
        <v>126.1</v>
      </c>
      <c r="Z139">
        <v>141.1</v>
      </c>
      <c r="AB139">
        <v>137</v>
      </c>
      <c r="AD139">
        <v>141.80000000000001</v>
      </c>
      <c r="AF139">
        <v>135.5</v>
      </c>
      <c r="AH139">
        <v>129.1</v>
      </c>
      <c r="AJ139">
        <v>134.5</v>
      </c>
      <c r="AL139">
        <v>128.69999999999999</v>
      </c>
      <c r="AN139">
        <v>124.3</v>
      </c>
      <c r="AP139">
        <v>128.4</v>
      </c>
      <c r="AR139">
        <v>126.1</v>
      </c>
      <c r="AT139">
        <v>115.2</v>
      </c>
      <c r="AV139">
        <v>123.5</v>
      </c>
      <c r="AX139">
        <v>132.4</v>
      </c>
      <c r="AZ139">
        <v>122.1</v>
      </c>
      <c r="BB139">
        <v>123.4</v>
      </c>
      <c r="BD139">
        <v>131.4</v>
      </c>
    </row>
    <row r="140" spans="1:56" hidden="1">
      <c r="A140" t="s">
        <v>30</v>
      </c>
      <c r="B140">
        <v>2016</v>
      </c>
      <c r="C140" t="s">
        <v>45</v>
      </c>
      <c r="D140">
        <v>132</v>
      </c>
      <c r="F140">
        <v>137.4</v>
      </c>
      <c r="H140">
        <v>130.6</v>
      </c>
      <c r="J140">
        <v>136.19999999999999</v>
      </c>
      <c r="L140">
        <v>121.1</v>
      </c>
      <c r="N140">
        <v>136.9</v>
      </c>
      <c r="P140">
        <v>141.80000000000001</v>
      </c>
      <c r="R140">
        <v>170</v>
      </c>
      <c r="T140">
        <v>113.4</v>
      </c>
      <c r="V140">
        <v>136.80000000000001</v>
      </c>
      <c r="X140">
        <v>128.69999999999999</v>
      </c>
      <c r="Z140">
        <v>143.1</v>
      </c>
      <c r="AB140">
        <v>136.6</v>
      </c>
      <c r="AD140">
        <v>141.19999999999999</v>
      </c>
      <c r="AF140">
        <v>139.9</v>
      </c>
      <c r="AH140">
        <v>134.5</v>
      </c>
      <c r="AJ140">
        <v>139.19999999999999</v>
      </c>
      <c r="AL140" t="s">
        <v>32</v>
      </c>
      <c r="AN140">
        <v>130.30000000000001</v>
      </c>
      <c r="AP140">
        <v>132.1</v>
      </c>
      <c r="AR140">
        <v>129.1</v>
      </c>
      <c r="AT140">
        <v>118.2</v>
      </c>
      <c r="AV140">
        <v>126.9</v>
      </c>
      <c r="AX140">
        <v>133.69999999999999</v>
      </c>
      <c r="AZ140">
        <v>123.5</v>
      </c>
      <c r="BB140">
        <v>126.1</v>
      </c>
      <c r="BD140">
        <v>133.6</v>
      </c>
    </row>
    <row r="141" spans="1:56">
      <c r="A141" t="s">
        <v>33</v>
      </c>
      <c r="B141">
        <v>2016</v>
      </c>
      <c r="C141" t="s">
        <v>45</v>
      </c>
      <c r="D141">
        <v>130.19999999999999</v>
      </c>
      <c r="F141">
        <v>138.5</v>
      </c>
      <c r="H141">
        <v>134.1</v>
      </c>
      <c r="J141">
        <v>132.9</v>
      </c>
      <c r="L141">
        <v>112.6</v>
      </c>
      <c r="N141">
        <v>130.80000000000001</v>
      </c>
      <c r="P141">
        <v>142</v>
      </c>
      <c r="R141">
        <v>174.9</v>
      </c>
      <c r="T141">
        <v>115.6</v>
      </c>
      <c r="V141">
        <v>145.4</v>
      </c>
      <c r="X141">
        <v>122.7</v>
      </c>
      <c r="Z141">
        <v>140.30000000000001</v>
      </c>
      <c r="AB141">
        <v>135.19999999999999</v>
      </c>
      <c r="AD141">
        <v>144.30000000000001</v>
      </c>
      <c r="AF141">
        <v>129.6</v>
      </c>
      <c r="AH141">
        <v>122.1</v>
      </c>
      <c r="AJ141">
        <v>128.5</v>
      </c>
      <c r="AL141">
        <v>129.1</v>
      </c>
      <c r="AN141">
        <v>116.2</v>
      </c>
      <c r="AP141">
        <v>124.7</v>
      </c>
      <c r="AR141">
        <v>122.1</v>
      </c>
      <c r="AT141">
        <v>113.4</v>
      </c>
      <c r="AV141">
        <v>121.7</v>
      </c>
      <c r="AX141">
        <v>132.1</v>
      </c>
      <c r="AZ141">
        <v>121.3</v>
      </c>
      <c r="BB141">
        <v>121.3</v>
      </c>
      <c r="BD141">
        <v>128.5</v>
      </c>
    </row>
    <row r="142" spans="1:56" hidden="1">
      <c r="A142" t="s">
        <v>34</v>
      </c>
      <c r="B142">
        <v>2016</v>
      </c>
      <c r="C142" t="s">
        <v>45</v>
      </c>
      <c r="D142">
        <v>131.4</v>
      </c>
      <c r="F142">
        <v>137.80000000000001</v>
      </c>
      <c r="H142">
        <v>132</v>
      </c>
      <c r="J142">
        <v>135</v>
      </c>
      <c r="L142">
        <v>118</v>
      </c>
      <c r="N142">
        <v>134.1</v>
      </c>
      <c r="P142">
        <v>141.9</v>
      </c>
      <c r="R142">
        <v>171.7</v>
      </c>
      <c r="T142">
        <v>114.1</v>
      </c>
      <c r="V142">
        <v>139.69999999999999</v>
      </c>
      <c r="X142">
        <v>126.2</v>
      </c>
      <c r="Z142">
        <v>141.80000000000001</v>
      </c>
      <c r="AB142">
        <v>136.1</v>
      </c>
      <c r="AD142">
        <v>142</v>
      </c>
      <c r="AF142">
        <v>135.80000000000001</v>
      </c>
      <c r="AH142">
        <v>129.30000000000001</v>
      </c>
      <c r="AJ142">
        <v>135</v>
      </c>
      <c r="AL142">
        <v>129.1</v>
      </c>
      <c r="AN142">
        <v>125</v>
      </c>
      <c r="AP142">
        <v>128.6</v>
      </c>
      <c r="AR142">
        <v>126.4</v>
      </c>
      <c r="AT142">
        <v>115.7</v>
      </c>
      <c r="AV142">
        <v>124</v>
      </c>
      <c r="AX142">
        <v>132.80000000000001</v>
      </c>
      <c r="AZ142">
        <v>122.6</v>
      </c>
      <c r="BB142">
        <v>123.8</v>
      </c>
      <c r="BD142">
        <v>131.19999999999999</v>
      </c>
    </row>
    <row r="143" spans="1:56" hidden="1">
      <c r="A143" t="s">
        <v>30</v>
      </c>
      <c r="B143">
        <v>2016</v>
      </c>
      <c r="C143" t="s">
        <v>46</v>
      </c>
      <c r="D143">
        <v>132.6</v>
      </c>
      <c r="F143">
        <v>137.30000000000001</v>
      </c>
      <c r="H143">
        <v>131.6</v>
      </c>
      <c r="J143">
        <v>136.30000000000001</v>
      </c>
      <c r="L143">
        <v>121.6</v>
      </c>
      <c r="N143">
        <v>135.6</v>
      </c>
      <c r="P143">
        <v>127.5</v>
      </c>
      <c r="R143">
        <v>167.9</v>
      </c>
      <c r="T143">
        <v>113.8</v>
      </c>
      <c r="V143">
        <v>137.5</v>
      </c>
      <c r="X143">
        <v>129.1</v>
      </c>
      <c r="Z143">
        <v>143.6</v>
      </c>
      <c r="AB143">
        <v>134.69999999999999</v>
      </c>
      <c r="AD143">
        <v>142.4</v>
      </c>
      <c r="AF143">
        <v>140.4</v>
      </c>
      <c r="AH143">
        <v>135.19999999999999</v>
      </c>
      <c r="AJ143">
        <v>139.69999999999999</v>
      </c>
      <c r="AL143" t="s">
        <v>32</v>
      </c>
      <c r="AN143">
        <v>132</v>
      </c>
      <c r="AP143">
        <v>132.9</v>
      </c>
      <c r="AR143">
        <v>129.69999999999999</v>
      </c>
      <c r="AT143">
        <v>118.6</v>
      </c>
      <c r="AV143">
        <v>127.3</v>
      </c>
      <c r="AX143">
        <v>134.19999999999999</v>
      </c>
      <c r="AZ143">
        <v>121.9</v>
      </c>
      <c r="BB143">
        <v>126.3</v>
      </c>
      <c r="BD143">
        <v>132.80000000000001</v>
      </c>
    </row>
    <row r="144" spans="1:56">
      <c r="A144" t="s">
        <v>33</v>
      </c>
      <c r="B144">
        <v>2016</v>
      </c>
      <c r="C144" t="s">
        <v>46</v>
      </c>
      <c r="D144">
        <v>131.6</v>
      </c>
      <c r="F144">
        <v>138.19999999999999</v>
      </c>
      <c r="H144">
        <v>134.9</v>
      </c>
      <c r="J144">
        <v>133.1</v>
      </c>
      <c r="L144">
        <v>113.5</v>
      </c>
      <c r="N144">
        <v>129.30000000000001</v>
      </c>
      <c r="P144">
        <v>121.1</v>
      </c>
      <c r="R144">
        <v>170.3</v>
      </c>
      <c r="T144">
        <v>115.5</v>
      </c>
      <c r="V144">
        <v>145.5</v>
      </c>
      <c r="X144">
        <v>123.1</v>
      </c>
      <c r="Z144">
        <v>140.9</v>
      </c>
      <c r="AB144">
        <v>132.80000000000001</v>
      </c>
      <c r="AD144">
        <v>145</v>
      </c>
      <c r="AF144">
        <v>130</v>
      </c>
      <c r="AH144">
        <v>122.2</v>
      </c>
      <c r="AJ144">
        <v>128.80000000000001</v>
      </c>
      <c r="AL144">
        <v>128.5</v>
      </c>
      <c r="AN144">
        <v>117.8</v>
      </c>
      <c r="AP144">
        <v>125</v>
      </c>
      <c r="AR144">
        <v>122.3</v>
      </c>
      <c r="AT144">
        <v>113.7</v>
      </c>
      <c r="AV144">
        <v>121.8</v>
      </c>
      <c r="AX144">
        <v>132.30000000000001</v>
      </c>
      <c r="AZ144">
        <v>119.9</v>
      </c>
      <c r="BB144">
        <v>121.4</v>
      </c>
      <c r="BD144">
        <v>127.6</v>
      </c>
    </row>
    <row r="145" spans="1:56" hidden="1">
      <c r="A145" t="s">
        <v>34</v>
      </c>
      <c r="B145">
        <v>2016</v>
      </c>
      <c r="C145" t="s">
        <v>46</v>
      </c>
      <c r="D145">
        <v>132.30000000000001</v>
      </c>
      <c r="F145">
        <v>137.6</v>
      </c>
      <c r="H145">
        <v>132.9</v>
      </c>
      <c r="J145">
        <v>135.1</v>
      </c>
      <c r="L145">
        <v>118.6</v>
      </c>
      <c r="N145">
        <v>132.69999999999999</v>
      </c>
      <c r="P145">
        <v>125.3</v>
      </c>
      <c r="R145">
        <v>168.7</v>
      </c>
      <c r="T145">
        <v>114.4</v>
      </c>
      <c r="V145">
        <v>140.19999999999999</v>
      </c>
      <c r="X145">
        <v>126.6</v>
      </c>
      <c r="Z145">
        <v>142.30000000000001</v>
      </c>
      <c r="AB145">
        <v>134</v>
      </c>
      <c r="AD145">
        <v>143.1</v>
      </c>
      <c r="AF145">
        <v>136.30000000000001</v>
      </c>
      <c r="AH145">
        <v>129.80000000000001</v>
      </c>
      <c r="AJ145">
        <v>135.4</v>
      </c>
      <c r="AL145">
        <v>128.5</v>
      </c>
      <c r="AN145">
        <v>126.6</v>
      </c>
      <c r="AP145">
        <v>129.19999999999999</v>
      </c>
      <c r="AR145">
        <v>126.9</v>
      </c>
      <c r="AT145">
        <v>116</v>
      </c>
      <c r="AV145">
        <v>124.2</v>
      </c>
      <c r="AX145">
        <v>133.1</v>
      </c>
      <c r="AZ145">
        <v>121.1</v>
      </c>
      <c r="BB145">
        <v>123.9</v>
      </c>
      <c r="BD145">
        <v>130.4</v>
      </c>
    </row>
    <row r="146" spans="1:56" hidden="1">
      <c r="A146" t="s">
        <v>30</v>
      </c>
      <c r="B146">
        <v>2017</v>
      </c>
      <c r="C146" t="s">
        <v>31</v>
      </c>
      <c r="D146">
        <v>133.1</v>
      </c>
      <c r="F146">
        <v>137.80000000000001</v>
      </c>
      <c r="H146">
        <v>131.9</v>
      </c>
      <c r="J146">
        <v>136.69999999999999</v>
      </c>
      <c r="L146">
        <v>122</v>
      </c>
      <c r="N146">
        <v>136</v>
      </c>
      <c r="P146">
        <v>119.8</v>
      </c>
      <c r="R146">
        <v>161.69999999999999</v>
      </c>
      <c r="T146">
        <v>114.8</v>
      </c>
      <c r="V146">
        <v>136.9</v>
      </c>
      <c r="X146">
        <v>129</v>
      </c>
      <c r="Z146">
        <v>143.9</v>
      </c>
      <c r="AB146">
        <v>133.69999999999999</v>
      </c>
      <c r="AD146">
        <v>143.1</v>
      </c>
      <c r="AF146">
        <v>140.69999999999999</v>
      </c>
      <c r="AH146">
        <v>135.80000000000001</v>
      </c>
      <c r="AJ146">
        <v>140</v>
      </c>
      <c r="AL146" t="s">
        <v>32</v>
      </c>
      <c r="AN146">
        <v>132.1</v>
      </c>
      <c r="AP146">
        <v>133.19999999999999</v>
      </c>
      <c r="AR146">
        <v>129.9</v>
      </c>
      <c r="AT146">
        <v>119.1</v>
      </c>
      <c r="AV146">
        <v>127</v>
      </c>
      <c r="AX146">
        <v>134.6</v>
      </c>
      <c r="AZ146">
        <v>122.3</v>
      </c>
      <c r="BB146">
        <v>126.6</v>
      </c>
      <c r="BD146">
        <v>132.4</v>
      </c>
    </row>
    <row r="147" spans="1:56">
      <c r="A147" t="s">
        <v>33</v>
      </c>
      <c r="B147">
        <v>2017</v>
      </c>
      <c r="C147" t="s">
        <v>31</v>
      </c>
      <c r="D147">
        <v>132.19999999999999</v>
      </c>
      <c r="F147">
        <v>138.9</v>
      </c>
      <c r="H147">
        <v>132.6</v>
      </c>
      <c r="J147">
        <v>133.1</v>
      </c>
      <c r="L147">
        <v>114</v>
      </c>
      <c r="N147">
        <v>129.6</v>
      </c>
      <c r="P147">
        <v>118.7</v>
      </c>
      <c r="R147">
        <v>155.1</v>
      </c>
      <c r="T147">
        <v>117.3</v>
      </c>
      <c r="V147">
        <v>144.9</v>
      </c>
      <c r="X147">
        <v>123.2</v>
      </c>
      <c r="Z147">
        <v>141.6</v>
      </c>
      <c r="AB147">
        <v>132</v>
      </c>
      <c r="AD147">
        <v>145.6</v>
      </c>
      <c r="AF147">
        <v>130.19999999999999</v>
      </c>
      <c r="AH147">
        <v>122.3</v>
      </c>
      <c r="AJ147">
        <v>129</v>
      </c>
      <c r="AL147">
        <v>129.6</v>
      </c>
      <c r="AN147">
        <v>118</v>
      </c>
      <c r="AP147">
        <v>125.1</v>
      </c>
      <c r="AR147">
        <v>122.6</v>
      </c>
      <c r="AT147">
        <v>115.2</v>
      </c>
      <c r="AV147">
        <v>122</v>
      </c>
      <c r="AX147">
        <v>132.4</v>
      </c>
      <c r="AZ147">
        <v>120.9</v>
      </c>
      <c r="BB147">
        <v>122.1</v>
      </c>
      <c r="BD147">
        <v>127.8</v>
      </c>
    </row>
    <row r="148" spans="1:56" hidden="1">
      <c r="A148" t="s">
        <v>34</v>
      </c>
      <c r="B148">
        <v>2017</v>
      </c>
      <c r="C148" t="s">
        <v>31</v>
      </c>
      <c r="D148">
        <v>132.80000000000001</v>
      </c>
      <c r="F148">
        <v>138.19999999999999</v>
      </c>
      <c r="H148">
        <v>132.19999999999999</v>
      </c>
      <c r="J148">
        <v>135.4</v>
      </c>
      <c r="L148">
        <v>119.1</v>
      </c>
      <c r="N148">
        <v>133</v>
      </c>
      <c r="P148">
        <v>119.4</v>
      </c>
      <c r="R148">
        <v>159.5</v>
      </c>
      <c r="T148">
        <v>115.6</v>
      </c>
      <c r="V148">
        <v>139.6</v>
      </c>
      <c r="X148">
        <v>126.6</v>
      </c>
      <c r="Z148">
        <v>142.80000000000001</v>
      </c>
      <c r="AB148">
        <v>133.1</v>
      </c>
      <c r="AD148">
        <v>143.80000000000001</v>
      </c>
      <c r="AF148">
        <v>136.6</v>
      </c>
      <c r="AH148">
        <v>130.19999999999999</v>
      </c>
      <c r="AJ148">
        <v>135.6</v>
      </c>
      <c r="AL148">
        <v>129.6</v>
      </c>
      <c r="AN148">
        <v>126.8</v>
      </c>
      <c r="AP148">
        <v>129.4</v>
      </c>
      <c r="AR148">
        <v>127.1</v>
      </c>
      <c r="AT148">
        <v>117</v>
      </c>
      <c r="AV148">
        <v>124.2</v>
      </c>
      <c r="AX148">
        <v>133.30000000000001</v>
      </c>
      <c r="AZ148">
        <v>121.7</v>
      </c>
      <c r="BB148">
        <v>124.4</v>
      </c>
      <c r="BD148">
        <v>130.30000000000001</v>
      </c>
    </row>
    <row r="149" spans="1:56" hidden="1">
      <c r="A149" t="s">
        <v>30</v>
      </c>
      <c r="B149">
        <v>2017</v>
      </c>
      <c r="C149" t="s">
        <v>35</v>
      </c>
      <c r="D149">
        <v>133.30000000000001</v>
      </c>
      <c r="F149">
        <v>138.30000000000001</v>
      </c>
      <c r="H149">
        <v>129.30000000000001</v>
      </c>
      <c r="J149">
        <v>137.19999999999999</v>
      </c>
      <c r="L149">
        <v>122.1</v>
      </c>
      <c r="N149">
        <v>138.69999999999999</v>
      </c>
      <c r="P149">
        <v>119.1</v>
      </c>
      <c r="R149">
        <v>156.9</v>
      </c>
      <c r="T149">
        <v>116.2</v>
      </c>
      <c r="V149">
        <v>136</v>
      </c>
      <c r="X149">
        <v>129.4</v>
      </c>
      <c r="Z149">
        <v>144.4</v>
      </c>
      <c r="AB149">
        <v>133.6</v>
      </c>
      <c r="AD149">
        <v>143.69999999999999</v>
      </c>
      <c r="AF149">
        <v>140.9</v>
      </c>
      <c r="AH149">
        <v>135.80000000000001</v>
      </c>
      <c r="AJ149">
        <v>140.19999999999999</v>
      </c>
      <c r="AL149" t="s">
        <v>32</v>
      </c>
      <c r="AN149">
        <v>133.19999999999999</v>
      </c>
      <c r="AP149">
        <v>133.6</v>
      </c>
      <c r="AR149">
        <v>130.1</v>
      </c>
      <c r="AT149">
        <v>119.5</v>
      </c>
      <c r="AV149">
        <v>127.7</v>
      </c>
      <c r="AX149">
        <v>134.9</v>
      </c>
      <c r="AZ149">
        <v>123.2</v>
      </c>
      <c r="BB149">
        <v>127</v>
      </c>
      <c r="BD149">
        <v>132.6</v>
      </c>
    </row>
    <row r="150" spans="1:56">
      <c r="A150" t="s">
        <v>33</v>
      </c>
      <c r="B150">
        <v>2017</v>
      </c>
      <c r="C150" t="s">
        <v>35</v>
      </c>
      <c r="D150">
        <v>132.80000000000001</v>
      </c>
      <c r="F150">
        <v>139.80000000000001</v>
      </c>
      <c r="H150">
        <v>129.30000000000001</v>
      </c>
      <c r="J150">
        <v>133.5</v>
      </c>
      <c r="L150">
        <v>114.3</v>
      </c>
      <c r="N150">
        <v>131.4</v>
      </c>
      <c r="P150">
        <v>120.2</v>
      </c>
      <c r="R150">
        <v>143.1</v>
      </c>
      <c r="T150">
        <v>119.5</v>
      </c>
      <c r="V150">
        <v>144</v>
      </c>
      <c r="X150">
        <v>123.4</v>
      </c>
      <c r="Z150">
        <v>141.9</v>
      </c>
      <c r="AB150">
        <v>132.1</v>
      </c>
      <c r="AD150">
        <v>146.30000000000001</v>
      </c>
      <c r="AF150">
        <v>130.5</v>
      </c>
      <c r="AH150">
        <v>122.5</v>
      </c>
      <c r="AJ150">
        <v>129.30000000000001</v>
      </c>
      <c r="AL150">
        <v>130.5</v>
      </c>
      <c r="AN150">
        <v>119.2</v>
      </c>
      <c r="AP150">
        <v>125.3</v>
      </c>
      <c r="AR150">
        <v>122.9</v>
      </c>
      <c r="AT150">
        <v>115.5</v>
      </c>
      <c r="AV150">
        <v>122.2</v>
      </c>
      <c r="AX150">
        <v>132.4</v>
      </c>
      <c r="AZ150">
        <v>121.7</v>
      </c>
      <c r="BB150">
        <v>122.4</v>
      </c>
      <c r="BD150">
        <v>128.19999999999999</v>
      </c>
    </row>
    <row r="151" spans="1:56" hidden="1">
      <c r="A151" t="s">
        <v>34</v>
      </c>
      <c r="B151">
        <v>2017</v>
      </c>
      <c r="C151" t="s">
        <v>35</v>
      </c>
      <c r="D151">
        <v>133.1</v>
      </c>
      <c r="F151">
        <v>138.80000000000001</v>
      </c>
      <c r="H151">
        <v>129.30000000000001</v>
      </c>
      <c r="J151">
        <v>135.80000000000001</v>
      </c>
      <c r="L151">
        <v>119.2</v>
      </c>
      <c r="N151">
        <v>135.30000000000001</v>
      </c>
      <c r="P151">
        <v>119.5</v>
      </c>
      <c r="R151">
        <v>152.19999999999999</v>
      </c>
      <c r="T151">
        <v>117.3</v>
      </c>
      <c r="V151">
        <v>138.69999999999999</v>
      </c>
      <c r="X151">
        <v>126.9</v>
      </c>
      <c r="Z151">
        <v>143.19999999999999</v>
      </c>
      <c r="AB151">
        <v>133</v>
      </c>
      <c r="AD151">
        <v>144.4</v>
      </c>
      <c r="AF151">
        <v>136.80000000000001</v>
      </c>
      <c r="AH151">
        <v>130.30000000000001</v>
      </c>
      <c r="AJ151">
        <v>135.9</v>
      </c>
      <c r="AL151">
        <v>130.5</v>
      </c>
      <c r="AN151">
        <v>127.9</v>
      </c>
      <c r="AP151">
        <v>129.69999999999999</v>
      </c>
      <c r="AR151">
        <v>127.4</v>
      </c>
      <c r="AT151">
        <v>117.4</v>
      </c>
      <c r="AV151">
        <v>124.6</v>
      </c>
      <c r="AX151">
        <v>133.4</v>
      </c>
      <c r="AZ151">
        <v>122.6</v>
      </c>
      <c r="BB151">
        <v>124.8</v>
      </c>
      <c r="BD151">
        <v>130.6</v>
      </c>
    </row>
    <row r="152" spans="1:56" hidden="1">
      <c r="A152" t="s">
        <v>30</v>
      </c>
      <c r="B152">
        <v>2017</v>
      </c>
      <c r="C152" t="s">
        <v>36</v>
      </c>
      <c r="D152">
        <v>133.6</v>
      </c>
      <c r="F152">
        <v>138.80000000000001</v>
      </c>
      <c r="H152">
        <v>128.80000000000001</v>
      </c>
      <c r="J152">
        <v>137.19999999999999</v>
      </c>
      <c r="L152">
        <v>121.6</v>
      </c>
      <c r="N152">
        <v>139.69999999999999</v>
      </c>
      <c r="P152">
        <v>119.7</v>
      </c>
      <c r="R152">
        <v>148</v>
      </c>
      <c r="T152">
        <v>116.9</v>
      </c>
      <c r="V152">
        <v>135.6</v>
      </c>
      <c r="X152">
        <v>129.80000000000001</v>
      </c>
      <c r="Z152">
        <v>145.4</v>
      </c>
      <c r="AB152">
        <v>133.4</v>
      </c>
      <c r="AD152">
        <v>144.19999999999999</v>
      </c>
      <c r="AF152">
        <v>141.6</v>
      </c>
      <c r="AH152">
        <v>136.19999999999999</v>
      </c>
      <c r="AJ152">
        <v>140.80000000000001</v>
      </c>
      <c r="AL152" t="s">
        <v>32</v>
      </c>
      <c r="AN152">
        <v>134.19999999999999</v>
      </c>
      <c r="AP152">
        <v>134.1</v>
      </c>
      <c r="AR152">
        <v>130.6</v>
      </c>
      <c r="AT152">
        <v>119.8</v>
      </c>
      <c r="AV152">
        <v>128.30000000000001</v>
      </c>
      <c r="AX152">
        <v>135.19999999999999</v>
      </c>
      <c r="AZ152">
        <v>123.3</v>
      </c>
      <c r="BB152">
        <v>127.4</v>
      </c>
      <c r="BD152">
        <v>132.80000000000001</v>
      </c>
    </row>
    <row r="153" spans="1:56">
      <c r="A153" t="s">
        <v>33</v>
      </c>
      <c r="B153">
        <v>2017</v>
      </c>
      <c r="C153" t="s">
        <v>36</v>
      </c>
      <c r="D153">
        <v>132.69999999999999</v>
      </c>
      <c r="F153">
        <v>139.4</v>
      </c>
      <c r="H153">
        <v>128.4</v>
      </c>
      <c r="J153">
        <v>134.9</v>
      </c>
      <c r="L153">
        <v>114</v>
      </c>
      <c r="N153">
        <v>136.80000000000001</v>
      </c>
      <c r="P153">
        <v>122.2</v>
      </c>
      <c r="R153">
        <v>135.80000000000001</v>
      </c>
      <c r="T153">
        <v>120.3</v>
      </c>
      <c r="V153">
        <v>142.6</v>
      </c>
      <c r="X153">
        <v>123.6</v>
      </c>
      <c r="Z153">
        <v>142.4</v>
      </c>
      <c r="AB153">
        <v>132.6</v>
      </c>
      <c r="AD153">
        <v>147.5</v>
      </c>
      <c r="AF153">
        <v>130.80000000000001</v>
      </c>
      <c r="AH153">
        <v>122.8</v>
      </c>
      <c r="AJ153">
        <v>129.6</v>
      </c>
      <c r="AL153">
        <v>131.1</v>
      </c>
      <c r="AN153">
        <v>120.8</v>
      </c>
      <c r="AP153">
        <v>125.6</v>
      </c>
      <c r="AR153">
        <v>123.1</v>
      </c>
      <c r="AT153">
        <v>115.6</v>
      </c>
      <c r="AV153">
        <v>122.4</v>
      </c>
      <c r="AX153">
        <v>132.80000000000001</v>
      </c>
      <c r="AZ153">
        <v>121.7</v>
      </c>
      <c r="BB153">
        <v>122.6</v>
      </c>
      <c r="BD153">
        <v>128.69999999999999</v>
      </c>
    </row>
    <row r="154" spans="1:56" hidden="1">
      <c r="A154" t="s">
        <v>34</v>
      </c>
      <c r="B154">
        <v>2017</v>
      </c>
      <c r="C154" t="s">
        <v>36</v>
      </c>
      <c r="D154">
        <v>133.30000000000001</v>
      </c>
      <c r="F154">
        <v>139</v>
      </c>
      <c r="H154">
        <v>128.6</v>
      </c>
      <c r="J154">
        <v>136.30000000000001</v>
      </c>
      <c r="L154">
        <v>118.8</v>
      </c>
      <c r="N154">
        <v>138.30000000000001</v>
      </c>
      <c r="P154">
        <v>120.5</v>
      </c>
      <c r="R154">
        <v>143.9</v>
      </c>
      <c r="T154">
        <v>118</v>
      </c>
      <c r="V154">
        <v>137.9</v>
      </c>
      <c r="X154">
        <v>127.2</v>
      </c>
      <c r="Z154">
        <v>144</v>
      </c>
      <c r="AB154">
        <v>133.1</v>
      </c>
      <c r="AD154">
        <v>145.1</v>
      </c>
      <c r="AF154">
        <v>137.30000000000001</v>
      </c>
      <c r="AH154">
        <v>130.6</v>
      </c>
      <c r="AJ154">
        <v>136.4</v>
      </c>
      <c r="AL154">
        <v>131.1</v>
      </c>
      <c r="AN154">
        <v>129.1</v>
      </c>
      <c r="AP154">
        <v>130.1</v>
      </c>
      <c r="AR154">
        <v>127.8</v>
      </c>
      <c r="AT154">
        <v>117.6</v>
      </c>
      <c r="AV154">
        <v>125</v>
      </c>
      <c r="AX154">
        <v>133.80000000000001</v>
      </c>
      <c r="AZ154">
        <v>122.6</v>
      </c>
      <c r="BB154">
        <v>125.1</v>
      </c>
      <c r="BD154">
        <v>130.9</v>
      </c>
    </row>
    <row r="155" spans="1:56" hidden="1">
      <c r="A155" t="s">
        <v>30</v>
      </c>
      <c r="B155">
        <v>2017</v>
      </c>
      <c r="C155" t="s">
        <v>37</v>
      </c>
      <c r="D155">
        <v>133.19999999999999</v>
      </c>
      <c r="F155">
        <v>138.69999999999999</v>
      </c>
      <c r="H155">
        <v>127.1</v>
      </c>
      <c r="J155">
        <v>137.69999999999999</v>
      </c>
      <c r="L155">
        <v>121.3</v>
      </c>
      <c r="N155">
        <v>141.80000000000001</v>
      </c>
      <c r="P155">
        <v>121.5</v>
      </c>
      <c r="R155">
        <v>144.5</v>
      </c>
      <c r="T155">
        <v>117.4</v>
      </c>
      <c r="V155">
        <v>134.1</v>
      </c>
      <c r="X155">
        <v>130</v>
      </c>
      <c r="Z155">
        <v>145.5</v>
      </c>
      <c r="AB155">
        <v>133.5</v>
      </c>
      <c r="AD155">
        <v>144.4</v>
      </c>
      <c r="AF155">
        <v>142.4</v>
      </c>
      <c r="AH155">
        <v>136.80000000000001</v>
      </c>
      <c r="AJ155">
        <v>141.6</v>
      </c>
      <c r="AL155" t="s">
        <v>32</v>
      </c>
      <c r="AN155">
        <v>135</v>
      </c>
      <c r="AP155">
        <v>134.30000000000001</v>
      </c>
      <c r="AR155">
        <v>131</v>
      </c>
      <c r="AT155">
        <v>119.2</v>
      </c>
      <c r="AV155">
        <v>128.30000000000001</v>
      </c>
      <c r="AX155">
        <v>135.69999999999999</v>
      </c>
      <c r="AZ155">
        <v>123.7</v>
      </c>
      <c r="BB155">
        <v>127.5</v>
      </c>
      <c r="BD155">
        <v>132.9</v>
      </c>
    </row>
    <row r="156" spans="1:56">
      <c r="A156" t="s">
        <v>33</v>
      </c>
      <c r="B156">
        <v>2017</v>
      </c>
      <c r="C156" t="s">
        <v>37</v>
      </c>
      <c r="D156">
        <v>132.69999999999999</v>
      </c>
      <c r="F156">
        <v>140.6</v>
      </c>
      <c r="H156">
        <v>124.5</v>
      </c>
      <c r="J156">
        <v>136.30000000000001</v>
      </c>
      <c r="L156">
        <v>113.5</v>
      </c>
      <c r="N156">
        <v>137.69999999999999</v>
      </c>
      <c r="P156">
        <v>127.1</v>
      </c>
      <c r="R156">
        <v>133.80000000000001</v>
      </c>
      <c r="T156">
        <v>120.8</v>
      </c>
      <c r="V156">
        <v>141.30000000000001</v>
      </c>
      <c r="X156">
        <v>123.8</v>
      </c>
      <c r="Z156">
        <v>142.6</v>
      </c>
      <c r="AB156">
        <v>133.4</v>
      </c>
      <c r="AD156">
        <v>148</v>
      </c>
      <c r="AF156">
        <v>131.19999999999999</v>
      </c>
      <c r="AH156">
        <v>123</v>
      </c>
      <c r="AJ156">
        <v>130</v>
      </c>
      <c r="AL156">
        <v>131.69999999999999</v>
      </c>
      <c r="AN156">
        <v>121.4</v>
      </c>
      <c r="AP156">
        <v>126</v>
      </c>
      <c r="AR156">
        <v>123.4</v>
      </c>
      <c r="AT156">
        <v>114.3</v>
      </c>
      <c r="AV156">
        <v>122.6</v>
      </c>
      <c r="AX156">
        <v>133.6</v>
      </c>
      <c r="AZ156">
        <v>122.2</v>
      </c>
      <c r="BB156">
        <v>122.5</v>
      </c>
      <c r="BD156">
        <v>129.1</v>
      </c>
    </row>
    <row r="157" spans="1:56" hidden="1">
      <c r="A157" t="s">
        <v>34</v>
      </c>
      <c r="B157">
        <v>2017</v>
      </c>
      <c r="C157" t="s">
        <v>37</v>
      </c>
      <c r="D157">
        <v>133</v>
      </c>
      <c r="F157">
        <v>139.4</v>
      </c>
      <c r="H157">
        <v>126.1</v>
      </c>
      <c r="J157">
        <v>137.19999999999999</v>
      </c>
      <c r="L157">
        <v>118.4</v>
      </c>
      <c r="N157">
        <v>139.9</v>
      </c>
      <c r="P157">
        <v>123.4</v>
      </c>
      <c r="R157">
        <v>140.9</v>
      </c>
      <c r="T157">
        <v>118.5</v>
      </c>
      <c r="V157">
        <v>136.5</v>
      </c>
      <c r="X157">
        <v>127.4</v>
      </c>
      <c r="Z157">
        <v>144.19999999999999</v>
      </c>
      <c r="AB157">
        <v>133.5</v>
      </c>
      <c r="AD157">
        <v>145.4</v>
      </c>
      <c r="AF157">
        <v>138</v>
      </c>
      <c r="AH157">
        <v>131.1</v>
      </c>
      <c r="AJ157">
        <v>137</v>
      </c>
      <c r="AL157">
        <v>131.69999999999999</v>
      </c>
      <c r="AN157">
        <v>129.80000000000001</v>
      </c>
      <c r="AP157">
        <v>130.4</v>
      </c>
      <c r="AR157">
        <v>128.1</v>
      </c>
      <c r="AT157">
        <v>116.6</v>
      </c>
      <c r="AV157">
        <v>125.1</v>
      </c>
      <c r="AX157">
        <v>134.5</v>
      </c>
      <c r="AZ157">
        <v>123.1</v>
      </c>
      <c r="BB157">
        <v>125.1</v>
      </c>
      <c r="BD157">
        <v>131.1</v>
      </c>
    </row>
    <row r="158" spans="1:56" hidden="1">
      <c r="A158" t="s">
        <v>30</v>
      </c>
      <c r="B158">
        <v>2017</v>
      </c>
      <c r="C158" t="s">
        <v>38</v>
      </c>
      <c r="D158">
        <v>133.1</v>
      </c>
      <c r="F158">
        <v>140.30000000000001</v>
      </c>
      <c r="H158">
        <v>126.8</v>
      </c>
      <c r="J158">
        <v>138.19999999999999</v>
      </c>
      <c r="L158">
        <v>120.8</v>
      </c>
      <c r="N158">
        <v>140.19999999999999</v>
      </c>
      <c r="P158">
        <v>123.8</v>
      </c>
      <c r="R158">
        <v>141.80000000000001</v>
      </c>
      <c r="T158">
        <v>118.6</v>
      </c>
      <c r="V158">
        <v>134</v>
      </c>
      <c r="X158">
        <v>130.30000000000001</v>
      </c>
      <c r="Z158">
        <v>145.80000000000001</v>
      </c>
      <c r="AB158">
        <v>133.80000000000001</v>
      </c>
      <c r="AD158">
        <v>145.5</v>
      </c>
      <c r="AF158">
        <v>142.5</v>
      </c>
      <c r="AH158">
        <v>137.30000000000001</v>
      </c>
      <c r="AJ158">
        <v>141.80000000000001</v>
      </c>
      <c r="AL158" t="s">
        <v>32</v>
      </c>
      <c r="AN158">
        <v>135</v>
      </c>
      <c r="AP158">
        <v>134.9</v>
      </c>
      <c r="AR158">
        <v>131.4</v>
      </c>
      <c r="AT158">
        <v>119.4</v>
      </c>
      <c r="AV158">
        <v>129.4</v>
      </c>
      <c r="AX158">
        <v>136.30000000000001</v>
      </c>
      <c r="AZ158">
        <v>123.7</v>
      </c>
      <c r="BB158">
        <v>127.9</v>
      </c>
      <c r="BD158">
        <v>133.30000000000001</v>
      </c>
    </row>
    <row r="159" spans="1:56">
      <c r="A159" t="s">
        <v>33</v>
      </c>
      <c r="B159">
        <v>2017</v>
      </c>
      <c r="C159" t="s">
        <v>38</v>
      </c>
      <c r="D159">
        <v>132.6</v>
      </c>
      <c r="F159">
        <v>144.1</v>
      </c>
      <c r="H159">
        <v>125.6</v>
      </c>
      <c r="J159">
        <v>136.80000000000001</v>
      </c>
      <c r="L159">
        <v>113.4</v>
      </c>
      <c r="N159">
        <v>135.19999999999999</v>
      </c>
      <c r="P159">
        <v>129.19999999999999</v>
      </c>
      <c r="R159">
        <v>131.5</v>
      </c>
      <c r="T159">
        <v>121</v>
      </c>
      <c r="V159">
        <v>139.9</v>
      </c>
      <c r="X159">
        <v>123.8</v>
      </c>
      <c r="Z159">
        <v>142.9</v>
      </c>
      <c r="AB159">
        <v>133.6</v>
      </c>
      <c r="AD159">
        <v>148.30000000000001</v>
      </c>
      <c r="AF159">
        <v>131.5</v>
      </c>
      <c r="AH159">
        <v>123.2</v>
      </c>
      <c r="AJ159">
        <v>130.19999999999999</v>
      </c>
      <c r="AL159">
        <v>132.1</v>
      </c>
      <c r="AN159">
        <v>120.1</v>
      </c>
      <c r="AP159">
        <v>126.5</v>
      </c>
      <c r="AR159">
        <v>123.6</v>
      </c>
      <c r="AT159">
        <v>114.3</v>
      </c>
      <c r="AV159">
        <v>122.8</v>
      </c>
      <c r="AX159">
        <v>133.80000000000001</v>
      </c>
      <c r="AZ159">
        <v>122</v>
      </c>
      <c r="BB159">
        <v>122.6</v>
      </c>
      <c r="BD159">
        <v>129.30000000000001</v>
      </c>
    </row>
    <row r="160" spans="1:56" hidden="1">
      <c r="A160" t="s">
        <v>34</v>
      </c>
      <c r="B160">
        <v>2017</v>
      </c>
      <c r="C160" t="s">
        <v>38</v>
      </c>
      <c r="D160">
        <v>132.9</v>
      </c>
      <c r="F160">
        <v>141.6</v>
      </c>
      <c r="H160">
        <v>126.3</v>
      </c>
      <c r="J160">
        <v>137.69999999999999</v>
      </c>
      <c r="L160">
        <v>118.1</v>
      </c>
      <c r="N160">
        <v>137.9</v>
      </c>
      <c r="P160">
        <v>125.6</v>
      </c>
      <c r="R160">
        <v>138.30000000000001</v>
      </c>
      <c r="T160">
        <v>119.4</v>
      </c>
      <c r="V160">
        <v>136</v>
      </c>
      <c r="X160">
        <v>127.6</v>
      </c>
      <c r="Z160">
        <v>144.5</v>
      </c>
      <c r="AB160">
        <v>133.69999999999999</v>
      </c>
      <c r="AD160">
        <v>146.19999999999999</v>
      </c>
      <c r="AF160">
        <v>138.19999999999999</v>
      </c>
      <c r="AH160">
        <v>131.4</v>
      </c>
      <c r="AJ160">
        <v>137.19999999999999</v>
      </c>
      <c r="AL160">
        <v>132.1</v>
      </c>
      <c r="AN160">
        <v>129.4</v>
      </c>
      <c r="AP160">
        <v>130.9</v>
      </c>
      <c r="AR160">
        <v>128.4</v>
      </c>
      <c r="AT160">
        <v>116.7</v>
      </c>
      <c r="AV160">
        <v>125.7</v>
      </c>
      <c r="AX160">
        <v>134.80000000000001</v>
      </c>
      <c r="AZ160">
        <v>123</v>
      </c>
      <c r="BB160">
        <v>125.3</v>
      </c>
      <c r="BD160">
        <v>131.4</v>
      </c>
    </row>
    <row r="161" spans="1:56" hidden="1">
      <c r="A161" t="s">
        <v>30</v>
      </c>
      <c r="B161">
        <v>2017</v>
      </c>
      <c r="C161" t="s">
        <v>39</v>
      </c>
      <c r="D161">
        <v>133.5</v>
      </c>
      <c r="F161">
        <v>143.69999999999999</v>
      </c>
      <c r="H161">
        <v>128</v>
      </c>
      <c r="J161">
        <v>138.6</v>
      </c>
      <c r="L161">
        <v>120.9</v>
      </c>
      <c r="N161">
        <v>140.9</v>
      </c>
      <c r="P161">
        <v>128.80000000000001</v>
      </c>
      <c r="R161">
        <v>140.19999999999999</v>
      </c>
      <c r="T161">
        <v>118.9</v>
      </c>
      <c r="V161">
        <v>133.5</v>
      </c>
      <c r="X161">
        <v>130.4</v>
      </c>
      <c r="Z161">
        <v>146.5</v>
      </c>
      <c r="AB161">
        <v>134.9</v>
      </c>
      <c r="AD161">
        <v>145.80000000000001</v>
      </c>
      <c r="AF161">
        <v>143.1</v>
      </c>
      <c r="AH161">
        <v>137.69999999999999</v>
      </c>
      <c r="AJ161">
        <v>142.30000000000001</v>
      </c>
      <c r="AL161" t="s">
        <v>32</v>
      </c>
      <c r="AN161">
        <v>134.80000000000001</v>
      </c>
      <c r="AP161">
        <v>135.19999999999999</v>
      </c>
      <c r="AR161">
        <v>131.30000000000001</v>
      </c>
      <c r="AT161">
        <v>119.4</v>
      </c>
      <c r="AV161">
        <v>129.80000000000001</v>
      </c>
      <c r="AX161">
        <v>136.9</v>
      </c>
      <c r="AZ161">
        <v>124.1</v>
      </c>
      <c r="BB161">
        <v>128.1</v>
      </c>
      <c r="BD161">
        <v>133.9</v>
      </c>
    </row>
    <row r="162" spans="1:56">
      <c r="A162" t="s">
        <v>33</v>
      </c>
      <c r="B162">
        <v>2017</v>
      </c>
      <c r="C162" t="s">
        <v>39</v>
      </c>
      <c r="D162">
        <v>132.9</v>
      </c>
      <c r="F162">
        <v>148.69999999999999</v>
      </c>
      <c r="H162">
        <v>128.30000000000001</v>
      </c>
      <c r="J162">
        <v>137.30000000000001</v>
      </c>
      <c r="L162">
        <v>113.5</v>
      </c>
      <c r="N162">
        <v>137.19999999999999</v>
      </c>
      <c r="P162">
        <v>142.19999999999999</v>
      </c>
      <c r="R162">
        <v>128.19999999999999</v>
      </c>
      <c r="T162">
        <v>120.9</v>
      </c>
      <c r="V162">
        <v>138.80000000000001</v>
      </c>
      <c r="X162">
        <v>124.2</v>
      </c>
      <c r="Z162">
        <v>143.1</v>
      </c>
      <c r="AB162">
        <v>135.69999999999999</v>
      </c>
      <c r="AD162">
        <v>148.6</v>
      </c>
      <c r="AF162">
        <v>131.5</v>
      </c>
      <c r="AH162">
        <v>123.2</v>
      </c>
      <c r="AJ162">
        <v>130.19999999999999</v>
      </c>
      <c r="AL162">
        <v>131.4</v>
      </c>
      <c r="AN162">
        <v>119</v>
      </c>
      <c r="AP162">
        <v>126.8</v>
      </c>
      <c r="AR162">
        <v>123.8</v>
      </c>
      <c r="AT162">
        <v>113.9</v>
      </c>
      <c r="AV162">
        <v>122.9</v>
      </c>
      <c r="AX162">
        <v>134.30000000000001</v>
      </c>
      <c r="AZ162">
        <v>122.5</v>
      </c>
      <c r="BB162">
        <v>122.7</v>
      </c>
      <c r="BD162">
        <v>129.9</v>
      </c>
    </row>
    <row r="163" spans="1:56" hidden="1">
      <c r="A163" t="s">
        <v>34</v>
      </c>
      <c r="B163">
        <v>2017</v>
      </c>
      <c r="C163" t="s">
        <v>39</v>
      </c>
      <c r="D163">
        <v>133.30000000000001</v>
      </c>
      <c r="F163">
        <v>145.5</v>
      </c>
      <c r="H163">
        <v>128.1</v>
      </c>
      <c r="J163">
        <v>138.1</v>
      </c>
      <c r="L163">
        <v>118.2</v>
      </c>
      <c r="N163">
        <v>139.19999999999999</v>
      </c>
      <c r="P163">
        <v>133.30000000000001</v>
      </c>
      <c r="R163">
        <v>136.19999999999999</v>
      </c>
      <c r="T163">
        <v>119.6</v>
      </c>
      <c r="V163">
        <v>135.30000000000001</v>
      </c>
      <c r="X163">
        <v>127.8</v>
      </c>
      <c r="Z163">
        <v>144.9</v>
      </c>
      <c r="AB163">
        <v>135.19999999999999</v>
      </c>
      <c r="AD163">
        <v>146.5</v>
      </c>
      <c r="AF163">
        <v>138.5</v>
      </c>
      <c r="AH163">
        <v>131.69999999999999</v>
      </c>
      <c r="AJ163">
        <v>137.5</v>
      </c>
      <c r="AL163">
        <v>131.4</v>
      </c>
      <c r="AN163">
        <v>128.80000000000001</v>
      </c>
      <c r="AP163">
        <v>131.19999999999999</v>
      </c>
      <c r="AR163">
        <v>128.5</v>
      </c>
      <c r="AT163">
        <v>116.5</v>
      </c>
      <c r="AV163">
        <v>125.9</v>
      </c>
      <c r="AX163">
        <v>135.4</v>
      </c>
      <c r="AZ163">
        <v>123.4</v>
      </c>
      <c r="BB163">
        <v>125.5</v>
      </c>
      <c r="BD163">
        <v>132</v>
      </c>
    </row>
    <row r="164" spans="1:56" hidden="1">
      <c r="A164" t="s">
        <v>30</v>
      </c>
      <c r="B164">
        <v>2017</v>
      </c>
      <c r="C164" t="s">
        <v>40</v>
      </c>
      <c r="D164">
        <v>134</v>
      </c>
      <c r="F164">
        <v>144.19999999999999</v>
      </c>
      <c r="H164">
        <v>129.80000000000001</v>
      </c>
      <c r="J164">
        <v>139</v>
      </c>
      <c r="L164">
        <v>120.9</v>
      </c>
      <c r="N164">
        <v>143.9</v>
      </c>
      <c r="P164">
        <v>151.5</v>
      </c>
      <c r="R164">
        <v>138.1</v>
      </c>
      <c r="T164">
        <v>120</v>
      </c>
      <c r="V164">
        <v>133.9</v>
      </c>
      <c r="X164">
        <v>131.4</v>
      </c>
      <c r="Z164">
        <v>147.69999999999999</v>
      </c>
      <c r="AB164">
        <v>138.5</v>
      </c>
      <c r="AD164">
        <v>147.4</v>
      </c>
      <c r="AF164">
        <v>144.30000000000001</v>
      </c>
      <c r="AH164">
        <v>138.1</v>
      </c>
      <c r="AJ164">
        <v>143.5</v>
      </c>
      <c r="AL164" t="s">
        <v>32</v>
      </c>
      <c r="AN164">
        <v>135.30000000000001</v>
      </c>
      <c r="AP164">
        <v>136.1</v>
      </c>
      <c r="AR164">
        <v>132.1</v>
      </c>
      <c r="AT164">
        <v>119.1</v>
      </c>
      <c r="AV164">
        <v>130.6</v>
      </c>
      <c r="AX164">
        <v>138.6</v>
      </c>
      <c r="AZ164">
        <v>124.4</v>
      </c>
      <c r="BB164">
        <v>128.6</v>
      </c>
      <c r="BD164">
        <v>136.19999999999999</v>
      </c>
    </row>
    <row r="165" spans="1:56">
      <c r="A165" t="s">
        <v>33</v>
      </c>
      <c r="B165">
        <v>2017</v>
      </c>
      <c r="C165" t="s">
        <v>40</v>
      </c>
      <c r="D165">
        <v>132.80000000000001</v>
      </c>
      <c r="F165">
        <v>148.4</v>
      </c>
      <c r="H165">
        <v>129.4</v>
      </c>
      <c r="J165">
        <v>137.69999999999999</v>
      </c>
      <c r="L165">
        <v>113.4</v>
      </c>
      <c r="N165">
        <v>139.4</v>
      </c>
      <c r="P165">
        <v>175.1</v>
      </c>
      <c r="R165">
        <v>124.7</v>
      </c>
      <c r="T165">
        <v>121.5</v>
      </c>
      <c r="V165">
        <v>137.80000000000001</v>
      </c>
      <c r="X165">
        <v>124.4</v>
      </c>
      <c r="Z165">
        <v>143.69999999999999</v>
      </c>
      <c r="AB165">
        <v>139.80000000000001</v>
      </c>
      <c r="AD165">
        <v>150.5</v>
      </c>
      <c r="AF165">
        <v>131.6</v>
      </c>
      <c r="AH165">
        <v>123.7</v>
      </c>
      <c r="AJ165">
        <v>130.4</v>
      </c>
      <c r="AL165">
        <v>132.6</v>
      </c>
      <c r="AN165">
        <v>119.7</v>
      </c>
      <c r="AP165">
        <v>127.2</v>
      </c>
      <c r="AR165">
        <v>125</v>
      </c>
      <c r="AT165">
        <v>113.2</v>
      </c>
      <c r="AV165">
        <v>123.5</v>
      </c>
      <c r="AX165">
        <v>135.5</v>
      </c>
      <c r="AZ165">
        <v>122.4</v>
      </c>
      <c r="BB165">
        <v>123</v>
      </c>
      <c r="BD165">
        <v>131.80000000000001</v>
      </c>
    </row>
    <row r="166" spans="1:56" hidden="1">
      <c r="A166" t="s">
        <v>34</v>
      </c>
      <c r="B166">
        <v>2017</v>
      </c>
      <c r="C166" t="s">
        <v>40</v>
      </c>
      <c r="D166">
        <v>133.6</v>
      </c>
      <c r="F166">
        <v>145.69999999999999</v>
      </c>
      <c r="H166">
        <v>129.6</v>
      </c>
      <c r="J166">
        <v>138.5</v>
      </c>
      <c r="L166">
        <v>118.1</v>
      </c>
      <c r="N166">
        <v>141.80000000000001</v>
      </c>
      <c r="P166">
        <v>159.5</v>
      </c>
      <c r="R166">
        <v>133.6</v>
      </c>
      <c r="T166">
        <v>120.5</v>
      </c>
      <c r="V166">
        <v>135.19999999999999</v>
      </c>
      <c r="X166">
        <v>128.5</v>
      </c>
      <c r="Z166">
        <v>145.80000000000001</v>
      </c>
      <c r="AB166">
        <v>139</v>
      </c>
      <c r="AD166">
        <v>148.19999999999999</v>
      </c>
      <c r="AF166">
        <v>139.30000000000001</v>
      </c>
      <c r="AH166">
        <v>132.1</v>
      </c>
      <c r="AJ166">
        <v>138.30000000000001</v>
      </c>
      <c r="AL166">
        <v>132.6</v>
      </c>
      <c r="AN166">
        <v>129.4</v>
      </c>
      <c r="AP166">
        <v>131.9</v>
      </c>
      <c r="AR166">
        <v>129.4</v>
      </c>
      <c r="AT166">
        <v>116</v>
      </c>
      <c r="AV166">
        <v>126.6</v>
      </c>
      <c r="AX166">
        <v>136.80000000000001</v>
      </c>
      <c r="AZ166">
        <v>123.6</v>
      </c>
      <c r="BB166">
        <v>125.9</v>
      </c>
      <c r="BD166">
        <v>134.19999999999999</v>
      </c>
    </row>
    <row r="167" spans="1:56" hidden="1">
      <c r="A167" t="s">
        <v>30</v>
      </c>
      <c r="B167">
        <v>2017</v>
      </c>
      <c r="C167" t="s">
        <v>41</v>
      </c>
      <c r="D167">
        <v>134.80000000000001</v>
      </c>
      <c r="F167">
        <v>143.1</v>
      </c>
      <c r="H167">
        <v>130</v>
      </c>
      <c r="J167">
        <v>139.4</v>
      </c>
      <c r="L167">
        <v>120.5</v>
      </c>
      <c r="N167">
        <v>148</v>
      </c>
      <c r="P167">
        <v>162.9</v>
      </c>
      <c r="R167">
        <v>137.4</v>
      </c>
      <c r="T167">
        <v>120.8</v>
      </c>
      <c r="V167">
        <v>134.69999999999999</v>
      </c>
      <c r="X167">
        <v>131.6</v>
      </c>
      <c r="Z167">
        <v>148.69999999999999</v>
      </c>
      <c r="AB167">
        <v>140.6</v>
      </c>
      <c r="AD167">
        <v>149</v>
      </c>
      <c r="AF167">
        <v>145.30000000000001</v>
      </c>
      <c r="AH167">
        <v>139.19999999999999</v>
      </c>
      <c r="AJ167">
        <v>144.5</v>
      </c>
      <c r="AL167" t="s">
        <v>32</v>
      </c>
      <c r="AN167">
        <v>136.4</v>
      </c>
      <c r="AP167">
        <v>137.30000000000001</v>
      </c>
      <c r="AR167">
        <v>133</v>
      </c>
      <c r="AT167">
        <v>120.3</v>
      </c>
      <c r="AV167">
        <v>131.5</v>
      </c>
      <c r="AX167">
        <v>140.19999999999999</v>
      </c>
      <c r="AZ167">
        <v>125.4</v>
      </c>
      <c r="BB167">
        <v>129.69999999999999</v>
      </c>
      <c r="BD167">
        <v>137.80000000000001</v>
      </c>
    </row>
    <row r="168" spans="1:56">
      <c r="A168" t="s">
        <v>33</v>
      </c>
      <c r="B168">
        <v>2017</v>
      </c>
      <c r="C168" t="s">
        <v>41</v>
      </c>
      <c r="D168">
        <v>133.19999999999999</v>
      </c>
      <c r="F168">
        <v>143.9</v>
      </c>
      <c r="H168">
        <v>128.30000000000001</v>
      </c>
      <c r="J168">
        <v>138.30000000000001</v>
      </c>
      <c r="L168">
        <v>114.1</v>
      </c>
      <c r="N168">
        <v>142.69999999999999</v>
      </c>
      <c r="P168">
        <v>179.8</v>
      </c>
      <c r="R168">
        <v>123.5</v>
      </c>
      <c r="T168">
        <v>122.1</v>
      </c>
      <c r="V168">
        <v>137.5</v>
      </c>
      <c r="X168">
        <v>124.6</v>
      </c>
      <c r="Z168">
        <v>144.5</v>
      </c>
      <c r="AB168">
        <v>140.5</v>
      </c>
      <c r="AD168">
        <v>152.1</v>
      </c>
      <c r="AF168">
        <v>132.69999999999999</v>
      </c>
      <c r="AH168">
        <v>124.3</v>
      </c>
      <c r="AJ168">
        <v>131.4</v>
      </c>
      <c r="AL168">
        <v>134.4</v>
      </c>
      <c r="AN168">
        <v>118.9</v>
      </c>
      <c r="AP168">
        <v>127.7</v>
      </c>
      <c r="AR168">
        <v>125.7</v>
      </c>
      <c r="AT168">
        <v>114.6</v>
      </c>
      <c r="AV168">
        <v>124.1</v>
      </c>
      <c r="AX168">
        <v>135.69999999999999</v>
      </c>
      <c r="AZ168">
        <v>123.3</v>
      </c>
      <c r="BB168">
        <v>123.8</v>
      </c>
      <c r="BD168">
        <v>132.69999999999999</v>
      </c>
    </row>
    <row r="169" spans="1:56" hidden="1">
      <c r="A169" t="s">
        <v>34</v>
      </c>
      <c r="B169">
        <v>2017</v>
      </c>
      <c r="C169" t="s">
        <v>41</v>
      </c>
      <c r="D169">
        <v>134.30000000000001</v>
      </c>
      <c r="F169">
        <v>143.4</v>
      </c>
      <c r="H169">
        <v>129.30000000000001</v>
      </c>
      <c r="J169">
        <v>139</v>
      </c>
      <c r="L169">
        <v>118.1</v>
      </c>
      <c r="N169">
        <v>145.5</v>
      </c>
      <c r="P169">
        <v>168.6</v>
      </c>
      <c r="R169">
        <v>132.69999999999999</v>
      </c>
      <c r="T169">
        <v>121.2</v>
      </c>
      <c r="V169">
        <v>135.6</v>
      </c>
      <c r="X169">
        <v>128.69999999999999</v>
      </c>
      <c r="Z169">
        <v>146.80000000000001</v>
      </c>
      <c r="AB169">
        <v>140.6</v>
      </c>
      <c r="AD169">
        <v>149.80000000000001</v>
      </c>
      <c r="AF169">
        <v>140.30000000000001</v>
      </c>
      <c r="AH169">
        <v>133</v>
      </c>
      <c r="AJ169">
        <v>139.30000000000001</v>
      </c>
      <c r="AL169">
        <v>134.4</v>
      </c>
      <c r="AN169">
        <v>129.80000000000001</v>
      </c>
      <c r="AP169">
        <v>132.80000000000001</v>
      </c>
      <c r="AR169">
        <v>130.19999999999999</v>
      </c>
      <c r="AT169">
        <v>117.3</v>
      </c>
      <c r="AV169">
        <v>127.3</v>
      </c>
      <c r="AX169">
        <v>137.6</v>
      </c>
      <c r="AZ169">
        <v>124.5</v>
      </c>
      <c r="BB169">
        <v>126.8</v>
      </c>
      <c r="BD169">
        <v>135.4</v>
      </c>
    </row>
    <row r="170" spans="1:56" hidden="1">
      <c r="A170" t="s">
        <v>30</v>
      </c>
      <c r="B170">
        <v>2017</v>
      </c>
      <c r="C170" t="s">
        <v>42</v>
      </c>
      <c r="D170">
        <v>135.19999999999999</v>
      </c>
      <c r="F170">
        <v>142</v>
      </c>
      <c r="H170">
        <v>130.5</v>
      </c>
      <c r="J170">
        <v>140.19999999999999</v>
      </c>
      <c r="L170">
        <v>120.7</v>
      </c>
      <c r="N170">
        <v>147.80000000000001</v>
      </c>
      <c r="P170">
        <v>154.5</v>
      </c>
      <c r="R170">
        <v>137.1</v>
      </c>
      <c r="T170">
        <v>121</v>
      </c>
      <c r="V170">
        <v>134.69999999999999</v>
      </c>
      <c r="X170">
        <v>131.69999999999999</v>
      </c>
      <c r="Z170">
        <v>149.30000000000001</v>
      </c>
      <c r="AB170">
        <v>139.6</v>
      </c>
      <c r="AD170">
        <v>149.80000000000001</v>
      </c>
      <c r="AF170">
        <v>146.1</v>
      </c>
      <c r="AH170">
        <v>139.69999999999999</v>
      </c>
      <c r="AJ170">
        <v>145.19999999999999</v>
      </c>
      <c r="AL170" t="s">
        <v>32</v>
      </c>
      <c r="AN170">
        <v>137.4</v>
      </c>
      <c r="AP170">
        <v>137.9</v>
      </c>
      <c r="AR170">
        <v>133.4</v>
      </c>
      <c r="AT170">
        <v>121.2</v>
      </c>
      <c r="AV170">
        <v>132.30000000000001</v>
      </c>
      <c r="AX170">
        <v>139.6</v>
      </c>
      <c r="AZ170">
        <v>126.7</v>
      </c>
      <c r="BB170">
        <v>130.30000000000001</v>
      </c>
      <c r="BD170">
        <v>137.6</v>
      </c>
    </row>
    <row r="171" spans="1:56">
      <c r="A171" t="s">
        <v>33</v>
      </c>
      <c r="B171">
        <v>2017</v>
      </c>
      <c r="C171" t="s">
        <v>42</v>
      </c>
      <c r="D171">
        <v>133.6</v>
      </c>
      <c r="F171">
        <v>143</v>
      </c>
      <c r="H171">
        <v>129.69999999999999</v>
      </c>
      <c r="J171">
        <v>138.69999999999999</v>
      </c>
      <c r="L171">
        <v>114.5</v>
      </c>
      <c r="N171">
        <v>137.5</v>
      </c>
      <c r="P171">
        <v>160.69999999999999</v>
      </c>
      <c r="R171">
        <v>124.5</v>
      </c>
      <c r="T171">
        <v>122.4</v>
      </c>
      <c r="V171">
        <v>137.30000000000001</v>
      </c>
      <c r="X171">
        <v>124.8</v>
      </c>
      <c r="Z171">
        <v>145</v>
      </c>
      <c r="AB171">
        <v>138</v>
      </c>
      <c r="AD171">
        <v>153.6</v>
      </c>
      <c r="AF171">
        <v>133.30000000000001</v>
      </c>
      <c r="AH171">
        <v>124.6</v>
      </c>
      <c r="AJ171">
        <v>132</v>
      </c>
      <c r="AL171">
        <v>135.69999999999999</v>
      </c>
      <c r="AN171">
        <v>120.6</v>
      </c>
      <c r="AP171">
        <v>128.1</v>
      </c>
      <c r="AR171">
        <v>126.1</v>
      </c>
      <c r="AT171">
        <v>115.7</v>
      </c>
      <c r="AV171">
        <v>124.5</v>
      </c>
      <c r="AX171">
        <v>135.9</v>
      </c>
      <c r="AZ171">
        <v>124.4</v>
      </c>
      <c r="BB171">
        <v>124.5</v>
      </c>
      <c r="BD171">
        <v>132.4</v>
      </c>
    </row>
    <row r="172" spans="1:56" hidden="1">
      <c r="A172" t="s">
        <v>34</v>
      </c>
      <c r="B172">
        <v>2017</v>
      </c>
      <c r="C172" t="s">
        <v>42</v>
      </c>
      <c r="D172">
        <v>134.69999999999999</v>
      </c>
      <c r="F172">
        <v>142.4</v>
      </c>
      <c r="H172">
        <v>130.19999999999999</v>
      </c>
      <c r="J172">
        <v>139.6</v>
      </c>
      <c r="L172">
        <v>118.4</v>
      </c>
      <c r="N172">
        <v>143</v>
      </c>
      <c r="P172">
        <v>156.6</v>
      </c>
      <c r="R172">
        <v>132.9</v>
      </c>
      <c r="T172">
        <v>121.5</v>
      </c>
      <c r="V172">
        <v>135.6</v>
      </c>
      <c r="X172">
        <v>128.80000000000001</v>
      </c>
      <c r="Z172">
        <v>147.30000000000001</v>
      </c>
      <c r="AB172">
        <v>139</v>
      </c>
      <c r="AD172">
        <v>150.80000000000001</v>
      </c>
      <c r="AF172">
        <v>141.1</v>
      </c>
      <c r="AH172">
        <v>133.4</v>
      </c>
      <c r="AJ172">
        <v>140</v>
      </c>
      <c r="AL172">
        <v>135.69999999999999</v>
      </c>
      <c r="AN172">
        <v>131</v>
      </c>
      <c r="AP172">
        <v>133.30000000000001</v>
      </c>
      <c r="AR172">
        <v>130.6</v>
      </c>
      <c r="AT172">
        <v>118.3</v>
      </c>
      <c r="AV172">
        <v>127.9</v>
      </c>
      <c r="AX172">
        <v>137.4</v>
      </c>
      <c r="AZ172">
        <v>125.7</v>
      </c>
      <c r="BB172">
        <v>127.5</v>
      </c>
      <c r="BD172">
        <v>135.19999999999999</v>
      </c>
    </row>
    <row r="173" spans="1:56" hidden="1">
      <c r="A173" t="s">
        <v>30</v>
      </c>
      <c r="B173">
        <v>2017</v>
      </c>
      <c r="C173" t="s">
        <v>43</v>
      </c>
      <c r="D173">
        <v>135.9</v>
      </c>
      <c r="F173">
        <v>141.9</v>
      </c>
      <c r="H173">
        <v>131</v>
      </c>
      <c r="J173">
        <v>141.5</v>
      </c>
      <c r="L173">
        <v>121.4</v>
      </c>
      <c r="N173">
        <v>146.69999999999999</v>
      </c>
      <c r="P173">
        <v>157.1</v>
      </c>
      <c r="R173">
        <v>136.4</v>
      </c>
      <c r="T173">
        <v>121.4</v>
      </c>
      <c r="V173">
        <v>135.6</v>
      </c>
      <c r="X173">
        <v>131.30000000000001</v>
      </c>
      <c r="Z173">
        <v>150.30000000000001</v>
      </c>
      <c r="AB173">
        <v>140.4</v>
      </c>
      <c r="AD173">
        <v>150.5</v>
      </c>
      <c r="AF173">
        <v>147.19999999999999</v>
      </c>
      <c r="AH173">
        <v>140.6</v>
      </c>
      <c r="AJ173">
        <v>146.19999999999999</v>
      </c>
      <c r="AL173" t="s">
        <v>32</v>
      </c>
      <c r="AN173">
        <v>138.1</v>
      </c>
      <c r="AP173">
        <v>138.4</v>
      </c>
      <c r="AR173">
        <v>134.19999999999999</v>
      </c>
      <c r="AT173">
        <v>121</v>
      </c>
      <c r="AV173">
        <v>133</v>
      </c>
      <c r="AX173">
        <v>140.1</v>
      </c>
      <c r="AZ173">
        <v>127.4</v>
      </c>
      <c r="BB173">
        <v>130.69999999999999</v>
      </c>
      <c r="BD173">
        <v>138.30000000000001</v>
      </c>
    </row>
    <row r="174" spans="1:56">
      <c r="A174" t="s">
        <v>33</v>
      </c>
      <c r="B174">
        <v>2017</v>
      </c>
      <c r="C174" t="s">
        <v>43</v>
      </c>
      <c r="D174">
        <v>133.9</v>
      </c>
      <c r="F174">
        <v>142.80000000000001</v>
      </c>
      <c r="H174">
        <v>131.4</v>
      </c>
      <c r="J174">
        <v>139.1</v>
      </c>
      <c r="L174">
        <v>114.9</v>
      </c>
      <c r="N174">
        <v>135.6</v>
      </c>
      <c r="P174">
        <v>173.2</v>
      </c>
      <c r="R174">
        <v>124.1</v>
      </c>
      <c r="T174">
        <v>122.6</v>
      </c>
      <c r="V174">
        <v>137.80000000000001</v>
      </c>
      <c r="X174">
        <v>125.1</v>
      </c>
      <c r="Z174">
        <v>145.5</v>
      </c>
      <c r="AB174">
        <v>139.69999999999999</v>
      </c>
      <c r="AD174">
        <v>154.6</v>
      </c>
      <c r="AF174">
        <v>134</v>
      </c>
      <c r="AH174">
        <v>124.9</v>
      </c>
      <c r="AJ174">
        <v>132.6</v>
      </c>
      <c r="AL174">
        <v>137.30000000000001</v>
      </c>
      <c r="AN174">
        <v>122.6</v>
      </c>
      <c r="AP174">
        <v>128.30000000000001</v>
      </c>
      <c r="AR174">
        <v>126.6</v>
      </c>
      <c r="AT174">
        <v>115</v>
      </c>
      <c r="AV174">
        <v>124.8</v>
      </c>
      <c r="AX174">
        <v>136.30000000000001</v>
      </c>
      <c r="AZ174">
        <v>124.6</v>
      </c>
      <c r="BB174">
        <v>124.5</v>
      </c>
      <c r="BD174">
        <v>133.5</v>
      </c>
    </row>
    <row r="175" spans="1:56" hidden="1">
      <c r="A175" t="s">
        <v>34</v>
      </c>
      <c r="B175">
        <v>2017</v>
      </c>
      <c r="C175" t="s">
        <v>43</v>
      </c>
      <c r="D175">
        <v>135.30000000000001</v>
      </c>
      <c r="F175">
        <v>142.19999999999999</v>
      </c>
      <c r="H175">
        <v>131.19999999999999</v>
      </c>
      <c r="J175">
        <v>140.6</v>
      </c>
      <c r="L175">
        <v>119</v>
      </c>
      <c r="N175">
        <v>141.5</v>
      </c>
      <c r="P175">
        <v>162.6</v>
      </c>
      <c r="R175">
        <v>132.30000000000001</v>
      </c>
      <c r="T175">
        <v>121.8</v>
      </c>
      <c r="V175">
        <v>136.30000000000001</v>
      </c>
      <c r="X175">
        <v>128.69999999999999</v>
      </c>
      <c r="Z175">
        <v>148.1</v>
      </c>
      <c r="AB175">
        <v>140.1</v>
      </c>
      <c r="AD175">
        <v>151.6</v>
      </c>
      <c r="AF175">
        <v>142</v>
      </c>
      <c r="AH175">
        <v>134.1</v>
      </c>
      <c r="AJ175">
        <v>140.80000000000001</v>
      </c>
      <c r="AL175">
        <v>137.30000000000001</v>
      </c>
      <c r="AN175">
        <v>132.19999999999999</v>
      </c>
      <c r="AP175">
        <v>133.6</v>
      </c>
      <c r="AR175">
        <v>131.30000000000001</v>
      </c>
      <c r="AT175">
        <v>117.8</v>
      </c>
      <c r="AV175">
        <v>128.4</v>
      </c>
      <c r="AX175">
        <v>137.9</v>
      </c>
      <c r="AZ175">
        <v>126.2</v>
      </c>
      <c r="BB175">
        <v>127.7</v>
      </c>
      <c r="BD175">
        <v>136.1</v>
      </c>
    </row>
    <row r="176" spans="1:56" hidden="1">
      <c r="A176" t="s">
        <v>30</v>
      </c>
      <c r="B176">
        <v>2017</v>
      </c>
      <c r="C176" t="s">
        <v>45</v>
      </c>
      <c r="D176">
        <v>136.30000000000001</v>
      </c>
      <c r="F176">
        <v>142.5</v>
      </c>
      <c r="H176">
        <v>140.5</v>
      </c>
      <c r="J176">
        <v>141.5</v>
      </c>
      <c r="L176">
        <v>121.6</v>
      </c>
      <c r="N176">
        <v>147.30000000000001</v>
      </c>
      <c r="P176">
        <v>168</v>
      </c>
      <c r="R176">
        <v>135.80000000000001</v>
      </c>
      <c r="T176">
        <v>122.5</v>
      </c>
      <c r="V176">
        <v>136</v>
      </c>
      <c r="X176">
        <v>131.9</v>
      </c>
      <c r="Z176">
        <v>151.4</v>
      </c>
      <c r="AB176">
        <v>142.4</v>
      </c>
      <c r="AD176">
        <v>152.1</v>
      </c>
      <c r="AF176">
        <v>148.19999999999999</v>
      </c>
      <c r="AH176">
        <v>141.5</v>
      </c>
      <c r="AJ176">
        <v>147.30000000000001</v>
      </c>
      <c r="AL176" t="s">
        <v>32</v>
      </c>
      <c r="AN176">
        <v>141.1</v>
      </c>
      <c r="AP176">
        <v>139.4</v>
      </c>
      <c r="AR176">
        <v>135.80000000000001</v>
      </c>
      <c r="AT176">
        <v>121.6</v>
      </c>
      <c r="AV176">
        <v>133.69999999999999</v>
      </c>
      <c r="AX176">
        <v>141.5</v>
      </c>
      <c r="AZ176">
        <v>128.1</v>
      </c>
      <c r="BB176">
        <v>131.69999999999999</v>
      </c>
      <c r="BD176">
        <v>140</v>
      </c>
    </row>
    <row r="177" spans="1:56">
      <c r="A177" t="s">
        <v>33</v>
      </c>
      <c r="B177">
        <v>2017</v>
      </c>
      <c r="C177" t="s">
        <v>45</v>
      </c>
      <c r="D177">
        <v>134.30000000000001</v>
      </c>
      <c r="F177">
        <v>142.1</v>
      </c>
      <c r="H177">
        <v>146.69999999999999</v>
      </c>
      <c r="J177">
        <v>139.5</v>
      </c>
      <c r="L177">
        <v>115.2</v>
      </c>
      <c r="N177">
        <v>136.4</v>
      </c>
      <c r="P177">
        <v>185.2</v>
      </c>
      <c r="R177">
        <v>122.2</v>
      </c>
      <c r="T177">
        <v>123.9</v>
      </c>
      <c r="V177">
        <v>138.30000000000001</v>
      </c>
      <c r="X177">
        <v>125.4</v>
      </c>
      <c r="Z177">
        <v>146</v>
      </c>
      <c r="AB177">
        <v>141.5</v>
      </c>
      <c r="AD177">
        <v>156.19999999999999</v>
      </c>
      <c r="AF177">
        <v>135</v>
      </c>
      <c r="AH177">
        <v>125.4</v>
      </c>
      <c r="AJ177">
        <v>133.5</v>
      </c>
      <c r="AL177">
        <v>138.6</v>
      </c>
      <c r="AN177">
        <v>125.7</v>
      </c>
      <c r="AP177">
        <v>128.80000000000001</v>
      </c>
      <c r="AR177">
        <v>127.4</v>
      </c>
      <c r="AT177">
        <v>115.3</v>
      </c>
      <c r="AV177">
        <v>125.1</v>
      </c>
      <c r="AX177">
        <v>136.6</v>
      </c>
      <c r="AZ177">
        <v>124.9</v>
      </c>
      <c r="BB177">
        <v>124.9</v>
      </c>
      <c r="BD177">
        <v>134.80000000000001</v>
      </c>
    </row>
    <row r="178" spans="1:56" hidden="1">
      <c r="A178" t="s">
        <v>34</v>
      </c>
      <c r="B178">
        <v>2017</v>
      </c>
      <c r="C178" t="s">
        <v>45</v>
      </c>
      <c r="D178">
        <v>135.69999999999999</v>
      </c>
      <c r="F178">
        <v>142.4</v>
      </c>
      <c r="H178">
        <v>142.9</v>
      </c>
      <c r="J178">
        <v>140.80000000000001</v>
      </c>
      <c r="L178">
        <v>119.2</v>
      </c>
      <c r="N178">
        <v>142.19999999999999</v>
      </c>
      <c r="P178">
        <v>173.8</v>
      </c>
      <c r="R178">
        <v>131.19999999999999</v>
      </c>
      <c r="T178">
        <v>123</v>
      </c>
      <c r="V178">
        <v>136.80000000000001</v>
      </c>
      <c r="X178">
        <v>129.19999999999999</v>
      </c>
      <c r="Z178">
        <v>148.9</v>
      </c>
      <c r="AB178">
        <v>142.1</v>
      </c>
      <c r="AD178">
        <v>153.19999999999999</v>
      </c>
      <c r="AF178">
        <v>143</v>
      </c>
      <c r="AH178">
        <v>134.80000000000001</v>
      </c>
      <c r="AJ178">
        <v>141.80000000000001</v>
      </c>
      <c r="AL178">
        <v>138.6</v>
      </c>
      <c r="AN178">
        <v>135.30000000000001</v>
      </c>
      <c r="AP178">
        <v>134.4</v>
      </c>
      <c r="AR178">
        <v>132.6</v>
      </c>
      <c r="AT178">
        <v>118.3</v>
      </c>
      <c r="AV178">
        <v>128.9</v>
      </c>
      <c r="AX178">
        <v>138.6</v>
      </c>
      <c r="AZ178">
        <v>126.8</v>
      </c>
      <c r="BB178">
        <v>128.4</v>
      </c>
      <c r="BD178">
        <v>137.6</v>
      </c>
    </row>
    <row r="179" spans="1:56" hidden="1">
      <c r="A179" t="s">
        <v>30</v>
      </c>
      <c r="B179">
        <v>2017</v>
      </c>
      <c r="C179" t="s">
        <v>46</v>
      </c>
      <c r="D179">
        <v>136.4</v>
      </c>
      <c r="F179">
        <v>143.69999999999999</v>
      </c>
      <c r="H179">
        <v>144.80000000000001</v>
      </c>
      <c r="J179">
        <v>141.9</v>
      </c>
      <c r="L179">
        <v>123.1</v>
      </c>
      <c r="N179">
        <v>147.19999999999999</v>
      </c>
      <c r="P179">
        <v>161</v>
      </c>
      <c r="R179">
        <v>133.80000000000001</v>
      </c>
      <c r="T179">
        <v>121.9</v>
      </c>
      <c r="V179">
        <v>135.80000000000001</v>
      </c>
      <c r="X179">
        <v>131.1</v>
      </c>
      <c r="Z179">
        <v>151.4</v>
      </c>
      <c r="AB179">
        <v>141.5</v>
      </c>
      <c r="AD179">
        <v>153.19999999999999</v>
      </c>
      <c r="AF179">
        <v>148</v>
      </c>
      <c r="AH179">
        <v>141.9</v>
      </c>
      <c r="AJ179">
        <v>147.19999999999999</v>
      </c>
      <c r="AL179" t="s">
        <v>32</v>
      </c>
      <c r="AN179">
        <v>142.6</v>
      </c>
      <c r="AP179">
        <v>139.5</v>
      </c>
      <c r="AR179">
        <v>136.1</v>
      </c>
      <c r="AT179">
        <v>122</v>
      </c>
      <c r="AV179">
        <v>133.4</v>
      </c>
      <c r="AX179">
        <v>141.1</v>
      </c>
      <c r="AZ179">
        <v>127.8</v>
      </c>
      <c r="BB179">
        <v>131.9</v>
      </c>
      <c r="BD179">
        <v>139.80000000000001</v>
      </c>
    </row>
    <row r="180" spans="1:56">
      <c r="A180" t="s">
        <v>33</v>
      </c>
      <c r="B180">
        <v>2017</v>
      </c>
      <c r="C180" t="s">
        <v>46</v>
      </c>
      <c r="D180">
        <v>134.4</v>
      </c>
      <c r="F180">
        <v>142.6</v>
      </c>
      <c r="H180">
        <v>145.9</v>
      </c>
      <c r="J180">
        <v>139.5</v>
      </c>
      <c r="L180">
        <v>115.9</v>
      </c>
      <c r="N180">
        <v>135</v>
      </c>
      <c r="P180">
        <v>163.19999999999999</v>
      </c>
      <c r="R180">
        <v>119.8</v>
      </c>
      <c r="T180">
        <v>120.7</v>
      </c>
      <c r="V180">
        <v>139.69999999999999</v>
      </c>
      <c r="X180">
        <v>125.7</v>
      </c>
      <c r="Z180">
        <v>146.30000000000001</v>
      </c>
      <c r="AB180">
        <v>138.80000000000001</v>
      </c>
      <c r="AD180">
        <v>157</v>
      </c>
      <c r="AF180">
        <v>135.6</v>
      </c>
      <c r="AH180">
        <v>125.6</v>
      </c>
      <c r="AJ180">
        <v>134</v>
      </c>
      <c r="AL180">
        <v>139.1</v>
      </c>
      <c r="AN180">
        <v>126.8</v>
      </c>
      <c r="AP180">
        <v>129.30000000000001</v>
      </c>
      <c r="AR180">
        <v>128.19999999999999</v>
      </c>
      <c r="AT180">
        <v>115.3</v>
      </c>
      <c r="AV180">
        <v>125.6</v>
      </c>
      <c r="AX180">
        <v>136.69999999999999</v>
      </c>
      <c r="AZ180">
        <v>124.6</v>
      </c>
      <c r="BB180">
        <v>125.1</v>
      </c>
      <c r="BD180">
        <v>134.1</v>
      </c>
    </row>
    <row r="181" spans="1:56" hidden="1">
      <c r="A181" t="s">
        <v>34</v>
      </c>
      <c r="B181">
        <v>2017</v>
      </c>
      <c r="C181" t="s">
        <v>46</v>
      </c>
      <c r="D181">
        <v>135.80000000000001</v>
      </c>
      <c r="F181">
        <v>143.30000000000001</v>
      </c>
      <c r="H181">
        <v>145.19999999999999</v>
      </c>
      <c r="J181">
        <v>141</v>
      </c>
      <c r="L181">
        <v>120.5</v>
      </c>
      <c r="N181">
        <v>141.5</v>
      </c>
      <c r="P181">
        <v>161.69999999999999</v>
      </c>
      <c r="R181">
        <v>129.1</v>
      </c>
      <c r="T181">
        <v>121.5</v>
      </c>
      <c r="V181">
        <v>137.1</v>
      </c>
      <c r="X181">
        <v>128.80000000000001</v>
      </c>
      <c r="Z181">
        <v>149</v>
      </c>
      <c r="AB181">
        <v>140.5</v>
      </c>
      <c r="AD181">
        <v>154.19999999999999</v>
      </c>
      <c r="AF181">
        <v>143.1</v>
      </c>
      <c r="AH181">
        <v>135.1</v>
      </c>
      <c r="AJ181">
        <v>142</v>
      </c>
      <c r="AL181">
        <v>139.1</v>
      </c>
      <c r="AN181">
        <v>136.6</v>
      </c>
      <c r="AP181">
        <v>134.69999999999999</v>
      </c>
      <c r="AR181">
        <v>133.1</v>
      </c>
      <c r="AT181">
        <v>118.5</v>
      </c>
      <c r="AV181">
        <v>129</v>
      </c>
      <c r="AX181">
        <v>138.5</v>
      </c>
      <c r="AZ181">
        <v>126.5</v>
      </c>
      <c r="BB181">
        <v>128.6</v>
      </c>
      <c r="BD181">
        <v>137.19999999999999</v>
      </c>
    </row>
    <row r="182" spans="1:56" hidden="1">
      <c r="A182" t="s">
        <v>30</v>
      </c>
      <c r="B182">
        <v>2018</v>
      </c>
      <c r="C182" t="s">
        <v>31</v>
      </c>
      <c r="D182">
        <v>136.6</v>
      </c>
      <c r="F182">
        <v>144.4</v>
      </c>
      <c r="H182">
        <v>143.80000000000001</v>
      </c>
      <c r="J182">
        <v>142</v>
      </c>
      <c r="L182">
        <v>123.2</v>
      </c>
      <c r="N182">
        <v>147.9</v>
      </c>
      <c r="P182">
        <v>152.1</v>
      </c>
      <c r="R182">
        <v>131.80000000000001</v>
      </c>
      <c r="T182">
        <v>119.5</v>
      </c>
      <c r="V182">
        <v>136</v>
      </c>
      <c r="X182">
        <v>131.19999999999999</v>
      </c>
      <c r="Z182">
        <v>151.80000000000001</v>
      </c>
      <c r="AB182">
        <v>140.4</v>
      </c>
      <c r="AD182">
        <v>153.6</v>
      </c>
      <c r="AF182">
        <v>148.30000000000001</v>
      </c>
      <c r="AH182">
        <v>142.30000000000001</v>
      </c>
      <c r="AJ182">
        <v>147.5</v>
      </c>
      <c r="AL182" t="s">
        <v>32</v>
      </c>
      <c r="AN182">
        <v>142.30000000000001</v>
      </c>
      <c r="AP182">
        <v>139.80000000000001</v>
      </c>
      <c r="AR182">
        <v>136</v>
      </c>
      <c r="AT182">
        <v>122.7</v>
      </c>
      <c r="AV182">
        <v>134.30000000000001</v>
      </c>
      <c r="AX182">
        <v>141.6</v>
      </c>
      <c r="AZ182">
        <v>128.6</v>
      </c>
      <c r="BB182">
        <v>132.30000000000001</v>
      </c>
      <c r="BD182">
        <v>139.30000000000001</v>
      </c>
    </row>
    <row r="183" spans="1:56">
      <c r="A183" t="s">
        <v>33</v>
      </c>
      <c r="B183">
        <v>2018</v>
      </c>
      <c r="C183" t="s">
        <v>31</v>
      </c>
      <c r="D183">
        <v>134.6</v>
      </c>
      <c r="F183">
        <v>143.69999999999999</v>
      </c>
      <c r="H183">
        <v>143.6</v>
      </c>
      <c r="J183">
        <v>139.6</v>
      </c>
      <c r="L183">
        <v>116.4</v>
      </c>
      <c r="N183">
        <v>133.80000000000001</v>
      </c>
      <c r="P183">
        <v>150.5</v>
      </c>
      <c r="R183">
        <v>118.4</v>
      </c>
      <c r="T183">
        <v>117.3</v>
      </c>
      <c r="V183">
        <v>140.5</v>
      </c>
      <c r="X183">
        <v>125.9</v>
      </c>
      <c r="Z183">
        <v>146.80000000000001</v>
      </c>
      <c r="AB183">
        <v>137.19999999999999</v>
      </c>
      <c r="AD183">
        <v>157.69999999999999</v>
      </c>
      <c r="AF183">
        <v>136</v>
      </c>
      <c r="AH183">
        <v>125.9</v>
      </c>
      <c r="AJ183">
        <v>134.4</v>
      </c>
      <c r="AL183">
        <v>140.4</v>
      </c>
      <c r="AN183">
        <v>127.3</v>
      </c>
      <c r="AP183">
        <v>129.5</v>
      </c>
      <c r="AR183">
        <v>129</v>
      </c>
      <c r="AT183">
        <v>116.3</v>
      </c>
      <c r="AV183">
        <v>126.2</v>
      </c>
      <c r="AX183">
        <v>137.1</v>
      </c>
      <c r="AZ183">
        <v>125.5</v>
      </c>
      <c r="BB183">
        <v>125.8</v>
      </c>
      <c r="BD183">
        <v>134.1</v>
      </c>
    </row>
    <row r="184" spans="1:56" hidden="1">
      <c r="A184" t="s">
        <v>34</v>
      </c>
      <c r="B184">
        <v>2018</v>
      </c>
      <c r="C184" t="s">
        <v>31</v>
      </c>
      <c r="D184">
        <v>136</v>
      </c>
      <c r="F184">
        <v>144.19999999999999</v>
      </c>
      <c r="H184">
        <v>143.69999999999999</v>
      </c>
      <c r="J184">
        <v>141.1</v>
      </c>
      <c r="L184">
        <v>120.7</v>
      </c>
      <c r="N184">
        <v>141.30000000000001</v>
      </c>
      <c r="P184">
        <v>151.6</v>
      </c>
      <c r="R184">
        <v>127.3</v>
      </c>
      <c r="T184">
        <v>118.8</v>
      </c>
      <c r="V184">
        <v>137.5</v>
      </c>
      <c r="X184">
        <v>129</v>
      </c>
      <c r="Z184">
        <v>149.5</v>
      </c>
      <c r="AB184">
        <v>139.19999999999999</v>
      </c>
      <c r="AD184">
        <v>154.69999999999999</v>
      </c>
      <c r="AF184">
        <v>143.5</v>
      </c>
      <c r="AH184">
        <v>135.5</v>
      </c>
      <c r="AJ184">
        <v>142.30000000000001</v>
      </c>
      <c r="AL184">
        <v>140.4</v>
      </c>
      <c r="AN184">
        <v>136.6</v>
      </c>
      <c r="AP184">
        <v>134.9</v>
      </c>
      <c r="AR184">
        <v>133.30000000000001</v>
      </c>
      <c r="AT184">
        <v>119.3</v>
      </c>
      <c r="AV184">
        <v>129.69999999999999</v>
      </c>
      <c r="AX184">
        <v>139</v>
      </c>
      <c r="AZ184">
        <v>127.3</v>
      </c>
      <c r="BB184">
        <v>129.1</v>
      </c>
      <c r="BD184">
        <v>136.9</v>
      </c>
    </row>
    <row r="185" spans="1:56" hidden="1">
      <c r="A185" t="s">
        <v>30</v>
      </c>
      <c r="B185">
        <v>2018</v>
      </c>
      <c r="C185" t="s">
        <v>35</v>
      </c>
      <c r="D185">
        <v>136.4</v>
      </c>
      <c r="F185">
        <v>143.69999999999999</v>
      </c>
      <c r="H185">
        <v>140.6</v>
      </c>
      <c r="J185">
        <v>141.5</v>
      </c>
      <c r="L185">
        <v>122.9</v>
      </c>
      <c r="N185">
        <v>149.4</v>
      </c>
      <c r="P185">
        <v>142.4</v>
      </c>
      <c r="R185">
        <v>130.19999999999999</v>
      </c>
      <c r="T185">
        <v>117.9</v>
      </c>
      <c r="V185">
        <v>135.6</v>
      </c>
      <c r="X185">
        <v>130.5</v>
      </c>
      <c r="Z185">
        <v>151.69999999999999</v>
      </c>
      <c r="AB185">
        <v>138.69999999999999</v>
      </c>
      <c r="AD185">
        <v>153.30000000000001</v>
      </c>
      <c r="AF185">
        <v>148.69999999999999</v>
      </c>
      <c r="AH185">
        <v>142.4</v>
      </c>
      <c r="AJ185">
        <v>147.80000000000001</v>
      </c>
      <c r="AL185" t="s">
        <v>32</v>
      </c>
      <c r="AN185">
        <v>142.4</v>
      </c>
      <c r="AP185">
        <v>139.9</v>
      </c>
      <c r="AR185">
        <v>136.19999999999999</v>
      </c>
      <c r="AT185">
        <v>123.3</v>
      </c>
      <c r="AV185">
        <v>134.30000000000001</v>
      </c>
      <c r="AX185">
        <v>141.5</v>
      </c>
      <c r="AZ185">
        <v>128.80000000000001</v>
      </c>
      <c r="BB185">
        <v>132.5</v>
      </c>
      <c r="BD185">
        <v>138.5</v>
      </c>
    </row>
    <row r="186" spans="1:56">
      <c r="A186" t="s">
        <v>33</v>
      </c>
      <c r="B186">
        <v>2018</v>
      </c>
      <c r="C186" t="s">
        <v>35</v>
      </c>
      <c r="D186">
        <v>134.80000000000001</v>
      </c>
      <c r="F186">
        <v>143</v>
      </c>
      <c r="H186">
        <v>139.9</v>
      </c>
      <c r="J186">
        <v>139.9</v>
      </c>
      <c r="L186">
        <v>116.2</v>
      </c>
      <c r="N186">
        <v>135.5</v>
      </c>
      <c r="P186">
        <v>136.9</v>
      </c>
      <c r="R186">
        <v>117</v>
      </c>
      <c r="T186">
        <v>115.4</v>
      </c>
      <c r="V186">
        <v>140.69999999999999</v>
      </c>
      <c r="X186">
        <v>125.9</v>
      </c>
      <c r="Z186">
        <v>147.1</v>
      </c>
      <c r="AB186">
        <v>135.6</v>
      </c>
      <c r="AD186">
        <v>159.30000000000001</v>
      </c>
      <c r="AF186">
        <v>136.30000000000001</v>
      </c>
      <c r="AH186">
        <v>126.1</v>
      </c>
      <c r="AJ186">
        <v>134.69999999999999</v>
      </c>
      <c r="AL186">
        <v>141.30000000000001</v>
      </c>
      <c r="AN186">
        <v>127.3</v>
      </c>
      <c r="AP186">
        <v>129.9</v>
      </c>
      <c r="AR186">
        <v>129.80000000000001</v>
      </c>
      <c r="AT186">
        <v>117.4</v>
      </c>
      <c r="AV186">
        <v>126.5</v>
      </c>
      <c r="AX186">
        <v>137.19999999999999</v>
      </c>
      <c r="AZ186">
        <v>126.2</v>
      </c>
      <c r="BB186">
        <v>126.5</v>
      </c>
      <c r="BD186">
        <v>134</v>
      </c>
    </row>
    <row r="187" spans="1:56" hidden="1">
      <c r="A187" t="s">
        <v>34</v>
      </c>
      <c r="B187">
        <v>2018</v>
      </c>
      <c r="C187" t="s">
        <v>35</v>
      </c>
      <c r="D187">
        <v>135.9</v>
      </c>
      <c r="F187">
        <v>143.5</v>
      </c>
      <c r="H187">
        <v>140.30000000000001</v>
      </c>
      <c r="J187">
        <v>140.9</v>
      </c>
      <c r="L187">
        <v>120.4</v>
      </c>
      <c r="N187">
        <v>142.9</v>
      </c>
      <c r="P187">
        <v>140.5</v>
      </c>
      <c r="R187">
        <v>125.8</v>
      </c>
      <c r="T187">
        <v>117.1</v>
      </c>
      <c r="V187">
        <v>137.30000000000001</v>
      </c>
      <c r="X187">
        <v>128.6</v>
      </c>
      <c r="Z187">
        <v>149.6</v>
      </c>
      <c r="AB187">
        <v>137.6</v>
      </c>
      <c r="AD187">
        <v>154.9</v>
      </c>
      <c r="AF187">
        <v>143.80000000000001</v>
      </c>
      <c r="AH187">
        <v>135.6</v>
      </c>
      <c r="AJ187">
        <v>142.6</v>
      </c>
      <c r="AL187">
        <v>141.30000000000001</v>
      </c>
      <c r="AN187">
        <v>136.69999999999999</v>
      </c>
      <c r="AP187">
        <v>135.19999999999999</v>
      </c>
      <c r="AR187">
        <v>133.80000000000001</v>
      </c>
      <c r="AT187">
        <v>120.2</v>
      </c>
      <c r="AV187">
        <v>129.9</v>
      </c>
      <c r="AX187">
        <v>139</v>
      </c>
      <c r="AZ187">
        <v>127.7</v>
      </c>
      <c r="BB187">
        <v>129.6</v>
      </c>
      <c r="BD187">
        <v>136.4</v>
      </c>
    </row>
    <row r="188" spans="1:56" hidden="1">
      <c r="A188" t="s">
        <v>30</v>
      </c>
      <c r="B188">
        <v>2018</v>
      </c>
      <c r="C188" t="s">
        <v>36</v>
      </c>
      <c r="D188">
        <v>136.80000000000001</v>
      </c>
      <c r="F188">
        <v>143.80000000000001</v>
      </c>
      <c r="H188">
        <v>140</v>
      </c>
      <c r="J188">
        <v>142</v>
      </c>
      <c r="L188">
        <v>123.2</v>
      </c>
      <c r="N188">
        <v>152.9</v>
      </c>
      <c r="P188">
        <v>138</v>
      </c>
      <c r="R188">
        <v>129.30000000000001</v>
      </c>
      <c r="T188">
        <v>117.1</v>
      </c>
      <c r="V188">
        <v>136.30000000000001</v>
      </c>
      <c r="X188">
        <v>131.19999999999999</v>
      </c>
      <c r="Z188">
        <v>152.80000000000001</v>
      </c>
      <c r="AB188">
        <v>138.6</v>
      </c>
      <c r="AD188">
        <v>155.1</v>
      </c>
      <c r="AF188">
        <v>149.19999999999999</v>
      </c>
      <c r="AH188">
        <v>143</v>
      </c>
      <c r="AJ188">
        <v>148.30000000000001</v>
      </c>
      <c r="AL188" t="s">
        <v>32</v>
      </c>
      <c r="AN188">
        <v>142.6</v>
      </c>
      <c r="AP188">
        <v>139.9</v>
      </c>
      <c r="AR188">
        <v>136.69999999999999</v>
      </c>
      <c r="AT188">
        <v>124.6</v>
      </c>
      <c r="AV188">
        <v>135.1</v>
      </c>
      <c r="AX188">
        <v>142.69999999999999</v>
      </c>
      <c r="AZ188">
        <v>129.30000000000001</v>
      </c>
      <c r="BB188">
        <v>133.30000000000001</v>
      </c>
      <c r="BD188">
        <v>138.69999999999999</v>
      </c>
    </row>
    <row r="189" spans="1:56">
      <c r="A189" t="s">
        <v>33</v>
      </c>
      <c r="B189">
        <v>2018</v>
      </c>
      <c r="C189" t="s">
        <v>36</v>
      </c>
      <c r="D189">
        <v>135</v>
      </c>
      <c r="F189">
        <v>143.1</v>
      </c>
      <c r="H189">
        <v>135.5</v>
      </c>
      <c r="J189">
        <v>139.9</v>
      </c>
      <c r="L189">
        <v>116.5</v>
      </c>
      <c r="N189">
        <v>138.5</v>
      </c>
      <c r="P189">
        <v>128</v>
      </c>
      <c r="R189">
        <v>115.5</v>
      </c>
      <c r="T189">
        <v>114.2</v>
      </c>
      <c r="V189">
        <v>140.69999999999999</v>
      </c>
      <c r="X189">
        <v>126.2</v>
      </c>
      <c r="Z189">
        <v>147.6</v>
      </c>
      <c r="AB189">
        <v>134.80000000000001</v>
      </c>
      <c r="AD189">
        <v>159.69999999999999</v>
      </c>
      <c r="AF189">
        <v>136.69999999999999</v>
      </c>
      <c r="AH189">
        <v>126.7</v>
      </c>
      <c r="AJ189">
        <v>135.19999999999999</v>
      </c>
      <c r="AL189">
        <v>142</v>
      </c>
      <c r="AN189">
        <v>126.4</v>
      </c>
      <c r="AP189">
        <v>130.80000000000001</v>
      </c>
      <c r="AR189">
        <v>130.5</v>
      </c>
      <c r="AT189">
        <v>117.8</v>
      </c>
      <c r="AV189">
        <v>126.8</v>
      </c>
      <c r="AX189">
        <v>137.80000000000001</v>
      </c>
      <c r="AZ189">
        <v>126.7</v>
      </c>
      <c r="BB189">
        <v>127.1</v>
      </c>
      <c r="BD189">
        <v>134</v>
      </c>
    </row>
    <row r="190" spans="1:56" hidden="1">
      <c r="A190" t="s">
        <v>34</v>
      </c>
      <c r="B190">
        <v>2018</v>
      </c>
      <c r="C190" t="s">
        <v>36</v>
      </c>
      <c r="D190">
        <v>136.19999999999999</v>
      </c>
      <c r="F190">
        <v>143.6</v>
      </c>
      <c r="H190">
        <v>138.30000000000001</v>
      </c>
      <c r="J190">
        <v>141.19999999999999</v>
      </c>
      <c r="L190">
        <v>120.7</v>
      </c>
      <c r="N190">
        <v>146.19999999999999</v>
      </c>
      <c r="P190">
        <v>134.6</v>
      </c>
      <c r="R190">
        <v>124.6</v>
      </c>
      <c r="T190">
        <v>116.1</v>
      </c>
      <c r="V190">
        <v>137.80000000000001</v>
      </c>
      <c r="X190">
        <v>129.1</v>
      </c>
      <c r="Z190">
        <v>150.4</v>
      </c>
      <c r="AB190">
        <v>137.19999999999999</v>
      </c>
      <c r="AD190">
        <v>156.30000000000001</v>
      </c>
      <c r="AF190">
        <v>144.30000000000001</v>
      </c>
      <c r="AH190">
        <v>136.19999999999999</v>
      </c>
      <c r="AJ190">
        <v>143.1</v>
      </c>
      <c r="AL190">
        <v>142</v>
      </c>
      <c r="AN190">
        <v>136.5</v>
      </c>
      <c r="AP190">
        <v>135.6</v>
      </c>
      <c r="AR190">
        <v>134.30000000000001</v>
      </c>
      <c r="AT190">
        <v>121</v>
      </c>
      <c r="AV190">
        <v>130.4</v>
      </c>
      <c r="AX190">
        <v>139.80000000000001</v>
      </c>
      <c r="AZ190">
        <v>128.19999999999999</v>
      </c>
      <c r="BB190">
        <v>130.30000000000001</v>
      </c>
      <c r="BD190">
        <v>136.5</v>
      </c>
    </row>
    <row r="191" spans="1:56" hidden="1">
      <c r="A191" t="s">
        <v>30</v>
      </c>
      <c r="B191">
        <v>2018</v>
      </c>
      <c r="C191" t="s">
        <v>37</v>
      </c>
      <c r="D191">
        <v>137.1</v>
      </c>
      <c r="F191">
        <v>144.5</v>
      </c>
      <c r="H191">
        <v>135.9</v>
      </c>
      <c r="J191">
        <v>142.4</v>
      </c>
      <c r="L191">
        <v>123.5</v>
      </c>
      <c r="N191">
        <v>156.4</v>
      </c>
      <c r="P191">
        <v>135.1</v>
      </c>
      <c r="R191">
        <v>128.4</v>
      </c>
      <c r="T191">
        <v>115.2</v>
      </c>
      <c r="V191">
        <v>137.19999999999999</v>
      </c>
      <c r="X191">
        <v>131.9</v>
      </c>
      <c r="Z191">
        <v>153.80000000000001</v>
      </c>
      <c r="AB191">
        <v>138.6</v>
      </c>
      <c r="AD191">
        <v>156.1</v>
      </c>
      <c r="AF191">
        <v>150.1</v>
      </c>
      <c r="AH191">
        <v>143.30000000000001</v>
      </c>
      <c r="AJ191">
        <v>149.1</v>
      </c>
      <c r="AL191" t="s">
        <v>32</v>
      </c>
      <c r="AN191">
        <v>143.80000000000001</v>
      </c>
      <c r="AP191">
        <v>140.9</v>
      </c>
      <c r="AR191">
        <v>137.6</v>
      </c>
      <c r="AT191">
        <v>125.3</v>
      </c>
      <c r="AV191">
        <v>136</v>
      </c>
      <c r="AX191">
        <v>143.69999999999999</v>
      </c>
      <c r="AZ191">
        <v>130.4</v>
      </c>
      <c r="BB191">
        <v>134.19999999999999</v>
      </c>
      <c r="BD191">
        <v>139.1</v>
      </c>
    </row>
    <row r="192" spans="1:56">
      <c r="A192" t="s">
        <v>33</v>
      </c>
      <c r="B192">
        <v>2018</v>
      </c>
      <c r="C192" t="s">
        <v>37</v>
      </c>
      <c r="D192">
        <v>135</v>
      </c>
      <c r="F192">
        <v>144.30000000000001</v>
      </c>
      <c r="H192">
        <v>130.80000000000001</v>
      </c>
      <c r="J192">
        <v>140.30000000000001</v>
      </c>
      <c r="L192">
        <v>116.6</v>
      </c>
      <c r="N192">
        <v>150.1</v>
      </c>
      <c r="P192">
        <v>127.6</v>
      </c>
      <c r="R192">
        <v>114</v>
      </c>
      <c r="T192">
        <v>110.6</v>
      </c>
      <c r="V192">
        <v>140.19999999999999</v>
      </c>
      <c r="X192">
        <v>126.5</v>
      </c>
      <c r="Z192">
        <v>148.30000000000001</v>
      </c>
      <c r="AB192">
        <v>135.69999999999999</v>
      </c>
      <c r="AD192">
        <v>159.19999999999999</v>
      </c>
      <c r="AF192">
        <v>137.80000000000001</v>
      </c>
      <c r="AH192">
        <v>127.4</v>
      </c>
      <c r="AJ192">
        <v>136.19999999999999</v>
      </c>
      <c r="AL192">
        <v>142.9</v>
      </c>
      <c r="AN192">
        <v>124.6</v>
      </c>
      <c r="AP192">
        <v>131.80000000000001</v>
      </c>
      <c r="AR192">
        <v>131.30000000000001</v>
      </c>
      <c r="AT192">
        <v>118.9</v>
      </c>
      <c r="AV192">
        <v>127.6</v>
      </c>
      <c r="AX192">
        <v>139.69999999999999</v>
      </c>
      <c r="AZ192">
        <v>127.6</v>
      </c>
      <c r="BB192">
        <v>128.19999999999999</v>
      </c>
      <c r="BD192">
        <v>134.80000000000001</v>
      </c>
    </row>
    <row r="193" spans="1:56" hidden="1">
      <c r="A193" t="s">
        <v>34</v>
      </c>
      <c r="B193">
        <v>2018</v>
      </c>
      <c r="C193" t="s">
        <v>37</v>
      </c>
      <c r="D193">
        <v>136.4</v>
      </c>
      <c r="F193">
        <v>144.4</v>
      </c>
      <c r="H193">
        <v>133.9</v>
      </c>
      <c r="J193">
        <v>141.6</v>
      </c>
      <c r="L193">
        <v>121</v>
      </c>
      <c r="N193">
        <v>153.5</v>
      </c>
      <c r="P193">
        <v>132.6</v>
      </c>
      <c r="R193">
        <v>123.5</v>
      </c>
      <c r="T193">
        <v>113.7</v>
      </c>
      <c r="V193">
        <v>138.19999999999999</v>
      </c>
      <c r="X193">
        <v>129.6</v>
      </c>
      <c r="Z193">
        <v>151.19999999999999</v>
      </c>
      <c r="AB193">
        <v>137.5</v>
      </c>
      <c r="AD193">
        <v>156.9</v>
      </c>
      <c r="AF193">
        <v>145.30000000000001</v>
      </c>
      <c r="AH193">
        <v>136.69999999999999</v>
      </c>
      <c r="AJ193">
        <v>144</v>
      </c>
      <c r="AL193">
        <v>142.9</v>
      </c>
      <c r="AN193">
        <v>136.5</v>
      </c>
      <c r="AP193">
        <v>136.6</v>
      </c>
      <c r="AR193">
        <v>135.19999999999999</v>
      </c>
      <c r="AT193">
        <v>121.9</v>
      </c>
      <c r="AV193">
        <v>131.30000000000001</v>
      </c>
      <c r="AX193">
        <v>141.4</v>
      </c>
      <c r="AZ193">
        <v>129.19999999999999</v>
      </c>
      <c r="BB193">
        <v>131.30000000000001</v>
      </c>
      <c r="BD193">
        <v>137.1</v>
      </c>
    </row>
    <row r="194" spans="1:56" hidden="1">
      <c r="A194" t="s">
        <v>30</v>
      </c>
      <c r="B194">
        <v>2018</v>
      </c>
      <c r="C194" t="s">
        <v>38</v>
      </c>
      <c r="D194">
        <v>137.4</v>
      </c>
      <c r="F194">
        <v>145.69999999999999</v>
      </c>
      <c r="H194">
        <v>135.5</v>
      </c>
      <c r="J194">
        <v>142.9</v>
      </c>
      <c r="L194">
        <v>123.6</v>
      </c>
      <c r="N194">
        <v>157.5</v>
      </c>
      <c r="P194">
        <v>137.80000000000001</v>
      </c>
      <c r="R194">
        <v>127.2</v>
      </c>
      <c r="T194">
        <v>111.8</v>
      </c>
      <c r="V194">
        <v>137.4</v>
      </c>
      <c r="X194">
        <v>132.19999999999999</v>
      </c>
      <c r="Z194">
        <v>154.30000000000001</v>
      </c>
      <c r="AB194">
        <v>139.1</v>
      </c>
      <c r="AD194">
        <v>157</v>
      </c>
      <c r="AF194">
        <v>150.80000000000001</v>
      </c>
      <c r="AH194">
        <v>144.1</v>
      </c>
      <c r="AJ194">
        <v>149.80000000000001</v>
      </c>
      <c r="AL194" t="s">
        <v>32</v>
      </c>
      <c r="AN194">
        <v>144.30000000000001</v>
      </c>
      <c r="AP194">
        <v>141.80000000000001</v>
      </c>
      <c r="AR194">
        <v>138.4</v>
      </c>
      <c r="AT194">
        <v>126.4</v>
      </c>
      <c r="AV194">
        <v>136.80000000000001</v>
      </c>
      <c r="AX194">
        <v>144.4</v>
      </c>
      <c r="AZ194">
        <v>131.19999999999999</v>
      </c>
      <c r="BB194">
        <v>135.1</v>
      </c>
      <c r="BD194">
        <v>139.80000000000001</v>
      </c>
    </row>
    <row r="195" spans="1:56">
      <c r="A195" t="s">
        <v>33</v>
      </c>
      <c r="B195">
        <v>2018</v>
      </c>
      <c r="C195" t="s">
        <v>38</v>
      </c>
      <c r="D195">
        <v>135</v>
      </c>
      <c r="F195">
        <v>148.19999999999999</v>
      </c>
      <c r="H195">
        <v>130.5</v>
      </c>
      <c r="J195">
        <v>140.69999999999999</v>
      </c>
      <c r="L195">
        <v>116.4</v>
      </c>
      <c r="N195">
        <v>151.30000000000001</v>
      </c>
      <c r="P195">
        <v>131.4</v>
      </c>
      <c r="R195">
        <v>112.8</v>
      </c>
      <c r="T195">
        <v>105.3</v>
      </c>
      <c r="V195">
        <v>139.6</v>
      </c>
      <c r="X195">
        <v>126.6</v>
      </c>
      <c r="Z195">
        <v>148.69999999999999</v>
      </c>
      <c r="AB195">
        <v>136.4</v>
      </c>
      <c r="AD195">
        <v>160.30000000000001</v>
      </c>
      <c r="AF195">
        <v>138.6</v>
      </c>
      <c r="AH195">
        <v>127.9</v>
      </c>
      <c r="AJ195">
        <v>137</v>
      </c>
      <c r="AL195">
        <v>143.19999999999999</v>
      </c>
      <c r="AN195">
        <v>124.7</v>
      </c>
      <c r="AP195">
        <v>132.5</v>
      </c>
      <c r="AR195">
        <v>132</v>
      </c>
      <c r="AT195">
        <v>119.8</v>
      </c>
      <c r="AV195">
        <v>128</v>
      </c>
      <c r="AX195">
        <v>140.4</v>
      </c>
      <c r="AZ195">
        <v>128.1</v>
      </c>
      <c r="BB195">
        <v>128.9</v>
      </c>
      <c r="BD195">
        <v>135.4</v>
      </c>
    </row>
    <row r="196" spans="1:56" hidden="1">
      <c r="A196" t="s">
        <v>34</v>
      </c>
      <c r="B196">
        <v>2018</v>
      </c>
      <c r="C196" t="s">
        <v>38</v>
      </c>
      <c r="D196">
        <v>136.6</v>
      </c>
      <c r="F196">
        <v>146.6</v>
      </c>
      <c r="H196">
        <v>133.6</v>
      </c>
      <c r="J196">
        <v>142.1</v>
      </c>
      <c r="L196">
        <v>121</v>
      </c>
      <c r="N196">
        <v>154.6</v>
      </c>
      <c r="P196">
        <v>135.6</v>
      </c>
      <c r="R196">
        <v>122.3</v>
      </c>
      <c r="T196">
        <v>109.6</v>
      </c>
      <c r="V196">
        <v>138.1</v>
      </c>
      <c r="X196">
        <v>129.9</v>
      </c>
      <c r="Z196">
        <v>151.69999999999999</v>
      </c>
      <c r="AB196">
        <v>138.1</v>
      </c>
      <c r="AD196">
        <v>157.9</v>
      </c>
      <c r="AF196">
        <v>146</v>
      </c>
      <c r="AH196">
        <v>137.4</v>
      </c>
      <c r="AJ196">
        <v>144.69999999999999</v>
      </c>
      <c r="AL196">
        <v>143.19999999999999</v>
      </c>
      <c r="AN196">
        <v>136.9</v>
      </c>
      <c r="AP196">
        <v>137.4</v>
      </c>
      <c r="AR196">
        <v>136</v>
      </c>
      <c r="AT196">
        <v>122.9</v>
      </c>
      <c r="AV196">
        <v>131.80000000000001</v>
      </c>
      <c r="AX196">
        <v>142.1</v>
      </c>
      <c r="AZ196">
        <v>129.9</v>
      </c>
      <c r="BB196">
        <v>132.1</v>
      </c>
      <c r="BD196">
        <v>137.80000000000001</v>
      </c>
    </row>
    <row r="197" spans="1:56" hidden="1">
      <c r="A197" t="s">
        <v>30</v>
      </c>
      <c r="B197">
        <v>2018</v>
      </c>
      <c r="C197" t="s">
        <v>39</v>
      </c>
      <c r="D197">
        <v>137.6</v>
      </c>
      <c r="F197">
        <v>148.1</v>
      </c>
      <c r="H197">
        <v>136.69999999999999</v>
      </c>
      <c r="J197">
        <v>143.19999999999999</v>
      </c>
      <c r="L197">
        <v>124</v>
      </c>
      <c r="N197">
        <v>154.1</v>
      </c>
      <c r="P197">
        <v>143.5</v>
      </c>
      <c r="R197">
        <v>126</v>
      </c>
      <c r="T197">
        <v>112.4</v>
      </c>
      <c r="V197">
        <v>137.6</v>
      </c>
      <c r="X197">
        <v>132.80000000000001</v>
      </c>
      <c r="Z197">
        <v>154.30000000000001</v>
      </c>
      <c r="AB197">
        <v>140</v>
      </c>
      <c r="AD197">
        <v>157.30000000000001</v>
      </c>
      <c r="AF197">
        <v>151.30000000000001</v>
      </c>
      <c r="AH197">
        <v>144.69999999999999</v>
      </c>
      <c r="AJ197">
        <v>150.30000000000001</v>
      </c>
      <c r="AL197" t="s">
        <v>32</v>
      </c>
      <c r="AN197">
        <v>145.1</v>
      </c>
      <c r="AP197">
        <v>142.19999999999999</v>
      </c>
      <c r="AR197">
        <v>138.4</v>
      </c>
      <c r="AT197">
        <v>127.4</v>
      </c>
      <c r="AV197">
        <v>137.80000000000001</v>
      </c>
      <c r="AX197">
        <v>145.1</v>
      </c>
      <c r="AZ197">
        <v>131.4</v>
      </c>
      <c r="BB197">
        <v>135.6</v>
      </c>
      <c r="BD197">
        <v>140.5</v>
      </c>
    </row>
    <row r="198" spans="1:56">
      <c r="A198" t="s">
        <v>33</v>
      </c>
      <c r="B198">
        <v>2018</v>
      </c>
      <c r="C198" t="s">
        <v>39</v>
      </c>
      <c r="D198">
        <v>135.30000000000001</v>
      </c>
      <c r="F198">
        <v>149.69999999999999</v>
      </c>
      <c r="H198">
        <v>133.9</v>
      </c>
      <c r="J198">
        <v>140.80000000000001</v>
      </c>
      <c r="L198">
        <v>116.6</v>
      </c>
      <c r="N198">
        <v>152.19999999999999</v>
      </c>
      <c r="P198">
        <v>144</v>
      </c>
      <c r="R198">
        <v>112.3</v>
      </c>
      <c r="T198">
        <v>108.4</v>
      </c>
      <c r="V198">
        <v>140</v>
      </c>
      <c r="X198">
        <v>126.7</v>
      </c>
      <c r="Z198">
        <v>149</v>
      </c>
      <c r="AB198">
        <v>138.4</v>
      </c>
      <c r="AD198">
        <v>161</v>
      </c>
      <c r="AF198">
        <v>138.9</v>
      </c>
      <c r="AH198">
        <v>128.69999999999999</v>
      </c>
      <c r="AJ198">
        <v>137.4</v>
      </c>
      <c r="AL198">
        <v>142.5</v>
      </c>
      <c r="AN198">
        <v>126.5</v>
      </c>
      <c r="AP198">
        <v>133.1</v>
      </c>
      <c r="AR198">
        <v>132.6</v>
      </c>
      <c r="AT198">
        <v>120.4</v>
      </c>
      <c r="AV198">
        <v>128.5</v>
      </c>
      <c r="AX198">
        <v>141.19999999999999</v>
      </c>
      <c r="AZ198">
        <v>128.19999999999999</v>
      </c>
      <c r="BB198">
        <v>129.5</v>
      </c>
      <c r="BD198">
        <v>136.19999999999999</v>
      </c>
    </row>
    <row r="199" spans="1:56" hidden="1">
      <c r="A199" t="s">
        <v>34</v>
      </c>
      <c r="B199">
        <v>2018</v>
      </c>
      <c r="C199" t="s">
        <v>39</v>
      </c>
      <c r="D199">
        <v>136.9</v>
      </c>
      <c r="F199">
        <v>148.69999999999999</v>
      </c>
      <c r="H199">
        <v>135.6</v>
      </c>
      <c r="J199">
        <v>142.30000000000001</v>
      </c>
      <c r="L199">
        <v>121.3</v>
      </c>
      <c r="N199">
        <v>153.19999999999999</v>
      </c>
      <c r="P199">
        <v>143.69999999999999</v>
      </c>
      <c r="R199">
        <v>121.4</v>
      </c>
      <c r="T199">
        <v>111.1</v>
      </c>
      <c r="V199">
        <v>138.4</v>
      </c>
      <c r="X199">
        <v>130.30000000000001</v>
      </c>
      <c r="Z199">
        <v>151.80000000000001</v>
      </c>
      <c r="AB199">
        <v>139.4</v>
      </c>
      <c r="AD199">
        <v>158.30000000000001</v>
      </c>
      <c r="AF199">
        <v>146.4</v>
      </c>
      <c r="AH199">
        <v>138.1</v>
      </c>
      <c r="AJ199">
        <v>145.19999999999999</v>
      </c>
      <c r="AL199">
        <v>142.5</v>
      </c>
      <c r="AN199">
        <v>138.1</v>
      </c>
      <c r="AP199">
        <v>137.9</v>
      </c>
      <c r="AR199">
        <v>136.19999999999999</v>
      </c>
      <c r="AT199">
        <v>123.7</v>
      </c>
      <c r="AV199">
        <v>132.6</v>
      </c>
      <c r="AX199">
        <v>142.80000000000001</v>
      </c>
      <c r="AZ199">
        <v>130.1</v>
      </c>
      <c r="BB199">
        <v>132.6</v>
      </c>
      <c r="BD199">
        <v>138.5</v>
      </c>
    </row>
    <row r="200" spans="1:56" hidden="1">
      <c r="A200" t="s">
        <v>30</v>
      </c>
      <c r="B200">
        <v>2018</v>
      </c>
      <c r="C200" t="s">
        <v>40</v>
      </c>
      <c r="D200">
        <v>138.4</v>
      </c>
      <c r="F200">
        <v>149.30000000000001</v>
      </c>
      <c r="H200">
        <v>139.30000000000001</v>
      </c>
      <c r="J200">
        <v>143.4</v>
      </c>
      <c r="L200">
        <v>124.1</v>
      </c>
      <c r="N200">
        <v>153.30000000000001</v>
      </c>
      <c r="P200">
        <v>154.19999999999999</v>
      </c>
      <c r="R200">
        <v>126.4</v>
      </c>
      <c r="T200">
        <v>114.3</v>
      </c>
      <c r="V200">
        <v>138.19999999999999</v>
      </c>
      <c r="X200">
        <v>132.80000000000001</v>
      </c>
      <c r="Z200">
        <v>154.80000000000001</v>
      </c>
      <c r="AB200">
        <v>142</v>
      </c>
      <c r="AD200">
        <v>156.1</v>
      </c>
      <c r="AF200">
        <v>151.5</v>
      </c>
      <c r="AH200">
        <v>145.1</v>
      </c>
      <c r="AJ200">
        <v>150.6</v>
      </c>
      <c r="AL200" t="s">
        <v>32</v>
      </c>
      <c r="AN200">
        <v>146.80000000000001</v>
      </c>
      <c r="AP200">
        <v>143.1</v>
      </c>
      <c r="AR200">
        <v>139</v>
      </c>
      <c r="AT200">
        <v>127.5</v>
      </c>
      <c r="AV200">
        <v>138.4</v>
      </c>
      <c r="AX200">
        <v>145.80000000000001</v>
      </c>
      <c r="AZ200">
        <v>131.4</v>
      </c>
      <c r="BB200">
        <v>136</v>
      </c>
      <c r="BD200">
        <v>141.80000000000001</v>
      </c>
    </row>
    <row r="201" spans="1:56">
      <c r="A201" t="s">
        <v>33</v>
      </c>
      <c r="B201">
        <v>2018</v>
      </c>
      <c r="C201" t="s">
        <v>40</v>
      </c>
      <c r="D201">
        <v>135.6</v>
      </c>
      <c r="F201">
        <v>148.6</v>
      </c>
      <c r="H201">
        <v>139.1</v>
      </c>
      <c r="J201">
        <v>141</v>
      </c>
      <c r="L201">
        <v>116.7</v>
      </c>
      <c r="N201">
        <v>149.69999999999999</v>
      </c>
      <c r="P201">
        <v>159.19999999999999</v>
      </c>
      <c r="R201">
        <v>112.6</v>
      </c>
      <c r="T201">
        <v>111.8</v>
      </c>
      <c r="V201">
        <v>140.30000000000001</v>
      </c>
      <c r="X201">
        <v>126.8</v>
      </c>
      <c r="Z201">
        <v>149.4</v>
      </c>
      <c r="AB201">
        <v>140.30000000000001</v>
      </c>
      <c r="AD201">
        <v>161.4</v>
      </c>
      <c r="AF201">
        <v>139.6</v>
      </c>
      <c r="AH201">
        <v>128.9</v>
      </c>
      <c r="AJ201">
        <v>137.9</v>
      </c>
      <c r="AL201">
        <v>143.6</v>
      </c>
      <c r="AN201">
        <v>128.1</v>
      </c>
      <c r="AP201">
        <v>133.6</v>
      </c>
      <c r="AR201">
        <v>133.6</v>
      </c>
      <c r="AT201">
        <v>120.1</v>
      </c>
      <c r="AV201">
        <v>129</v>
      </c>
      <c r="AX201">
        <v>144</v>
      </c>
      <c r="AZ201">
        <v>128.19999999999999</v>
      </c>
      <c r="BB201">
        <v>130.19999999999999</v>
      </c>
      <c r="BD201">
        <v>137.5</v>
      </c>
    </row>
    <row r="202" spans="1:56" hidden="1">
      <c r="A202" t="s">
        <v>34</v>
      </c>
      <c r="B202">
        <v>2018</v>
      </c>
      <c r="C202" t="s">
        <v>40</v>
      </c>
      <c r="D202">
        <v>137.5</v>
      </c>
      <c r="F202">
        <v>149.1</v>
      </c>
      <c r="H202">
        <v>139.19999999999999</v>
      </c>
      <c r="J202">
        <v>142.5</v>
      </c>
      <c r="L202">
        <v>121.4</v>
      </c>
      <c r="N202">
        <v>151.6</v>
      </c>
      <c r="P202">
        <v>155.9</v>
      </c>
      <c r="R202">
        <v>121.7</v>
      </c>
      <c r="T202">
        <v>113.5</v>
      </c>
      <c r="V202">
        <v>138.9</v>
      </c>
      <c r="X202">
        <v>130.30000000000001</v>
      </c>
      <c r="Z202">
        <v>152.30000000000001</v>
      </c>
      <c r="AB202">
        <v>141.4</v>
      </c>
      <c r="AD202">
        <v>157.5</v>
      </c>
      <c r="AF202">
        <v>146.80000000000001</v>
      </c>
      <c r="AH202">
        <v>138.4</v>
      </c>
      <c r="AJ202">
        <v>145.6</v>
      </c>
      <c r="AL202">
        <v>143.6</v>
      </c>
      <c r="AN202">
        <v>139.69999999999999</v>
      </c>
      <c r="AP202">
        <v>138.6</v>
      </c>
      <c r="AR202">
        <v>137</v>
      </c>
      <c r="AT202">
        <v>123.6</v>
      </c>
      <c r="AV202">
        <v>133.1</v>
      </c>
      <c r="AX202">
        <v>144.69999999999999</v>
      </c>
      <c r="AZ202">
        <v>130.1</v>
      </c>
      <c r="BB202">
        <v>133.19999999999999</v>
      </c>
      <c r="BD202">
        <v>139.80000000000001</v>
      </c>
    </row>
    <row r="203" spans="1:56" hidden="1">
      <c r="A203" t="s">
        <v>30</v>
      </c>
      <c r="B203">
        <v>2018</v>
      </c>
      <c r="C203" t="s">
        <v>41</v>
      </c>
      <c r="D203">
        <v>139.19999999999999</v>
      </c>
      <c r="F203">
        <v>148.80000000000001</v>
      </c>
      <c r="H203">
        <v>139.1</v>
      </c>
      <c r="J203">
        <v>143.5</v>
      </c>
      <c r="L203">
        <v>125</v>
      </c>
      <c r="N203">
        <v>154.4</v>
      </c>
      <c r="P203">
        <v>156.30000000000001</v>
      </c>
      <c r="R203">
        <v>126.8</v>
      </c>
      <c r="T203">
        <v>115.4</v>
      </c>
      <c r="V203">
        <v>138.6</v>
      </c>
      <c r="X203">
        <v>133.80000000000001</v>
      </c>
      <c r="Z203">
        <v>155.19999999999999</v>
      </c>
      <c r="AB203">
        <v>142.69999999999999</v>
      </c>
      <c r="AD203">
        <v>156.4</v>
      </c>
      <c r="AF203">
        <v>152.1</v>
      </c>
      <c r="AH203">
        <v>145.80000000000001</v>
      </c>
      <c r="AJ203">
        <v>151.30000000000001</v>
      </c>
      <c r="AL203" t="s">
        <v>32</v>
      </c>
      <c r="AN203">
        <v>147.69999999999999</v>
      </c>
      <c r="AP203">
        <v>143.80000000000001</v>
      </c>
      <c r="AR203">
        <v>139.4</v>
      </c>
      <c r="AT203">
        <v>128.30000000000001</v>
      </c>
      <c r="AV203">
        <v>138.6</v>
      </c>
      <c r="AX203">
        <v>146.9</v>
      </c>
      <c r="AZ203">
        <v>131.30000000000001</v>
      </c>
      <c r="BB203">
        <v>136.6</v>
      </c>
      <c r="BD203">
        <v>142.5</v>
      </c>
    </row>
    <row r="204" spans="1:56">
      <c r="A204" t="s">
        <v>33</v>
      </c>
      <c r="B204">
        <v>2018</v>
      </c>
      <c r="C204" t="s">
        <v>41</v>
      </c>
      <c r="D204">
        <v>136.5</v>
      </c>
      <c r="F204">
        <v>146.4</v>
      </c>
      <c r="H204">
        <v>136.6</v>
      </c>
      <c r="J204">
        <v>141.19999999999999</v>
      </c>
      <c r="L204">
        <v>117.4</v>
      </c>
      <c r="N204">
        <v>146.30000000000001</v>
      </c>
      <c r="P204">
        <v>157.30000000000001</v>
      </c>
      <c r="R204">
        <v>113.6</v>
      </c>
      <c r="T204">
        <v>113.3</v>
      </c>
      <c r="V204">
        <v>141.1</v>
      </c>
      <c r="X204">
        <v>127.4</v>
      </c>
      <c r="Z204">
        <v>150.4</v>
      </c>
      <c r="AB204">
        <v>140.1</v>
      </c>
      <c r="AD204">
        <v>162.1</v>
      </c>
      <c r="AF204">
        <v>140</v>
      </c>
      <c r="AH204">
        <v>129</v>
      </c>
      <c r="AJ204">
        <v>138.30000000000001</v>
      </c>
      <c r="AL204">
        <v>144.6</v>
      </c>
      <c r="AN204">
        <v>129.80000000000001</v>
      </c>
      <c r="AP204">
        <v>134.4</v>
      </c>
      <c r="AR204">
        <v>134.9</v>
      </c>
      <c r="AT204">
        <v>120.7</v>
      </c>
      <c r="AV204">
        <v>129.80000000000001</v>
      </c>
      <c r="AX204">
        <v>145.30000000000001</v>
      </c>
      <c r="AZ204">
        <v>128.30000000000001</v>
      </c>
      <c r="BB204">
        <v>131</v>
      </c>
      <c r="BD204">
        <v>138</v>
      </c>
    </row>
    <row r="205" spans="1:56" hidden="1">
      <c r="A205" t="s">
        <v>34</v>
      </c>
      <c r="B205">
        <v>2018</v>
      </c>
      <c r="C205" t="s">
        <v>41</v>
      </c>
      <c r="D205">
        <v>138.30000000000001</v>
      </c>
      <c r="F205">
        <v>148</v>
      </c>
      <c r="H205">
        <v>138.1</v>
      </c>
      <c r="J205">
        <v>142.6</v>
      </c>
      <c r="L205">
        <v>122.2</v>
      </c>
      <c r="N205">
        <v>150.6</v>
      </c>
      <c r="P205">
        <v>156.6</v>
      </c>
      <c r="R205">
        <v>122.4</v>
      </c>
      <c r="T205">
        <v>114.7</v>
      </c>
      <c r="V205">
        <v>139.4</v>
      </c>
      <c r="X205">
        <v>131.1</v>
      </c>
      <c r="Z205">
        <v>153</v>
      </c>
      <c r="AB205">
        <v>141.69999999999999</v>
      </c>
      <c r="AD205">
        <v>157.9</v>
      </c>
      <c r="AF205">
        <v>147.30000000000001</v>
      </c>
      <c r="AH205">
        <v>138.80000000000001</v>
      </c>
      <c r="AJ205">
        <v>146.1</v>
      </c>
      <c r="AL205">
        <v>144.6</v>
      </c>
      <c r="AN205">
        <v>140.9</v>
      </c>
      <c r="AP205">
        <v>139.4</v>
      </c>
      <c r="AR205">
        <v>137.69999999999999</v>
      </c>
      <c r="AT205">
        <v>124.3</v>
      </c>
      <c r="AV205">
        <v>133.6</v>
      </c>
      <c r="AX205">
        <v>146</v>
      </c>
      <c r="AZ205">
        <v>130.1</v>
      </c>
      <c r="BB205">
        <v>133.9</v>
      </c>
      <c r="BD205">
        <v>140.4</v>
      </c>
    </row>
    <row r="206" spans="1:56" hidden="1">
      <c r="A206" t="s">
        <v>30</v>
      </c>
      <c r="B206">
        <v>2018</v>
      </c>
      <c r="C206" t="s">
        <v>42</v>
      </c>
      <c r="D206">
        <v>139.4</v>
      </c>
      <c r="F206">
        <v>147.19999999999999</v>
      </c>
      <c r="H206">
        <v>136.6</v>
      </c>
      <c r="J206">
        <v>143.69999999999999</v>
      </c>
      <c r="L206">
        <v>124.6</v>
      </c>
      <c r="N206">
        <v>150.1</v>
      </c>
      <c r="P206">
        <v>149.4</v>
      </c>
      <c r="R206">
        <v>125.4</v>
      </c>
      <c r="T206">
        <v>114.4</v>
      </c>
      <c r="V206">
        <v>138.69999999999999</v>
      </c>
      <c r="X206">
        <v>133.1</v>
      </c>
      <c r="Z206">
        <v>155.9</v>
      </c>
      <c r="AB206">
        <v>141.30000000000001</v>
      </c>
      <c r="AD206">
        <v>157.69999999999999</v>
      </c>
      <c r="AF206">
        <v>152.1</v>
      </c>
      <c r="AH206">
        <v>146.1</v>
      </c>
      <c r="AJ206">
        <v>151.30000000000001</v>
      </c>
      <c r="AL206" t="s">
        <v>32</v>
      </c>
      <c r="AN206">
        <v>149</v>
      </c>
      <c r="AP206">
        <v>144</v>
      </c>
      <c r="AR206">
        <v>140</v>
      </c>
      <c r="AT206">
        <v>129.9</v>
      </c>
      <c r="AV206">
        <v>140</v>
      </c>
      <c r="AX206">
        <v>147.6</v>
      </c>
      <c r="AZ206">
        <v>132</v>
      </c>
      <c r="BB206">
        <v>137.4</v>
      </c>
      <c r="BD206">
        <v>142.1</v>
      </c>
    </row>
    <row r="207" spans="1:56">
      <c r="A207" t="s">
        <v>33</v>
      </c>
      <c r="B207">
        <v>2018</v>
      </c>
      <c r="C207" t="s">
        <v>42</v>
      </c>
      <c r="D207">
        <v>137</v>
      </c>
      <c r="F207">
        <v>143.1</v>
      </c>
      <c r="H207">
        <v>132.80000000000001</v>
      </c>
      <c r="J207">
        <v>141.5</v>
      </c>
      <c r="L207">
        <v>117.8</v>
      </c>
      <c r="N207">
        <v>140</v>
      </c>
      <c r="P207">
        <v>151.30000000000001</v>
      </c>
      <c r="R207">
        <v>113.5</v>
      </c>
      <c r="T207">
        <v>112.3</v>
      </c>
      <c r="V207">
        <v>141.19999999999999</v>
      </c>
      <c r="X207">
        <v>127.7</v>
      </c>
      <c r="Z207">
        <v>151.30000000000001</v>
      </c>
      <c r="AB207">
        <v>138.9</v>
      </c>
      <c r="AD207">
        <v>163.30000000000001</v>
      </c>
      <c r="AF207">
        <v>140.80000000000001</v>
      </c>
      <c r="AH207">
        <v>129.30000000000001</v>
      </c>
      <c r="AJ207">
        <v>139.1</v>
      </c>
      <c r="AL207">
        <v>145.30000000000001</v>
      </c>
      <c r="AN207">
        <v>131.19999999999999</v>
      </c>
      <c r="AP207">
        <v>134.9</v>
      </c>
      <c r="AR207">
        <v>135.69999999999999</v>
      </c>
      <c r="AT207">
        <v>122.5</v>
      </c>
      <c r="AV207">
        <v>130.19999999999999</v>
      </c>
      <c r="AX207">
        <v>145.19999999999999</v>
      </c>
      <c r="AZ207">
        <v>129.30000000000001</v>
      </c>
      <c r="BB207">
        <v>131.9</v>
      </c>
      <c r="BD207">
        <v>138.1</v>
      </c>
    </row>
    <row r="208" spans="1:56" hidden="1">
      <c r="A208" t="s">
        <v>34</v>
      </c>
      <c r="B208">
        <v>2018</v>
      </c>
      <c r="C208" t="s">
        <v>42</v>
      </c>
      <c r="D208">
        <v>138.6</v>
      </c>
      <c r="F208">
        <v>145.80000000000001</v>
      </c>
      <c r="H208">
        <v>135.1</v>
      </c>
      <c r="J208">
        <v>142.9</v>
      </c>
      <c r="L208">
        <v>122.1</v>
      </c>
      <c r="N208">
        <v>145.4</v>
      </c>
      <c r="P208">
        <v>150</v>
      </c>
      <c r="R208">
        <v>121.4</v>
      </c>
      <c r="T208">
        <v>113.7</v>
      </c>
      <c r="V208">
        <v>139.5</v>
      </c>
      <c r="X208">
        <v>130.80000000000001</v>
      </c>
      <c r="Z208">
        <v>153.80000000000001</v>
      </c>
      <c r="AB208">
        <v>140.4</v>
      </c>
      <c r="AD208">
        <v>159.19999999999999</v>
      </c>
      <c r="AF208">
        <v>147.69999999999999</v>
      </c>
      <c r="AH208">
        <v>139.1</v>
      </c>
      <c r="AJ208">
        <v>146.5</v>
      </c>
      <c r="AL208">
        <v>145.30000000000001</v>
      </c>
      <c r="AN208">
        <v>142.30000000000001</v>
      </c>
      <c r="AP208">
        <v>139.69999999999999</v>
      </c>
      <c r="AR208">
        <v>138.4</v>
      </c>
      <c r="AT208">
        <v>126</v>
      </c>
      <c r="AV208">
        <v>134.5</v>
      </c>
      <c r="AX208">
        <v>146.19999999999999</v>
      </c>
      <c r="AZ208">
        <v>130.9</v>
      </c>
      <c r="BB208">
        <v>134.69999999999999</v>
      </c>
      <c r="BD208">
        <v>140.19999999999999</v>
      </c>
    </row>
    <row r="209" spans="1:56" hidden="1">
      <c r="A209" t="s">
        <v>30</v>
      </c>
      <c r="B209">
        <v>2018</v>
      </c>
      <c r="C209" t="s">
        <v>43</v>
      </c>
      <c r="D209">
        <v>139.30000000000001</v>
      </c>
      <c r="F209">
        <v>147.6</v>
      </c>
      <c r="H209">
        <v>134.6</v>
      </c>
      <c r="J209">
        <v>141.9</v>
      </c>
      <c r="L209">
        <v>123.5</v>
      </c>
      <c r="N209">
        <v>144.5</v>
      </c>
      <c r="P209">
        <v>147.6</v>
      </c>
      <c r="R209">
        <v>121.4</v>
      </c>
      <c r="T209">
        <v>112.3</v>
      </c>
      <c r="V209">
        <v>139.5</v>
      </c>
      <c r="X209">
        <v>134.6</v>
      </c>
      <c r="Z209">
        <v>155.19999999999999</v>
      </c>
      <c r="AB209">
        <v>140.19999999999999</v>
      </c>
      <c r="AD209">
        <v>159.6</v>
      </c>
      <c r="AF209">
        <v>150.69999999999999</v>
      </c>
      <c r="AH209">
        <v>144.5</v>
      </c>
      <c r="AJ209">
        <v>149.80000000000001</v>
      </c>
      <c r="AL209" t="s">
        <v>32</v>
      </c>
      <c r="AN209">
        <v>149.69999999999999</v>
      </c>
      <c r="AP209">
        <v>147.5</v>
      </c>
      <c r="AR209">
        <v>144.80000000000001</v>
      </c>
      <c r="AT209">
        <v>130.80000000000001</v>
      </c>
      <c r="AV209">
        <v>140.1</v>
      </c>
      <c r="AX209">
        <v>148</v>
      </c>
      <c r="AZ209">
        <v>134.4</v>
      </c>
      <c r="BB209">
        <v>139.80000000000001</v>
      </c>
      <c r="BD209">
        <v>142.19999999999999</v>
      </c>
    </row>
    <row r="210" spans="1:56">
      <c r="A210" t="s">
        <v>33</v>
      </c>
      <c r="B210">
        <v>2018</v>
      </c>
      <c r="C210" t="s">
        <v>43</v>
      </c>
      <c r="D210">
        <v>137.6</v>
      </c>
      <c r="F210">
        <v>144.9</v>
      </c>
      <c r="H210">
        <v>133.5</v>
      </c>
      <c r="J210">
        <v>141.5</v>
      </c>
      <c r="L210">
        <v>118</v>
      </c>
      <c r="N210">
        <v>139.5</v>
      </c>
      <c r="P210">
        <v>153</v>
      </c>
      <c r="R210">
        <v>113.2</v>
      </c>
      <c r="T210">
        <v>112.8</v>
      </c>
      <c r="V210">
        <v>141.1</v>
      </c>
      <c r="X210">
        <v>127.6</v>
      </c>
      <c r="Z210">
        <v>152</v>
      </c>
      <c r="AB210">
        <v>139.4</v>
      </c>
      <c r="AD210">
        <v>164</v>
      </c>
      <c r="AF210">
        <v>141.5</v>
      </c>
      <c r="AH210">
        <v>129.80000000000001</v>
      </c>
      <c r="AJ210">
        <v>139.69999999999999</v>
      </c>
      <c r="AL210">
        <v>146.30000000000001</v>
      </c>
      <c r="AN210">
        <v>133.4</v>
      </c>
      <c r="AP210">
        <v>135.1</v>
      </c>
      <c r="AR210">
        <v>136.19999999999999</v>
      </c>
      <c r="AT210">
        <v>123.3</v>
      </c>
      <c r="AV210">
        <v>130.69999999999999</v>
      </c>
      <c r="AX210">
        <v>145.5</v>
      </c>
      <c r="AZ210">
        <v>130.4</v>
      </c>
      <c r="BB210">
        <v>132.5</v>
      </c>
      <c r="BD210">
        <v>138.9</v>
      </c>
    </row>
    <row r="211" spans="1:56" hidden="1">
      <c r="A211" t="s">
        <v>34</v>
      </c>
      <c r="B211">
        <v>2018</v>
      </c>
      <c r="C211" t="s">
        <v>43</v>
      </c>
      <c r="D211">
        <v>137.4</v>
      </c>
      <c r="F211">
        <v>149.5</v>
      </c>
      <c r="H211">
        <v>137.30000000000001</v>
      </c>
      <c r="J211">
        <v>141.9</v>
      </c>
      <c r="L211">
        <v>121.1</v>
      </c>
      <c r="N211">
        <v>142.5</v>
      </c>
      <c r="P211">
        <v>146.69999999999999</v>
      </c>
      <c r="R211">
        <v>119.1</v>
      </c>
      <c r="T211">
        <v>111.9</v>
      </c>
      <c r="V211">
        <v>141</v>
      </c>
      <c r="X211">
        <v>133.6</v>
      </c>
      <c r="Z211">
        <v>154.5</v>
      </c>
      <c r="AB211">
        <v>139.69999999999999</v>
      </c>
      <c r="AD211">
        <v>162.6</v>
      </c>
      <c r="AF211">
        <v>148</v>
      </c>
      <c r="AH211">
        <v>139.19999999999999</v>
      </c>
      <c r="AJ211">
        <v>146.80000000000001</v>
      </c>
      <c r="AL211">
        <v>146.9</v>
      </c>
      <c r="AN211">
        <v>145.30000000000001</v>
      </c>
      <c r="AP211">
        <v>142.19999999999999</v>
      </c>
      <c r="AR211">
        <v>142.1</v>
      </c>
      <c r="AT211">
        <v>125.5</v>
      </c>
      <c r="AV211">
        <v>136.5</v>
      </c>
      <c r="AX211">
        <v>147.80000000000001</v>
      </c>
      <c r="AZ211">
        <v>132</v>
      </c>
      <c r="BB211">
        <v>136.30000000000001</v>
      </c>
      <c r="BD211">
        <v>140.80000000000001</v>
      </c>
    </row>
    <row r="212" spans="1:56" hidden="1">
      <c r="A212" t="s">
        <v>30</v>
      </c>
      <c r="B212">
        <v>2018</v>
      </c>
      <c r="C212" t="s">
        <v>45</v>
      </c>
      <c r="D212">
        <v>137.1</v>
      </c>
      <c r="F212">
        <v>150.80000000000001</v>
      </c>
      <c r="H212">
        <v>136.69999999999999</v>
      </c>
      <c r="J212">
        <v>141.9</v>
      </c>
      <c r="L212">
        <v>122.8</v>
      </c>
      <c r="N212">
        <v>143.9</v>
      </c>
      <c r="P212">
        <v>147.5</v>
      </c>
      <c r="R212">
        <v>121</v>
      </c>
      <c r="T212">
        <v>111.6</v>
      </c>
      <c r="V212">
        <v>140.6</v>
      </c>
      <c r="X212">
        <v>137.5</v>
      </c>
      <c r="Z212">
        <v>156.1</v>
      </c>
      <c r="AB212">
        <v>140</v>
      </c>
      <c r="AD212">
        <v>161.9</v>
      </c>
      <c r="AF212">
        <v>151.69999999999999</v>
      </c>
      <c r="AH212">
        <v>145.5</v>
      </c>
      <c r="AJ212">
        <v>150.80000000000001</v>
      </c>
      <c r="AL212" t="s">
        <v>32</v>
      </c>
      <c r="AN212">
        <v>150.30000000000001</v>
      </c>
      <c r="AP212">
        <v>148</v>
      </c>
      <c r="AR212">
        <v>145.4</v>
      </c>
      <c r="AT212">
        <v>130.30000000000001</v>
      </c>
      <c r="AV212">
        <v>143.1</v>
      </c>
      <c r="AX212">
        <v>150.19999999999999</v>
      </c>
      <c r="AZ212">
        <v>133.1</v>
      </c>
      <c r="BB212">
        <v>140.1</v>
      </c>
      <c r="BD212">
        <v>142.4</v>
      </c>
    </row>
    <row r="213" spans="1:56">
      <c r="A213" t="s">
        <v>33</v>
      </c>
      <c r="B213">
        <v>2018</v>
      </c>
      <c r="C213" t="s">
        <v>45</v>
      </c>
      <c r="D213">
        <v>138.1</v>
      </c>
      <c r="F213">
        <v>146.30000000000001</v>
      </c>
      <c r="H213">
        <v>137.80000000000001</v>
      </c>
      <c r="J213">
        <v>141.6</v>
      </c>
      <c r="L213">
        <v>118.1</v>
      </c>
      <c r="N213">
        <v>141.5</v>
      </c>
      <c r="P213">
        <v>145.19999999999999</v>
      </c>
      <c r="R213">
        <v>115.3</v>
      </c>
      <c r="T213">
        <v>112.5</v>
      </c>
      <c r="V213">
        <v>141.4</v>
      </c>
      <c r="X213">
        <v>128</v>
      </c>
      <c r="Z213">
        <v>152.6</v>
      </c>
      <c r="AB213">
        <v>139.1</v>
      </c>
      <c r="AD213">
        <v>164.4</v>
      </c>
      <c r="AF213">
        <v>142.4</v>
      </c>
      <c r="AH213">
        <v>130.19999999999999</v>
      </c>
      <c r="AJ213">
        <v>140.5</v>
      </c>
      <c r="AL213">
        <v>146.9</v>
      </c>
      <c r="AN213">
        <v>136.69999999999999</v>
      </c>
      <c r="AP213">
        <v>135.80000000000001</v>
      </c>
      <c r="AR213">
        <v>136.80000000000001</v>
      </c>
      <c r="AT213">
        <v>121.2</v>
      </c>
      <c r="AV213">
        <v>131.30000000000001</v>
      </c>
      <c r="AX213">
        <v>146.1</v>
      </c>
      <c r="AZ213">
        <v>130.5</v>
      </c>
      <c r="BB213">
        <v>132.19999999999999</v>
      </c>
      <c r="BD213">
        <v>139</v>
      </c>
    </row>
    <row r="214" spans="1:56" hidden="1">
      <c r="A214" t="s">
        <v>34</v>
      </c>
      <c r="B214">
        <v>2018</v>
      </c>
      <c r="C214" t="s">
        <v>45</v>
      </c>
      <c r="D214">
        <v>137.4</v>
      </c>
      <c r="F214">
        <v>149.19999999999999</v>
      </c>
      <c r="H214">
        <v>137.1</v>
      </c>
      <c r="J214">
        <v>141.80000000000001</v>
      </c>
      <c r="L214">
        <v>121.1</v>
      </c>
      <c r="N214">
        <v>142.80000000000001</v>
      </c>
      <c r="P214">
        <v>146.69999999999999</v>
      </c>
      <c r="R214">
        <v>119.1</v>
      </c>
      <c r="T214">
        <v>111.9</v>
      </c>
      <c r="V214">
        <v>140.9</v>
      </c>
      <c r="X214">
        <v>133.5</v>
      </c>
      <c r="Z214">
        <v>154.5</v>
      </c>
      <c r="AB214">
        <v>139.69999999999999</v>
      </c>
      <c r="AD214">
        <v>162.6</v>
      </c>
      <c r="AF214">
        <v>148</v>
      </c>
      <c r="AH214">
        <v>139.1</v>
      </c>
      <c r="AJ214">
        <v>146.69999999999999</v>
      </c>
      <c r="AL214">
        <v>146.9</v>
      </c>
      <c r="AN214">
        <v>145.1</v>
      </c>
      <c r="AP214">
        <v>142.19999999999999</v>
      </c>
      <c r="AR214">
        <v>142.1</v>
      </c>
      <c r="AT214">
        <v>125.5</v>
      </c>
      <c r="AV214">
        <v>136.5</v>
      </c>
      <c r="AX214">
        <v>147.80000000000001</v>
      </c>
      <c r="AZ214">
        <v>132</v>
      </c>
      <c r="BB214">
        <v>136.30000000000001</v>
      </c>
      <c r="BD214">
        <v>140.80000000000001</v>
      </c>
    </row>
    <row r="215" spans="1:56" hidden="1">
      <c r="A215" t="s">
        <v>30</v>
      </c>
      <c r="B215">
        <v>2018</v>
      </c>
      <c r="C215" t="s">
        <v>46</v>
      </c>
      <c r="D215">
        <v>137.1</v>
      </c>
      <c r="F215">
        <v>151.9</v>
      </c>
      <c r="H215">
        <v>137.4</v>
      </c>
      <c r="J215">
        <v>142.4</v>
      </c>
      <c r="L215">
        <v>124.2</v>
      </c>
      <c r="N215">
        <v>140.19999999999999</v>
      </c>
      <c r="P215">
        <v>136.6</v>
      </c>
      <c r="R215">
        <v>120.9</v>
      </c>
      <c r="T215">
        <v>109.9</v>
      </c>
      <c r="V215">
        <v>140.19999999999999</v>
      </c>
      <c r="X215">
        <v>137.80000000000001</v>
      </c>
      <c r="Z215">
        <v>156</v>
      </c>
      <c r="AB215">
        <v>138.5</v>
      </c>
      <c r="AD215">
        <v>162.4</v>
      </c>
      <c r="AF215">
        <v>151.6</v>
      </c>
      <c r="AH215">
        <v>145.9</v>
      </c>
      <c r="AJ215">
        <v>150.80000000000001</v>
      </c>
      <c r="AL215" t="s">
        <v>32</v>
      </c>
      <c r="AN215">
        <v>149</v>
      </c>
      <c r="AP215">
        <v>149.5</v>
      </c>
      <c r="AR215">
        <v>149.6</v>
      </c>
      <c r="AT215">
        <v>128.9</v>
      </c>
      <c r="AV215">
        <v>143.30000000000001</v>
      </c>
      <c r="AX215">
        <v>155.1</v>
      </c>
      <c r="AZ215">
        <v>133.19999999999999</v>
      </c>
      <c r="BB215">
        <v>141.6</v>
      </c>
      <c r="BD215">
        <v>141.9</v>
      </c>
    </row>
    <row r="216" spans="1:56">
      <c r="A216" t="s">
        <v>33</v>
      </c>
      <c r="B216">
        <v>2018</v>
      </c>
      <c r="C216" t="s">
        <v>46</v>
      </c>
      <c r="D216">
        <v>138.5</v>
      </c>
      <c r="F216">
        <v>147.80000000000001</v>
      </c>
      <c r="H216">
        <v>141.1</v>
      </c>
      <c r="J216">
        <v>141.6</v>
      </c>
      <c r="L216">
        <v>118.1</v>
      </c>
      <c r="N216">
        <v>138.5</v>
      </c>
      <c r="P216">
        <v>132.4</v>
      </c>
      <c r="R216">
        <v>117.5</v>
      </c>
      <c r="T216">
        <v>111</v>
      </c>
      <c r="V216">
        <v>141.5</v>
      </c>
      <c r="X216">
        <v>128.1</v>
      </c>
      <c r="Z216">
        <v>152.9</v>
      </c>
      <c r="AB216">
        <v>137.6</v>
      </c>
      <c r="AD216">
        <v>164.6</v>
      </c>
      <c r="AF216">
        <v>142.69999999999999</v>
      </c>
      <c r="AH216">
        <v>130.30000000000001</v>
      </c>
      <c r="AJ216">
        <v>140.80000000000001</v>
      </c>
      <c r="AL216">
        <v>146.5</v>
      </c>
      <c r="AN216">
        <v>132.4</v>
      </c>
      <c r="AP216">
        <v>136.19999999999999</v>
      </c>
      <c r="AR216">
        <v>137.30000000000001</v>
      </c>
      <c r="AT216">
        <v>118.8</v>
      </c>
      <c r="AV216">
        <v>131.69999999999999</v>
      </c>
      <c r="AX216">
        <v>146.5</v>
      </c>
      <c r="AZ216">
        <v>130.80000000000001</v>
      </c>
      <c r="BB216">
        <v>131.69999999999999</v>
      </c>
      <c r="BD216">
        <v>138</v>
      </c>
    </row>
    <row r="217" spans="1:56" hidden="1">
      <c r="A217" t="s">
        <v>34</v>
      </c>
      <c r="B217">
        <v>2018</v>
      </c>
      <c r="C217" t="s">
        <v>46</v>
      </c>
      <c r="D217">
        <v>137.5</v>
      </c>
      <c r="F217">
        <v>150.5</v>
      </c>
      <c r="H217">
        <v>138.80000000000001</v>
      </c>
      <c r="J217">
        <v>142.1</v>
      </c>
      <c r="L217">
        <v>122</v>
      </c>
      <c r="N217">
        <v>139.4</v>
      </c>
      <c r="P217">
        <v>135.19999999999999</v>
      </c>
      <c r="R217">
        <v>119.8</v>
      </c>
      <c r="T217">
        <v>110.3</v>
      </c>
      <c r="V217">
        <v>140.6</v>
      </c>
      <c r="X217">
        <v>133.80000000000001</v>
      </c>
      <c r="Z217">
        <v>154.6</v>
      </c>
      <c r="AB217">
        <v>138.19999999999999</v>
      </c>
      <c r="AD217">
        <v>163</v>
      </c>
      <c r="AF217">
        <v>148.1</v>
      </c>
      <c r="AH217">
        <v>139.4</v>
      </c>
      <c r="AJ217">
        <v>146.80000000000001</v>
      </c>
      <c r="AL217">
        <v>146.5</v>
      </c>
      <c r="AN217">
        <v>142.69999999999999</v>
      </c>
      <c r="AP217">
        <v>143.19999999999999</v>
      </c>
      <c r="AR217">
        <v>144.9</v>
      </c>
      <c r="AT217">
        <v>123.6</v>
      </c>
      <c r="AV217">
        <v>136.80000000000001</v>
      </c>
      <c r="AX217">
        <v>150.1</v>
      </c>
      <c r="AZ217">
        <v>132.19999999999999</v>
      </c>
      <c r="BB217">
        <v>136.80000000000001</v>
      </c>
      <c r="BD217">
        <v>140.1</v>
      </c>
    </row>
    <row r="218" spans="1:56" hidden="1">
      <c r="A218" t="s">
        <v>30</v>
      </c>
      <c r="B218">
        <v>2019</v>
      </c>
      <c r="C218" t="s">
        <v>31</v>
      </c>
      <c r="D218">
        <v>136.6</v>
      </c>
      <c r="F218">
        <v>152.5</v>
      </c>
      <c r="H218">
        <v>138.19999999999999</v>
      </c>
      <c r="J218">
        <v>142.4</v>
      </c>
      <c r="L218">
        <v>123.9</v>
      </c>
      <c r="N218">
        <v>135.5</v>
      </c>
      <c r="P218">
        <v>131.69999999999999</v>
      </c>
      <c r="R218">
        <v>121.3</v>
      </c>
      <c r="T218">
        <v>108.4</v>
      </c>
      <c r="V218">
        <v>138.9</v>
      </c>
      <c r="X218">
        <v>137</v>
      </c>
      <c r="Z218">
        <v>155.80000000000001</v>
      </c>
      <c r="AB218">
        <v>137.4</v>
      </c>
      <c r="AD218">
        <v>162.69999999999999</v>
      </c>
      <c r="AF218">
        <v>150.6</v>
      </c>
      <c r="AH218">
        <v>145.1</v>
      </c>
      <c r="AJ218">
        <v>149.9</v>
      </c>
      <c r="AL218" t="s">
        <v>32</v>
      </c>
      <c r="AN218">
        <v>146.19999999999999</v>
      </c>
      <c r="AP218">
        <v>150.1</v>
      </c>
      <c r="AR218">
        <v>149.6</v>
      </c>
      <c r="AT218">
        <v>128.6</v>
      </c>
      <c r="AV218">
        <v>142.9</v>
      </c>
      <c r="AX218">
        <v>155.19999999999999</v>
      </c>
      <c r="AZ218">
        <v>133.5</v>
      </c>
      <c r="BB218">
        <v>141.69999999999999</v>
      </c>
      <c r="BD218">
        <v>141</v>
      </c>
    </row>
    <row r="219" spans="1:56">
      <c r="A219" t="s">
        <v>33</v>
      </c>
      <c r="B219">
        <v>2019</v>
      </c>
      <c r="C219" t="s">
        <v>31</v>
      </c>
      <c r="D219">
        <v>138.30000000000001</v>
      </c>
      <c r="F219">
        <v>149.4</v>
      </c>
      <c r="H219">
        <v>143.5</v>
      </c>
      <c r="J219">
        <v>141.69999999999999</v>
      </c>
      <c r="L219">
        <v>118.1</v>
      </c>
      <c r="N219">
        <v>135.19999999999999</v>
      </c>
      <c r="P219">
        <v>130.5</v>
      </c>
      <c r="R219">
        <v>118.2</v>
      </c>
      <c r="T219">
        <v>110.4</v>
      </c>
      <c r="V219">
        <v>140.4</v>
      </c>
      <c r="X219">
        <v>128.1</v>
      </c>
      <c r="Z219">
        <v>153.19999999999999</v>
      </c>
      <c r="AB219">
        <v>137.30000000000001</v>
      </c>
      <c r="AD219">
        <v>164.7</v>
      </c>
      <c r="AF219">
        <v>143</v>
      </c>
      <c r="AH219">
        <v>130.4</v>
      </c>
      <c r="AJ219">
        <v>141.1</v>
      </c>
      <c r="AL219">
        <v>147.69999999999999</v>
      </c>
      <c r="AN219">
        <v>128.6</v>
      </c>
      <c r="AP219">
        <v>136.30000000000001</v>
      </c>
      <c r="AR219">
        <v>137.80000000000001</v>
      </c>
      <c r="AT219">
        <v>118.6</v>
      </c>
      <c r="AV219">
        <v>131.9</v>
      </c>
      <c r="AX219">
        <v>146.6</v>
      </c>
      <c r="AZ219">
        <v>131.69999999999999</v>
      </c>
      <c r="BB219">
        <v>131.80000000000001</v>
      </c>
      <c r="BD219">
        <v>138</v>
      </c>
    </row>
    <row r="220" spans="1:56" hidden="1">
      <c r="A220" t="s">
        <v>34</v>
      </c>
      <c r="B220">
        <v>2019</v>
      </c>
      <c r="C220" t="s">
        <v>31</v>
      </c>
      <c r="D220">
        <v>137.1</v>
      </c>
      <c r="F220">
        <v>151.4</v>
      </c>
      <c r="H220">
        <v>140.19999999999999</v>
      </c>
      <c r="J220">
        <v>142.1</v>
      </c>
      <c r="L220">
        <v>121.8</v>
      </c>
      <c r="N220">
        <v>135.4</v>
      </c>
      <c r="P220">
        <v>131.30000000000001</v>
      </c>
      <c r="R220">
        <v>120.3</v>
      </c>
      <c r="T220">
        <v>109.1</v>
      </c>
      <c r="V220">
        <v>139.4</v>
      </c>
      <c r="X220">
        <v>133.30000000000001</v>
      </c>
      <c r="Z220">
        <v>154.6</v>
      </c>
      <c r="AB220">
        <v>137.4</v>
      </c>
      <c r="AD220">
        <v>163.19999999999999</v>
      </c>
      <c r="AF220">
        <v>147.6</v>
      </c>
      <c r="AH220">
        <v>139</v>
      </c>
      <c r="AJ220">
        <v>146.4</v>
      </c>
      <c r="AL220">
        <v>147.69999999999999</v>
      </c>
      <c r="AN220">
        <v>139.5</v>
      </c>
      <c r="AP220">
        <v>143.6</v>
      </c>
      <c r="AR220">
        <v>145.1</v>
      </c>
      <c r="AT220">
        <v>123.3</v>
      </c>
      <c r="AV220">
        <v>136.69999999999999</v>
      </c>
      <c r="AX220">
        <v>150.19999999999999</v>
      </c>
      <c r="AZ220">
        <v>132.80000000000001</v>
      </c>
      <c r="BB220">
        <v>136.9</v>
      </c>
      <c r="BD220">
        <v>139.6</v>
      </c>
    </row>
    <row r="221" spans="1:56" hidden="1">
      <c r="A221" t="s">
        <v>30</v>
      </c>
      <c r="B221">
        <v>2019</v>
      </c>
      <c r="C221" t="s">
        <v>35</v>
      </c>
      <c r="D221">
        <v>136.80000000000001</v>
      </c>
      <c r="F221">
        <v>153</v>
      </c>
      <c r="H221">
        <v>139.1</v>
      </c>
      <c r="J221">
        <v>142.5</v>
      </c>
      <c r="L221">
        <v>124.1</v>
      </c>
      <c r="N221">
        <v>135.80000000000001</v>
      </c>
      <c r="P221">
        <v>128.69999999999999</v>
      </c>
      <c r="R221">
        <v>121.5</v>
      </c>
      <c r="T221">
        <v>108.3</v>
      </c>
      <c r="V221">
        <v>139.19999999999999</v>
      </c>
      <c r="X221">
        <v>137.4</v>
      </c>
      <c r="Z221">
        <v>156.19999999999999</v>
      </c>
      <c r="AB221">
        <v>137.19999999999999</v>
      </c>
      <c r="AD221">
        <v>162.80000000000001</v>
      </c>
      <c r="AF221">
        <v>150.5</v>
      </c>
      <c r="AH221">
        <v>146.1</v>
      </c>
      <c r="AJ221">
        <v>149.9</v>
      </c>
      <c r="AL221" t="s">
        <v>32</v>
      </c>
      <c r="AN221">
        <v>145.30000000000001</v>
      </c>
      <c r="AP221">
        <v>150.1</v>
      </c>
      <c r="AR221">
        <v>149.9</v>
      </c>
      <c r="AT221">
        <v>129.19999999999999</v>
      </c>
      <c r="AV221">
        <v>143.4</v>
      </c>
      <c r="AX221">
        <v>155.5</v>
      </c>
      <c r="AZ221">
        <v>134.9</v>
      </c>
      <c r="BB221">
        <v>142.19999999999999</v>
      </c>
      <c r="BD221">
        <v>141</v>
      </c>
    </row>
    <row r="222" spans="1:56">
      <c r="A222" t="s">
        <v>33</v>
      </c>
      <c r="B222">
        <v>2019</v>
      </c>
      <c r="C222" t="s">
        <v>35</v>
      </c>
      <c r="D222">
        <v>139.4</v>
      </c>
      <c r="F222">
        <v>150.1</v>
      </c>
      <c r="H222">
        <v>145.30000000000001</v>
      </c>
      <c r="J222">
        <v>141.69999999999999</v>
      </c>
      <c r="L222">
        <v>118.4</v>
      </c>
      <c r="N222">
        <v>137</v>
      </c>
      <c r="P222">
        <v>131.6</v>
      </c>
      <c r="R222">
        <v>119.9</v>
      </c>
      <c r="T222">
        <v>110.4</v>
      </c>
      <c r="V222">
        <v>140.80000000000001</v>
      </c>
      <c r="X222">
        <v>128.30000000000001</v>
      </c>
      <c r="Z222">
        <v>153.5</v>
      </c>
      <c r="AB222">
        <v>138</v>
      </c>
      <c r="AD222">
        <v>164.9</v>
      </c>
      <c r="AF222">
        <v>143.30000000000001</v>
      </c>
      <c r="AH222">
        <v>130.80000000000001</v>
      </c>
      <c r="AJ222">
        <v>141.4</v>
      </c>
      <c r="AL222">
        <v>148.5</v>
      </c>
      <c r="AN222">
        <v>127.1</v>
      </c>
      <c r="AP222">
        <v>136.6</v>
      </c>
      <c r="AR222">
        <v>138.5</v>
      </c>
      <c r="AT222">
        <v>119.2</v>
      </c>
      <c r="AV222">
        <v>132.19999999999999</v>
      </c>
      <c r="AX222">
        <v>146.6</v>
      </c>
      <c r="AZ222">
        <v>133</v>
      </c>
      <c r="BB222">
        <v>132.4</v>
      </c>
      <c r="BD222">
        <v>138.6</v>
      </c>
    </row>
    <row r="223" spans="1:56" hidden="1">
      <c r="A223" t="s">
        <v>34</v>
      </c>
      <c r="B223">
        <v>2019</v>
      </c>
      <c r="C223" t="s">
        <v>35</v>
      </c>
      <c r="D223">
        <v>137.6</v>
      </c>
      <c r="F223">
        <v>152</v>
      </c>
      <c r="H223">
        <v>141.5</v>
      </c>
      <c r="J223">
        <v>142.19999999999999</v>
      </c>
      <c r="L223">
        <v>122</v>
      </c>
      <c r="N223">
        <v>136.4</v>
      </c>
      <c r="P223">
        <v>129.69999999999999</v>
      </c>
      <c r="R223">
        <v>121</v>
      </c>
      <c r="T223">
        <v>109</v>
      </c>
      <c r="V223">
        <v>139.69999999999999</v>
      </c>
      <c r="X223">
        <v>133.6</v>
      </c>
      <c r="Z223">
        <v>154.9</v>
      </c>
      <c r="AB223">
        <v>137.5</v>
      </c>
      <c r="AD223">
        <v>163.4</v>
      </c>
      <c r="AF223">
        <v>147.69999999999999</v>
      </c>
      <c r="AH223">
        <v>139.69999999999999</v>
      </c>
      <c r="AJ223">
        <v>146.5</v>
      </c>
      <c r="AL223">
        <v>148.5</v>
      </c>
      <c r="AN223">
        <v>138.4</v>
      </c>
      <c r="AP223">
        <v>143.69999999999999</v>
      </c>
      <c r="AR223">
        <v>145.6</v>
      </c>
      <c r="AT223">
        <v>123.9</v>
      </c>
      <c r="AV223">
        <v>137.1</v>
      </c>
      <c r="AX223">
        <v>150.30000000000001</v>
      </c>
      <c r="AZ223">
        <v>134.1</v>
      </c>
      <c r="BB223">
        <v>137.4</v>
      </c>
      <c r="BD223">
        <v>139.9</v>
      </c>
    </row>
    <row r="224" spans="1:56" hidden="1">
      <c r="A224" t="s">
        <v>30</v>
      </c>
      <c r="B224">
        <v>2019</v>
      </c>
      <c r="C224" t="s">
        <v>36</v>
      </c>
      <c r="D224">
        <v>136.9</v>
      </c>
      <c r="F224">
        <v>154.1</v>
      </c>
      <c r="H224">
        <v>138.69999999999999</v>
      </c>
      <c r="J224">
        <v>142.5</v>
      </c>
      <c r="L224">
        <v>124.1</v>
      </c>
      <c r="N224">
        <v>136.1</v>
      </c>
      <c r="P224">
        <v>128.19999999999999</v>
      </c>
      <c r="R224">
        <v>122.3</v>
      </c>
      <c r="T224">
        <v>108.3</v>
      </c>
      <c r="V224">
        <v>138.9</v>
      </c>
      <c r="X224">
        <v>137.4</v>
      </c>
      <c r="Z224">
        <v>156.4</v>
      </c>
      <c r="AB224">
        <v>137.30000000000001</v>
      </c>
      <c r="AD224">
        <v>162.9</v>
      </c>
      <c r="AF224">
        <v>150.80000000000001</v>
      </c>
      <c r="AH224">
        <v>146.1</v>
      </c>
      <c r="AJ224">
        <v>150.1</v>
      </c>
      <c r="AL224" t="s">
        <v>32</v>
      </c>
      <c r="AN224">
        <v>146.4</v>
      </c>
      <c r="AP224">
        <v>150</v>
      </c>
      <c r="AR224">
        <v>150.4</v>
      </c>
      <c r="AT224">
        <v>129.9</v>
      </c>
      <c r="AV224">
        <v>143.80000000000001</v>
      </c>
      <c r="AX224">
        <v>155.5</v>
      </c>
      <c r="AZ224">
        <v>134</v>
      </c>
      <c r="BB224">
        <v>142.4</v>
      </c>
      <c r="BD224">
        <v>141.19999999999999</v>
      </c>
    </row>
    <row r="225" spans="1:56">
      <c r="A225" t="s">
        <v>33</v>
      </c>
      <c r="B225">
        <v>2019</v>
      </c>
      <c r="C225" t="s">
        <v>36</v>
      </c>
      <c r="D225">
        <v>139.69999999999999</v>
      </c>
      <c r="F225">
        <v>151.1</v>
      </c>
      <c r="H225">
        <v>142.9</v>
      </c>
      <c r="J225">
        <v>141.9</v>
      </c>
      <c r="L225">
        <v>118.4</v>
      </c>
      <c r="N225">
        <v>139.4</v>
      </c>
      <c r="P225">
        <v>141.19999999999999</v>
      </c>
      <c r="R225">
        <v>120.7</v>
      </c>
      <c r="T225">
        <v>110.4</v>
      </c>
      <c r="V225">
        <v>140.69999999999999</v>
      </c>
      <c r="X225">
        <v>128.5</v>
      </c>
      <c r="Z225">
        <v>153.9</v>
      </c>
      <c r="AB225">
        <v>139.6</v>
      </c>
      <c r="AD225">
        <v>165.3</v>
      </c>
      <c r="AF225">
        <v>143.5</v>
      </c>
      <c r="AH225">
        <v>131.19999999999999</v>
      </c>
      <c r="AJ225">
        <v>141.6</v>
      </c>
      <c r="AL225">
        <v>149</v>
      </c>
      <c r="AN225">
        <v>128.80000000000001</v>
      </c>
      <c r="AP225">
        <v>136.80000000000001</v>
      </c>
      <c r="AR225">
        <v>139.19999999999999</v>
      </c>
      <c r="AT225">
        <v>119.9</v>
      </c>
      <c r="AV225">
        <v>133</v>
      </c>
      <c r="AX225">
        <v>146.69999999999999</v>
      </c>
      <c r="AZ225">
        <v>132.5</v>
      </c>
      <c r="BB225">
        <v>132.80000000000001</v>
      </c>
      <c r="BD225">
        <v>139.5</v>
      </c>
    </row>
    <row r="226" spans="1:56" hidden="1">
      <c r="A226" t="s">
        <v>34</v>
      </c>
      <c r="B226">
        <v>2019</v>
      </c>
      <c r="C226" t="s">
        <v>36</v>
      </c>
      <c r="D226">
        <v>137.80000000000001</v>
      </c>
      <c r="F226">
        <v>153</v>
      </c>
      <c r="H226">
        <v>140.30000000000001</v>
      </c>
      <c r="J226">
        <v>142.30000000000001</v>
      </c>
      <c r="L226">
        <v>122</v>
      </c>
      <c r="N226">
        <v>137.6</v>
      </c>
      <c r="P226">
        <v>132.6</v>
      </c>
      <c r="R226">
        <v>121.8</v>
      </c>
      <c r="T226">
        <v>109</v>
      </c>
      <c r="V226">
        <v>139.5</v>
      </c>
      <c r="X226">
        <v>133.69999999999999</v>
      </c>
      <c r="Z226">
        <v>155.19999999999999</v>
      </c>
      <c r="AB226">
        <v>138.1</v>
      </c>
      <c r="AD226">
        <v>163.5</v>
      </c>
      <c r="AF226">
        <v>147.9</v>
      </c>
      <c r="AH226">
        <v>139.9</v>
      </c>
      <c r="AJ226">
        <v>146.69999999999999</v>
      </c>
      <c r="AL226">
        <v>149</v>
      </c>
      <c r="AN226">
        <v>139.69999999999999</v>
      </c>
      <c r="AP226">
        <v>143.80000000000001</v>
      </c>
      <c r="AR226">
        <v>146.19999999999999</v>
      </c>
      <c r="AT226">
        <v>124.6</v>
      </c>
      <c r="AV226">
        <v>137.69999999999999</v>
      </c>
      <c r="AX226">
        <v>150.30000000000001</v>
      </c>
      <c r="AZ226">
        <v>133.4</v>
      </c>
      <c r="BB226">
        <v>137.69999999999999</v>
      </c>
      <c r="BD226">
        <v>140.4</v>
      </c>
    </row>
    <row r="227" spans="1:56" hidden="1">
      <c r="A227" t="s">
        <v>30</v>
      </c>
      <c r="B227">
        <v>2019</v>
      </c>
      <c r="C227" t="s">
        <v>38</v>
      </c>
      <c r="D227">
        <v>137.4</v>
      </c>
      <c r="F227">
        <v>159.5</v>
      </c>
      <c r="H227">
        <v>134.5</v>
      </c>
      <c r="J227">
        <v>142.6</v>
      </c>
      <c r="L227">
        <v>124</v>
      </c>
      <c r="N227">
        <v>143.69999999999999</v>
      </c>
      <c r="P227">
        <v>133.4</v>
      </c>
      <c r="R227">
        <v>125.1</v>
      </c>
      <c r="T227">
        <v>109.3</v>
      </c>
      <c r="V227">
        <v>139.30000000000001</v>
      </c>
      <c r="X227">
        <v>137.69999999999999</v>
      </c>
      <c r="Z227">
        <v>156.4</v>
      </c>
      <c r="AB227">
        <v>139.19999999999999</v>
      </c>
      <c r="AD227">
        <v>163.30000000000001</v>
      </c>
      <c r="AF227">
        <v>151.30000000000001</v>
      </c>
      <c r="AH227">
        <v>146.6</v>
      </c>
      <c r="AJ227">
        <v>150.69999999999999</v>
      </c>
      <c r="AL227" t="s">
        <v>32</v>
      </c>
      <c r="AN227">
        <v>146.9</v>
      </c>
      <c r="AP227">
        <v>149.5</v>
      </c>
      <c r="AR227">
        <v>151.30000000000001</v>
      </c>
      <c r="AT227">
        <v>130.19999999999999</v>
      </c>
      <c r="AV227">
        <v>145.9</v>
      </c>
      <c r="AX227">
        <v>156.69999999999999</v>
      </c>
      <c r="AZ227">
        <v>133.9</v>
      </c>
      <c r="BB227">
        <v>142.9</v>
      </c>
      <c r="BD227">
        <v>142.4</v>
      </c>
    </row>
    <row r="228" spans="1:56">
      <c r="A228" t="s">
        <v>33</v>
      </c>
      <c r="B228">
        <v>2019</v>
      </c>
      <c r="C228" t="s">
        <v>38</v>
      </c>
      <c r="D228">
        <v>140.4</v>
      </c>
      <c r="F228">
        <v>156.69999999999999</v>
      </c>
      <c r="H228">
        <v>138.30000000000001</v>
      </c>
      <c r="J228">
        <v>142.4</v>
      </c>
      <c r="L228">
        <v>118.6</v>
      </c>
      <c r="N228">
        <v>149.69999999999999</v>
      </c>
      <c r="P228">
        <v>161.6</v>
      </c>
      <c r="R228">
        <v>124.4</v>
      </c>
      <c r="T228">
        <v>111.2</v>
      </c>
      <c r="V228">
        <v>141</v>
      </c>
      <c r="X228">
        <v>128.9</v>
      </c>
      <c r="Z228">
        <v>154.5</v>
      </c>
      <c r="AB228">
        <v>143.80000000000001</v>
      </c>
      <c r="AD228">
        <v>166.2</v>
      </c>
      <c r="AF228">
        <v>144</v>
      </c>
      <c r="AH228">
        <v>131.69999999999999</v>
      </c>
      <c r="AJ228">
        <v>142.19999999999999</v>
      </c>
      <c r="AL228">
        <v>150.1</v>
      </c>
      <c r="AN228">
        <v>129.4</v>
      </c>
      <c r="AP228">
        <v>137.19999999999999</v>
      </c>
      <c r="AR228">
        <v>139.80000000000001</v>
      </c>
      <c r="AT228">
        <v>120.1</v>
      </c>
      <c r="AV228">
        <v>134</v>
      </c>
      <c r="AX228">
        <v>148</v>
      </c>
      <c r="AZ228">
        <v>132.6</v>
      </c>
      <c r="BB228">
        <v>133.30000000000001</v>
      </c>
      <c r="BD228">
        <v>141.5</v>
      </c>
    </row>
    <row r="229" spans="1:56" hidden="1">
      <c r="A229" t="s">
        <v>34</v>
      </c>
      <c r="B229">
        <v>2019</v>
      </c>
      <c r="C229" t="s">
        <v>38</v>
      </c>
      <c r="D229">
        <v>138.30000000000001</v>
      </c>
      <c r="F229">
        <v>158.5</v>
      </c>
      <c r="H229">
        <v>136</v>
      </c>
      <c r="J229">
        <v>142.5</v>
      </c>
      <c r="L229">
        <v>122</v>
      </c>
      <c r="N229">
        <v>146.5</v>
      </c>
      <c r="P229">
        <v>143</v>
      </c>
      <c r="R229">
        <v>124.9</v>
      </c>
      <c r="T229">
        <v>109.9</v>
      </c>
      <c r="V229">
        <v>139.9</v>
      </c>
      <c r="X229">
        <v>134</v>
      </c>
      <c r="Z229">
        <v>155.5</v>
      </c>
      <c r="AB229">
        <v>140.9</v>
      </c>
      <c r="AD229">
        <v>164.1</v>
      </c>
      <c r="AF229">
        <v>148.4</v>
      </c>
      <c r="AH229">
        <v>140.4</v>
      </c>
      <c r="AJ229">
        <v>147.30000000000001</v>
      </c>
      <c r="AL229">
        <v>150.1</v>
      </c>
      <c r="AN229">
        <v>140.30000000000001</v>
      </c>
      <c r="AP229">
        <v>143.69999999999999</v>
      </c>
      <c r="AR229">
        <v>146.9</v>
      </c>
      <c r="AT229">
        <v>124.9</v>
      </c>
      <c r="AV229">
        <v>139.19999999999999</v>
      </c>
      <c r="AX229">
        <v>151.6</v>
      </c>
      <c r="AZ229">
        <v>133.4</v>
      </c>
      <c r="BB229">
        <v>138.19999999999999</v>
      </c>
      <c r="BD229">
        <v>142</v>
      </c>
    </row>
    <row r="230" spans="1:56" hidden="1">
      <c r="A230" t="s">
        <v>30</v>
      </c>
      <c r="B230">
        <v>2019</v>
      </c>
      <c r="C230" t="s">
        <v>39</v>
      </c>
      <c r="D230">
        <v>137.80000000000001</v>
      </c>
      <c r="F230">
        <v>163.5</v>
      </c>
      <c r="H230">
        <v>136.19999999999999</v>
      </c>
      <c r="J230">
        <v>143.19999999999999</v>
      </c>
      <c r="L230">
        <v>124.3</v>
      </c>
      <c r="N230">
        <v>143.30000000000001</v>
      </c>
      <c r="P230">
        <v>140.6</v>
      </c>
      <c r="R230">
        <v>128.69999999999999</v>
      </c>
      <c r="T230">
        <v>110.6</v>
      </c>
      <c r="V230">
        <v>140.4</v>
      </c>
      <c r="X230">
        <v>138</v>
      </c>
      <c r="Z230">
        <v>156.6</v>
      </c>
      <c r="AB230">
        <v>141</v>
      </c>
      <c r="AD230">
        <v>164.2</v>
      </c>
      <c r="AF230">
        <v>151.4</v>
      </c>
      <c r="AH230">
        <v>146.5</v>
      </c>
      <c r="AJ230">
        <v>150.69999999999999</v>
      </c>
      <c r="AL230" t="s">
        <v>32</v>
      </c>
      <c r="AN230">
        <v>147.80000000000001</v>
      </c>
      <c r="AP230">
        <v>149.6</v>
      </c>
      <c r="AR230">
        <v>151.69999999999999</v>
      </c>
      <c r="AT230">
        <v>130.19999999999999</v>
      </c>
      <c r="AV230">
        <v>146.4</v>
      </c>
      <c r="AX230">
        <v>157.69999999999999</v>
      </c>
      <c r="AZ230">
        <v>134.80000000000001</v>
      </c>
      <c r="BB230">
        <v>143.30000000000001</v>
      </c>
      <c r="BD230">
        <v>143.6</v>
      </c>
    </row>
    <row r="231" spans="1:56">
      <c r="A231" t="s">
        <v>33</v>
      </c>
      <c r="B231">
        <v>2019</v>
      </c>
      <c r="C231" t="s">
        <v>39</v>
      </c>
      <c r="D231">
        <v>140.69999999999999</v>
      </c>
      <c r="F231">
        <v>159.6</v>
      </c>
      <c r="H231">
        <v>140.4</v>
      </c>
      <c r="J231">
        <v>143.4</v>
      </c>
      <c r="L231">
        <v>118.6</v>
      </c>
      <c r="N231">
        <v>150.9</v>
      </c>
      <c r="P231">
        <v>169.8</v>
      </c>
      <c r="R231">
        <v>127.4</v>
      </c>
      <c r="T231">
        <v>111.8</v>
      </c>
      <c r="V231">
        <v>141</v>
      </c>
      <c r="X231">
        <v>129</v>
      </c>
      <c r="Z231">
        <v>155.1</v>
      </c>
      <c r="AB231">
        <v>145.6</v>
      </c>
      <c r="AD231">
        <v>166.7</v>
      </c>
      <c r="AF231">
        <v>144.30000000000001</v>
      </c>
      <c r="AH231">
        <v>131.69999999999999</v>
      </c>
      <c r="AJ231">
        <v>142.4</v>
      </c>
      <c r="AL231">
        <v>149.4</v>
      </c>
      <c r="AN231">
        <v>130.5</v>
      </c>
      <c r="AP231">
        <v>137.4</v>
      </c>
      <c r="AR231">
        <v>140.30000000000001</v>
      </c>
      <c r="AT231">
        <v>119.6</v>
      </c>
      <c r="AV231">
        <v>134.30000000000001</v>
      </c>
      <c r="AX231">
        <v>148.9</v>
      </c>
      <c r="AZ231">
        <v>133.69999999999999</v>
      </c>
      <c r="BB231">
        <v>133.6</v>
      </c>
      <c r="BD231">
        <v>142.1</v>
      </c>
    </row>
    <row r="232" spans="1:56" hidden="1">
      <c r="A232" t="s">
        <v>34</v>
      </c>
      <c r="B232">
        <v>2019</v>
      </c>
      <c r="C232" t="s">
        <v>39</v>
      </c>
      <c r="D232">
        <v>138.69999999999999</v>
      </c>
      <c r="F232">
        <v>162.1</v>
      </c>
      <c r="H232">
        <v>137.80000000000001</v>
      </c>
      <c r="J232">
        <v>143.30000000000001</v>
      </c>
      <c r="L232">
        <v>122.2</v>
      </c>
      <c r="N232">
        <v>146.80000000000001</v>
      </c>
      <c r="P232">
        <v>150.5</v>
      </c>
      <c r="R232">
        <v>128.30000000000001</v>
      </c>
      <c r="T232">
        <v>111</v>
      </c>
      <c r="V232">
        <v>140.6</v>
      </c>
      <c r="X232">
        <v>134.19999999999999</v>
      </c>
      <c r="Z232">
        <v>155.9</v>
      </c>
      <c r="AB232">
        <v>142.69999999999999</v>
      </c>
      <c r="AD232">
        <v>164.9</v>
      </c>
      <c r="AF232">
        <v>148.6</v>
      </c>
      <c r="AH232">
        <v>140.4</v>
      </c>
      <c r="AJ232">
        <v>147.4</v>
      </c>
      <c r="AL232">
        <v>149.4</v>
      </c>
      <c r="AN232">
        <v>141.19999999999999</v>
      </c>
      <c r="AP232">
        <v>143.80000000000001</v>
      </c>
      <c r="AR232">
        <v>147.4</v>
      </c>
      <c r="AT232">
        <v>124.6</v>
      </c>
      <c r="AV232">
        <v>139.6</v>
      </c>
      <c r="AX232">
        <v>152.5</v>
      </c>
      <c r="AZ232">
        <v>134.30000000000001</v>
      </c>
      <c r="BB232">
        <v>138.6</v>
      </c>
      <c r="BD232">
        <v>142.9</v>
      </c>
    </row>
    <row r="233" spans="1:56" hidden="1">
      <c r="A233" t="s">
        <v>30</v>
      </c>
      <c r="B233">
        <v>2019</v>
      </c>
      <c r="C233" t="s">
        <v>40</v>
      </c>
      <c r="D233">
        <v>138.4</v>
      </c>
      <c r="F233">
        <v>164</v>
      </c>
      <c r="H233">
        <v>138.4</v>
      </c>
      <c r="J233">
        <v>143.9</v>
      </c>
      <c r="L233">
        <v>124.4</v>
      </c>
      <c r="N233">
        <v>146.4</v>
      </c>
      <c r="P233">
        <v>150.1</v>
      </c>
      <c r="R233">
        <v>130.6</v>
      </c>
      <c r="T233">
        <v>110.8</v>
      </c>
      <c r="V233">
        <v>141.69999999999999</v>
      </c>
      <c r="X233">
        <v>138.5</v>
      </c>
      <c r="Z233">
        <v>156.69999999999999</v>
      </c>
      <c r="AB233">
        <v>143</v>
      </c>
      <c r="AD233">
        <v>164.5</v>
      </c>
      <c r="AF233">
        <v>151.6</v>
      </c>
      <c r="AH233">
        <v>146.6</v>
      </c>
      <c r="AJ233">
        <v>150.9</v>
      </c>
      <c r="AL233" t="s">
        <v>32</v>
      </c>
      <c r="AN233">
        <v>146.80000000000001</v>
      </c>
      <c r="AP233">
        <v>150</v>
      </c>
      <c r="AR233">
        <v>152.19999999999999</v>
      </c>
      <c r="AT233">
        <v>131.19999999999999</v>
      </c>
      <c r="AV233">
        <v>147.5</v>
      </c>
      <c r="AX233">
        <v>159.1</v>
      </c>
      <c r="AZ233">
        <v>136.1</v>
      </c>
      <c r="BB233">
        <v>144.19999999999999</v>
      </c>
      <c r="BD233">
        <v>144.9</v>
      </c>
    </row>
    <row r="234" spans="1:56">
      <c r="A234" t="s">
        <v>33</v>
      </c>
      <c r="B234">
        <v>2019</v>
      </c>
      <c r="C234" t="s">
        <v>40</v>
      </c>
      <c r="D234">
        <v>141.4</v>
      </c>
      <c r="F234">
        <v>160.19999999999999</v>
      </c>
      <c r="H234">
        <v>142.5</v>
      </c>
      <c r="J234">
        <v>144.1</v>
      </c>
      <c r="L234">
        <v>119.3</v>
      </c>
      <c r="N234">
        <v>154.69999999999999</v>
      </c>
      <c r="P234">
        <v>180.1</v>
      </c>
      <c r="R234">
        <v>128.9</v>
      </c>
      <c r="T234">
        <v>111.8</v>
      </c>
      <c r="V234">
        <v>141.6</v>
      </c>
      <c r="X234">
        <v>129.5</v>
      </c>
      <c r="Z234">
        <v>155.6</v>
      </c>
      <c r="AB234">
        <v>147.69999999999999</v>
      </c>
      <c r="AD234">
        <v>167.2</v>
      </c>
      <c r="AF234">
        <v>144.69999999999999</v>
      </c>
      <c r="AH234">
        <v>131.9</v>
      </c>
      <c r="AJ234">
        <v>142.69999999999999</v>
      </c>
      <c r="AL234">
        <v>150.6</v>
      </c>
      <c r="AN234">
        <v>127</v>
      </c>
      <c r="AP234">
        <v>137.69999999999999</v>
      </c>
      <c r="AR234">
        <v>140.80000000000001</v>
      </c>
      <c r="AT234">
        <v>120.6</v>
      </c>
      <c r="AV234">
        <v>135</v>
      </c>
      <c r="AX234">
        <v>150.4</v>
      </c>
      <c r="AZ234">
        <v>135.1</v>
      </c>
      <c r="BB234">
        <v>134.5</v>
      </c>
      <c r="BD234">
        <v>143.30000000000001</v>
      </c>
    </row>
    <row r="235" spans="1:56" hidden="1">
      <c r="A235" t="s">
        <v>34</v>
      </c>
      <c r="B235">
        <v>2019</v>
      </c>
      <c r="C235" t="s">
        <v>40</v>
      </c>
      <c r="D235">
        <v>139.30000000000001</v>
      </c>
      <c r="F235">
        <v>162.69999999999999</v>
      </c>
      <c r="H235">
        <v>140</v>
      </c>
      <c r="J235">
        <v>144</v>
      </c>
      <c r="L235">
        <v>122.5</v>
      </c>
      <c r="N235">
        <v>150.30000000000001</v>
      </c>
      <c r="P235">
        <v>160.30000000000001</v>
      </c>
      <c r="R235">
        <v>130</v>
      </c>
      <c r="T235">
        <v>111.1</v>
      </c>
      <c r="V235">
        <v>141.69999999999999</v>
      </c>
      <c r="X235">
        <v>134.69999999999999</v>
      </c>
      <c r="Z235">
        <v>156.19999999999999</v>
      </c>
      <c r="AB235">
        <v>144.69999999999999</v>
      </c>
      <c r="AD235">
        <v>165.2</v>
      </c>
      <c r="AF235">
        <v>148.9</v>
      </c>
      <c r="AH235">
        <v>140.5</v>
      </c>
      <c r="AJ235">
        <v>147.6</v>
      </c>
      <c r="AL235">
        <v>150.6</v>
      </c>
      <c r="AN235">
        <v>139.30000000000001</v>
      </c>
      <c r="AP235">
        <v>144.19999999999999</v>
      </c>
      <c r="AR235">
        <v>147.9</v>
      </c>
      <c r="AT235">
        <v>125.6</v>
      </c>
      <c r="AV235">
        <v>140.5</v>
      </c>
      <c r="AX235">
        <v>154</v>
      </c>
      <c r="AZ235">
        <v>135.69999999999999</v>
      </c>
      <c r="BB235">
        <v>139.5</v>
      </c>
      <c r="BD235">
        <v>144.19999999999999</v>
      </c>
    </row>
    <row r="236" spans="1:56" hidden="1">
      <c r="A236" t="s">
        <v>30</v>
      </c>
      <c r="B236">
        <v>2019</v>
      </c>
      <c r="C236" t="s">
        <v>41</v>
      </c>
      <c r="D236">
        <v>139.19999999999999</v>
      </c>
      <c r="F236">
        <v>161.9</v>
      </c>
      <c r="H236">
        <v>137.1</v>
      </c>
      <c r="J236">
        <v>144.6</v>
      </c>
      <c r="L236">
        <v>124.7</v>
      </c>
      <c r="N236">
        <v>145.5</v>
      </c>
      <c r="P236">
        <v>156.19999999999999</v>
      </c>
      <c r="R236">
        <v>131.5</v>
      </c>
      <c r="T236">
        <v>111.7</v>
      </c>
      <c r="V236">
        <v>142.69999999999999</v>
      </c>
      <c r="X236">
        <v>138.5</v>
      </c>
      <c r="Z236">
        <v>156.9</v>
      </c>
      <c r="AB236">
        <v>144</v>
      </c>
      <c r="AD236">
        <v>165.1</v>
      </c>
      <c r="AF236">
        <v>151.80000000000001</v>
      </c>
      <c r="AH236">
        <v>146.6</v>
      </c>
      <c r="AJ236">
        <v>151.1</v>
      </c>
      <c r="AL236" t="s">
        <v>32</v>
      </c>
      <c r="AN236">
        <v>146.4</v>
      </c>
      <c r="AP236">
        <v>150.19999999999999</v>
      </c>
      <c r="AR236">
        <v>152.69999999999999</v>
      </c>
      <c r="AT236">
        <v>131.4</v>
      </c>
      <c r="AV236">
        <v>148</v>
      </c>
      <c r="AX236">
        <v>159.69999999999999</v>
      </c>
      <c r="AZ236">
        <v>138.80000000000001</v>
      </c>
      <c r="BB236">
        <v>144.9</v>
      </c>
      <c r="BD236">
        <v>145.69999999999999</v>
      </c>
    </row>
    <row r="237" spans="1:56">
      <c r="A237" t="s">
        <v>33</v>
      </c>
      <c r="B237">
        <v>2019</v>
      </c>
      <c r="C237" t="s">
        <v>41</v>
      </c>
      <c r="D237">
        <v>142.1</v>
      </c>
      <c r="F237">
        <v>158.30000000000001</v>
      </c>
      <c r="H237">
        <v>140.80000000000001</v>
      </c>
      <c r="J237">
        <v>144.9</v>
      </c>
      <c r="L237">
        <v>119.9</v>
      </c>
      <c r="N237">
        <v>153.9</v>
      </c>
      <c r="P237">
        <v>189.1</v>
      </c>
      <c r="R237">
        <v>129.80000000000001</v>
      </c>
      <c r="T237">
        <v>112.7</v>
      </c>
      <c r="V237">
        <v>142.5</v>
      </c>
      <c r="X237">
        <v>129.80000000000001</v>
      </c>
      <c r="Z237">
        <v>156.19999999999999</v>
      </c>
      <c r="AB237">
        <v>149.1</v>
      </c>
      <c r="AD237">
        <v>167.9</v>
      </c>
      <c r="AF237">
        <v>145</v>
      </c>
      <c r="AH237">
        <v>132.19999999999999</v>
      </c>
      <c r="AJ237">
        <v>143</v>
      </c>
      <c r="AL237">
        <v>151.6</v>
      </c>
      <c r="AN237">
        <v>125.5</v>
      </c>
      <c r="AP237">
        <v>138.1</v>
      </c>
      <c r="AR237">
        <v>141.5</v>
      </c>
      <c r="AT237">
        <v>120.8</v>
      </c>
      <c r="AV237">
        <v>135.4</v>
      </c>
      <c r="AX237">
        <v>151.5</v>
      </c>
      <c r="AZ237">
        <v>137.80000000000001</v>
      </c>
      <c r="BB237">
        <v>135.30000000000001</v>
      </c>
      <c r="BD237">
        <v>144.19999999999999</v>
      </c>
    </row>
    <row r="238" spans="1:56" hidden="1">
      <c r="A238" t="s">
        <v>34</v>
      </c>
      <c r="B238">
        <v>2019</v>
      </c>
      <c r="C238" t="s">
        <v>41</v>
      </c>
      <c r="D238">
        <v>140.1</v>
      </c>
      <c r="F238">
        <v>160.6</v>
      </c>
      <c r="H238">
        <v>138.5</v>
      </c>
      <c r="J238">
        <v>144.69999999999999</v>
      </c>
      <c r="L238">
        <v>122.9</v>
      </c>
      <c r="N238">
        <v>149.4</v>
      </c>
      <c r="P238">
        <v>167.4</v>
      </c>
      <c r="R238">
        <v>130.9</v>
      </c>
      <c r="T238">
        <v>112</v>
      </c>
      <c r="V238">
        <v>142.6</v>
      </c>
      <c r="X238">
        <v>134.9</v>
      </c>
      <c r="Z238">
        <v>156.6</v>
      </c>
      <c r="AB238">
        <v>145.9</v>
      </c>
      <c r="AD238">
        <v>165.8</v>
      </c>
      <c r="AF238">
        <v>149.1</v>
      </c>
      <c r="AH238">
        <v>140.6</v>
      </c>
      <c r="AJ238">
        <v>147.9</v>
      </c>
      <c r="AL238">
        <v>151.6</v>
      </c>
      <c r="AN238">
        <v>138.5</v>
      </c>
      <c r="AP238">
        <v>144.5</v>
      </c>
      <c r="AR238">
        <v>148.5</v>
      </c>
      <c r="AT238">
        <v>125.8</v>
      </c>
      <c r="AV238">
        <v>140.9</v>
      </c>
      <c r="AX238">
        <v>154.9</v>
      </c>
      <c r="AZ238">
        <v>138.4</v>
      </c>
      <c r="BB238">
        <v>140.19999999999999</v>
      </c>
      <c r="BD238">
        <v>145</v>
      </c>
    </row>
    <row r="239" spans="1:56" hidden="1">
      <c r="A239" t="s">
        <v>30</v>
      </c>
      <c r="B239">
        <v>2019</v>
      </c>
      <c r="C239" t="s">
        <v>42</v>
      </c>
      <c r="D239">
        <v>140.1</v>
      </c>
      <c r="F239">
        <v>161.9</v>
      </c>
      <c r="H239">
        <v>138.30000000000001</v>
      </c>
      <c r="J239">
        <v>145.69999999999999</v>
      </c>
      <c r="L239">
        <v>125.1</v>
      </c>
      <c r="N239">
        <v>143.80000000000001</v>
      </c>
      <c r="P239">
        <v>163.4</v>
      </c>
      <c r="R239">
        <v>132.19999999999999</v>
      </c>
      <c r="T239">
        <v>112.8</v>
      </c>
      <c r="V239">
        <v>144.19999999999999</v>
      </c>
      <c r="X239">
        <v>138.5</v>
      </c>
      <c r="Z239">
        <v>157.19999999999999</v>
      </c>
      <c r="AB239">
        <v>145.5</v>
      </c>
      <c r="AD239">
        <v>165.7</v>
      </c>
      <c r="AF239">
        <v>151.69999999999999</v>
      </c>
      <c r="AH239">
        <v>146.6</v>
      </c>
      <c r="AJ239">
        <v>151</v>
      </c>
      <c r="AL239" t="s">
        <v>32</v>
      </c>
      <c r="AN239">
        <v>146.9</v>
      </c>
      <c r="AP239">
        <v>150.30000000000001</v>
      </c>
      <c r="AR239">
        <v>153.4</v>
      </c>
      <c r="AT239">
        <v>131.6</v>
      </c>
      <c r="AV239">
        <v>148.30000000000001</v>
      </c>
      <c r="AX239">
        <v>160.19999999999999</v>
      </c>
      <c r="AZ239">
        <v>140.19999999999999</v>
      </c>
      <c r="BB239">
        <v>145.4</v>
      </c>
      <c r="BD239">
        <v>146.69999999999999</v>
      </c>
    </row>
    <row r="240" spans="1:56">
      <c r="A240" t="s">
        <v>33</v>
      </c>
      <c r="B240">
        <v>2019</v>
      </c>
      <c r="C240" t="s">
        <v>42</v>
      </c>
      <c r="D240">
        <v>142.69999999999999</v>
      </c>
      <c r="F240">
        <v>158.69999999999999</v>
      </c>
      <c r="H240">
        <v>141.6</v>
      </c>
      <c r="J240">
        <v>144.9</v>
      </c>
      <c r="L240">
        <v>120.8</v>
      </c>
      <c r="N240">
        <v>149.80000000000001</v>
      </c>
      <c r="P240">
        <v>192.4</v>
      </c>
      <c r="R240">
        <v>130.30000000000001</v>
      </c>
      <c r="T240">
        <v>114</v>
      </c>
      <c r="V240">
        <v>143.80000000000001</v>
      </c>
      <c r="X240">
        <v>130</v>
      </c>
      <c r="Z240">
        <v>156.4</v>
      </c>
      <c r="AB240">
        <v>149.5</v>
      </c>
      <c r="AD240">
        <v>168.6</v>
      </c>
      <c r="AF240">
        <v>145.30000000000001</v>
      </c>
      <c r="AH240">
        <v>132.19999999999999</v>
      </c>
      <c r="AJ240">
        <v>143.30000000000001</v>
      </c>
      <c r="AL240">
        <v>152.19999999999999</v>
      </c>
      <c r="AN240">
        <v>126.6</v>
      </c>
      <c r="AP240">
        <v>138.30000000000001</v>
      </c>
      <c r="AR240">
        <v>141.9</v>
      </c>
      <c r="AT240">
        <v>121.2</v>
      </c>
      <c r="AV240">
        <v>135.9</v>
      </c>
      <c r="AX240">
        <v>151.6</v>
      </c>
      <c r="AZ240">
        <v>139</v>
      </c>
      <c r="BB240">
        <v>135.69999999999999</v>
      </c>
      <c r="BD240">
        <v>144.69999999999999</v>
      </c>
    </row>
    <row r="241" spans="1:56" hidden="1">
      <c r="A241" t="s">
        <v>34</v>
      </c>
      <c r="B241">
        <v>2019</v>
      </c>
      <c r="C241" t="s">
        <v>42</v>
      </c>
      <c r="D241">
        <v>140.9</v>
      </c>
      <c r="F241">
        <v>160.80000000000001</v>
      </c>
      <c r="H241">
        <v>139.6</v>
      </c>
      <c r="J241">
        <v>145.4</v>
      </c>
      <c r="L241">
        <v>123.5</v>
      </c>
      <c r="N241">
        <v>146.6</v>
      </c>
      <c r="P241">
        <v>173.2</v>
      </c>
      <c r="R241">
        <v>131.6</v>
      </c>
      <c r="T241">
        <v>113.2</v>
      </c>
      <c r="V241">
        <v>144.1</v>
      </c>
      <c r="X241">
        <v>135</v>
      </c>
      <c r="Z241">
        <v>156.80000000000001</v>
      </c>
      <c r="AB241">
        <v>147</v>
      </c>
      <c r="AD241">
        <v>166.5</v>
      </c>
      <c r="AF241">
        <v>149.19999999999999</v>
      </c>
      <c r="AH241">
        <v>140.6</v>
      </c>
      <c r="AJ241">
        <v>147.9</v>
      </c>
      <c r="AL241">
        <v>152.19999999999999</v>
      </c>
      <c r="AN241">
        <v>139.19999999999999</v>
      </c>
      <c r="AP241">
        <v>144.6</v>
      </c>
      <c r="AR241">
        <v>149</v>
      </c>
      <c r="AT241">
        <v>126.1</v>
      </c>
      <c r="AV241">
        <v>141.30000000000001</v>
      </c>
      <c r="AX241">
        <v>155.19999999999999</v>
      </c>
      <c r="AZ241">
        <v>139.69999999999999</v>
      </c>
      <c r="BB241">
        <v>140.69999999999999</v>
      </c>
      <c r="BD241">
        <v>145.80000000000001</v>
      </c>
    </row>
    <row r="242" spans="1:56" hidden="1">
      <c r="A242" t="s">
        <v>30</v>
      </c>
      <c r="B242">
        <v>2019</v>
      </c>
      <c r="C242" t="s">
        <v>43</v>
      </c>
      <c r="D242">
        <v>141</v>
      </c>
      <c r="F242">
        <v>161.6</v>
      </c>
      <c r="H242">
        <v>141.19999999999999</v>
      </c>
      <c r="J242">
        <v>146.5</v>
      </c>
      <c r="L242">
        <v>125.6</v>
      </c>
      <c r="N242">
        <v>145.69999999999999</v>
      </c>
      <c r="P242">
        <v>178.8</v>
      </c>
      <c r="R242">
        <v>133.1</v>
      </c>
      <c r="T242">
        <v>113.6</v>
      </c>
      <c r="V242">
        <v>145.5</v>
      </c>
      <c r="X242">
        <v>138.6</v>
      </c>
      <c r="Z242">
        <v>157.4</v>
      </c>
      <c r="AB242">
        <v>148.30000000000001</v>
      </c>
      <c r="AD242">
        <v>166.3</v>
      </c>
      <c r="AF242">
        <v>151.69999999999999</v>
      </c>
      <c r="AH242">
        <v>146.69999999999999</v>
      </c>
      <c r="AJ242">
        <v>151</v>
      </c>
      <c r="AL242" t="s">
        <v>32</v>
      </c>
      <c r="AN242">
        <v>147.69999999999999</v>
      </c>
      <c r="AP242">
        <v>150.6</v>
      </c>
      <c r="AR242">
        <v>153.69999999999999</v>
      </c>
      <c r="AT242">
        <v>131.69999999999999</v>
      </c>
      <c r="AV242">
        <v>148.69999999999999</v>
      </c>
      <c r="AX242">
        <v>160.69999999999999</v>
      </c>
      <c r="AZ242">
        <v>140.30000000000001</v>
      </c>
      <c r="BB242">
        <v>145.69999999999999</v>
      </c>
      <c r="BD242">
        <v>148.30000000000001</v>
      </c>
    </row>
    <row r="243" spans="1:56">
      <c r="A243" t="s">
        <v>33</v>
      </c>
      <c r="B243">
        <v>2019</v>
      </c>
      <c r="C243" t="s">
        <v>43</v>
      </c>
      <c r="D243">
        <v>143.5</v>
      </c>
      <c r="F243">
        <v>159.80000000000001</v>
      </c>
      <c r="H243">
        <v>144.69999999999999</v>
      </c>
      <c r="J243">
        <v>145.6</v>
      </c>
      <c r="L243">
        <v>121.1</v>
      </c>
      <c r="N243">
        <v>150.6</v>
      </c>
      <c r="P243">
        <v>207.2</v>
      </c>
      <c r="R243">
        <v>131.19999999999999</v>
      </c>
      <c r="T243">
        <v>114.8</v>
      </c>
      <c r="V243">
        <v>145.19999999999999</v>
      </c>
      <c r="X243">
        <v>130.19999999999999</v>
      </c>
      <c r="Z243">
        <v>156.80000000000001</v>
      </c>
      <c r="AB243">
        <v>151.9</v>
      </c>
      <c r="AD243">
        <v>169.3</v>
      </c>
      <c r="AF243">
        <v>145.9</v>
      </c>
      <c r="AH243">
        <v>132.4</v>
      </c>
      <c r="AJ243">
        <v>143.9</v>
      </c>
      <c r="AL243">
        <v>153</v>
      </c>
      <c r="AN243">
        <v>128.9</v>
      </c>
      <c r="AP243">
        <v>138.69999999999999</v>
      </c>
      <c r="AR243">
        <v>142.4</v>
      </c>
      <c r="AT243">
        <v>121.5</v>
      </c>
      <c r="AV243">
        <v>136.19999999999999</v>
      </c>
      <c r="AX243">
        <v>151.69999999999999</v>
      </c>
      <c r="AZ243">
        <v>139.5</v>
      </c>
      <c r="BB243">
        <v>136</v>
      </c>
      <c r="BD243">
        <v>146</v>
      </c>
    </row>
    <row r="244" spans="1:56" hidden="1">
      <c r="A244" t="s">
        <v>34</v>
      </c>
      <c r="B244">
        <v>2019</v>
      </c>
      <c r="C244" t="s">
        <v>43</v>
      </c>
      <c r="D244">
        <v>141.80000000000001</v>
      </c>
      <c r="F244">
        <v>161</v>
      </c>
      <c r="H244">
        <v>142.6</v>
      </c>
      <c r="J244">
        <v>146.19999999999999</v>
      </c>
      <c r="L244">
        <v>123.9</v>
      </c>
      <c r="N244">
        <v>148</v>
      </c>
      <c r="P244">
        <v>188.4</v>
      </c>
      <c r="R244">
        <v>132.5</v>
      </c>
      <c r="T244">
        <v>114</v>
      </c>
      <c r="V244">
        <v>145.4</v>
      </c>
      <c r="X244">
        <v>135.1</v>
      </c>
      <c r="Z244">
        <v>157.1</v>
      </c>
      <c r="AB244">
        <v>149.6</v>
      </c>
      <c r="AD244">
        <v>167.1</v>
      </c>
      <c r="AF244">
        <v>149.4</v>
      </c>
      <c r="AH244">
        <v>140.80000000000001</v>
      </c>
      <c r="AJ244">
        <v>148.19999999999999</v>
      </c>
      <c r="AL244">
        <v>153</v>
      </c>
      <c r="AN244">
        <v>140.6</v>
      </c>
      <c r="AP244">
        <v>145</v>
      </c>
      <c r="AR244">
        <v>149.4</v>
      </c>
      <c r="AT244">
        <v>126.3</v>
      </c>
      <c r="AV244">
        <v>141.69999999999999</v>
      </c>
      <c r="AX244">
        <v>155.4</v>
      </c>
      <c r="AZ244">
        <v>140</v>
      </c>
      <c r="BB244">
        <v>141</v>
      </c>
      <c r="BD244">
        <v>147.19999999999999</v>
      </c>
    </row>
    <row r="245" spans="1:56" hidden="1">
      <c r="A245" t="s">
        <v>30</v>
      </c>
      <c r="B245">
        <v>2019</v>
      </c>
      <c r="C245" t="s">
        <v>45</v>
      </c>
      <c r="D245">
        <v>141.80000000000001</v>
      </c>
      <c r="F245">
        <v>163.69999999999999</v>
      </c>
      <c r="H245">
        <v>143.80000000000001</v>
      </c>
      <c r="J245">
        <v>147.1</v>
      </c>
      <c r="L245">
        <v>126</v>
      </c>
      <c r="N245">
        <v>146.19999999999999</v>
      </c>
      <c r="P245">
        <v>191.4</v>
      </c>
      <c r="R245">
        <v>136.19999999999999</v>
      </c>
      <c r="T245">
        <v>113.8</v>
      </c>
      <c r="V245">
        <v>147.30000000000001</v>
      </c>
      <c r="X245">
        <v>138.69999999999999</v>
      </c>
      <c r="Z245">
        <v>157.69999999999999</v>
      </c>
      <c r="AB245">
        <v>150.9</v>
      </c>
      <c r="AD245">
        <v>167.2</v>
      </c>
      <c r="AF245">
        <v>152.30000000000001</v>
      </c>
      <c r="AH245">
        <v>147</v>
      </c>
      <c r="AJ245">
        <v>151.5</v>
      </c>
      <c r="AL245" t="s">
        <v>32</v>
      </c>
      <c r="AN245">
        <v>148.4</v>
      </c>
      <c r="AP245">
        <v>150.9</v>
      </c>
      <c r="AR245">
        <v>154.30000000000001</v>
      </c>
      <c r="AT245">
        <v>132.1</v>
      </c>
      <c r="AV245">
        <v>149.1</v>
      </c>
      <c r="AX245">
        <v>160.80000000000001</v>
      </c>
      <c r="AZ245">
        <v>140.6</v>
      </c>
      <c r="BB245">
        <v>146.1</v>
      </c>
      <c r="BD245">
        <v>149.9</v>
      </c>
    </row>
    <row r="246" spans="1:56">
      <c r="A246" t="s">
        <v>33</v>
      </c>
      <c r="B246">
        <v>2019</v>
      </c>
      <c r="C246" t="s">
        <v>45</v>
      </c>
      <c r="D246">
        <v>144.1</v>
      </c>
      <c r="F246">
        <v>162.4</v>
      </c>
      <c r="H246">
        <v>148.4</v>
      </c>
      <c r="J246">
        <v>145.9</v>
      </c>
      <c r="L246">
        <v>121.5</v>
      </c>
      <c r="N246">
        <v>148.80000000000001</v>
      </c>
      <c r="P246">
        <v>215.7</v>
      </c>
      <c r="R246">
        <v>134.6</v>
      </c>
      <c r="T246">
        <v>115</v>
      </c>
      <c r="V246">
        <v>146.30000000000001</v>
      </c>
      <c r="X246">
        <v>130.5</v>
      </c>
      <c r="Z246">
        <v>157.19999999999999</v>
      </c>
      <c r="AB246">
        <v>153.6</v>
      </c>
      <c r="AD246">
        <v>169.9</v>
      </c>
      <c r="AF246">
        <v>146.30000000000001</v>
      </c>
      <c r="AH246">
        <v>132.6</v>
      </c>
      <c r="AJ246">
        <v>144.19999999999999</v>
      </c>
      <c r="AL246">
        <v>153.5</v>
      </c>
      <c r="AN246">
        <v>132.19999999999999</v>
      </c>
      <c r="AP246">
        <v>139.1</v>
      </c>
      <c r="AR246">
        <v>142.80000000000001</v>
      </c>
      <c r="AT246">
        <v>121.7</v>
      </c>
      <c r="AV246">
        <v>136.69999999999999</v>
      </c>
      <c r="AX246">
        <v>151.80000000000001</v>
      </c>
      <c r="AZ246">
        <v>139.80000000000001</v>
      </c>
      <c r="BB246">
        <v>136.30000000000001</v>
      </c>
      <c r="BD246">
        <v>147</v>
      </c>
    </row>
    <row r="247" spans="1:56" hidden="1">
      <c r="A247" t="s">
        <v>34</v>
      </c>
      <c r="B247">
        <v>2019</v>
      </c>
      <c r="C247" t="s">
        <v>45</v>
      </c>
      <c r="D247">
        <v>142.5</v>
      </c>
      <c r="F247">
        <v>163.19999999999999</v>
      </c>
      <c r="H247">
        <v>145.6</v>
      </c>
      <c r="J247">
        <v>146.69999999999999</v>
      </c>
      <c r="L247">
        <v>124.3</v>
      </c>
      <c r="N247">
        <v>147.4</v>
      </c>
      <c r="P247">
        <v>199.6</v>
      </c>
      <c r="R247">
        <v>135.69999999999999</v>
      </c>
      <c r="T247">
        <v>114.2</v>
      </c>
      <c r="V247">
        <v>147</v>
      </c>
      <c r="X247">
        <v>135.30000000000001</v>
      </c>
      <c r="Z247">
        <v>157.5</v>
      </c>
      <c r="AB247">
        <v>151.9</v>
      </c>
      <c r="AD247">
        <v>167.9</v>
      </c>
      <c r="AF247">
        <v>149.9</v>
      </c>
      <c r="AH247">
        <v>141</v>
      </c>
      <c r="AJ247">
        <v>148.6</v>
      </c>
      <c r="AL247">
        <v>153.5</v>
      </c>
      <c r="AN247">
        <v>142.30000000000001</v>
      </c>
      <c r="AP247">
        <v>145.30000000000001</v>
      </c>
      <c r="AR247">
        <v>149.9</v>
      </c>
      <c r="AT247">
        <v>126.6</v>
      </c>
      <c r="AV247">
        <v>142.1</v>
      </c>
      <c r="AX247">
        <v>155.5</v>
      </c>
      <c r="AZ247">
        <v>140.30000000000001</v>
      </c>
      <c r="BB247">
        <v>141.30000000000001</v>
      </c>
      <c r="BD247">
        <v>148.6</v>
      </c>
    </row>
    <row r="248" spans="1:56" hidden="1">
      <c r="A248" t="s">
        <v>30</v>
      </c>
      <c r="B248">
        <v>2019</v>
      </c>
      <c r="C248" t="s">
        <v>46</v>
      </c>
      <c r="D248">
        <v>142.80000000000001</v>
      </c>
      <c r="F248">
        <v>165.3</v>
      </c>
      <c r="H248">
        <v>149.5</v>
      </c>
      <c r="J248">
        <v>148.69999999999999</v>
      </c>
      <c r="L248">
        <v>127.5</v>
      </c>
      <c r="N248">
        <v>144.30000000000001</v>
      </c>
      <c r="P248">
        <v>209.5</v>
      </c>
      <c r="R248">
        <v>138.80000000000001</v>
      </c>
      <c r="T248">
        <v>113.6</v>
      </c>
      <c r="V248">
        <v>149.1</v>
      </c>
      <c r="X248">
        <v>139.30000000000001</v>
      </c>
      <c r="Z248">
        <v>158.30000000000001</v>
      </c>
      <c r="AB248">
        <v>154.30000000000001</v>
      </c>
      <c r="AD248">
        <v>167.8</v>
      </c>
      <c r="AF248">
        <v>152.6</v>
      </c>
      <c r="AH248">
        <v>147.30000000000001</v>
      </c>
      <c r="AJ248">
        <v>151.9</v>
      </c>
      <c r="AL248" t="s">
        <v>32</v>
      </c>
      <c r="AN248">
        <v>149.9</v>
      </c>
      <c r="AP248">
        <v>151.19999999999999</v>
      </c>
      <c r="AR248">
        <v>154.80000000000001</v>
      </c>
      <c r="AT248">
        <v>135</v>
      </c>
      <c r="AV248">
        <v>149.5</v>
      </c>
      <c r="AX248">
        <v>161.1</v>
      </c>
      <c r="AZ248">
        <v>140.6</v>
      </c>
      <c r="BB248">
        <v>147.1</v>
      </c>
      <c r="BD248">
        <v>152.30000000000001</v>
      </c>
    </row>
    <row r="249" spans="1:56">
      <c r="A249" t="s">
        <v>33</v>
      </c>
      <c r="B249">
        <v>2019</v>
      </c>
      <c r="C249" t="s">
        <v>46</v>
      </c>
      <c r="D249">
        <v>144.9</v>
      </c>
      <c r="F249">
        <v>164.5</v>
      </c>
      <c r="H249">
        <v>153.69999999999999</v>
      </c>
      <c r="J249">
        <v>147.5</v>
      </c>
      <c r="L249">
        <v>122.7</v>
      </c>
      <c r="N249">
        <v>147.19999999999999</v>
      </c>
      <c r="P249">
        <v>231.5</v>
      </c>
      <c r="R249">
        <v>137.19999999999999</v>
      </c>
      <c r="T249">
        <v>114.7</v>
      </c>
      <c r="V249">
        <v>148</v>
      </c>
      <c r="X249">
        <v>130.80000000000001</v>
      </c>
      <c r="Z249">
        <v>157.69999999999999</v>
      </c>
      <c r="AB249">
        <v>156.30000000000001</v>
      </c>
      <c r="AD249">
        <v>170.4</v>
      </c>
      <c r="AF249">
        <v>146.80000000000001</v>
      </c>
      <c r="AH249">
        <v>132.80000000000001</v>
      </c>
      <c r="AJ249">
        <v>144.6</v>
      </c>
      <c r="AL249">
        <v>152.80000000000001</v>
      </c>
      <c r="AN249">
        <v>133.6</v>
      </c>
      <c r="AP249">
        <v>139.80000000000001</v>
      </c>
      <c r="AR249">
        <v>143.19999999999999</v>
      </c>
      <c r="AT249">
        <v>125.2</v>
      </c>
      <c r="AV249">
        <v>136.80000000000001</v>
      </c>
      <c r="AX249">
        <v>151.9</v>
      </c>
      <c r="AZ249">
        <v>140.19999999999999</v>
      </c>
      <c r="BB249">
        <v>137.69999999999999</v>
      </c>
      <c r="BD249">
        <v>148.30000000000001</v>
      </c>
    </row>
    <row r="250" spans="1:56" hidden="1">
      <c r="A250" t="s">
        <v>34</v>
      </c>
      <c r="B250">
        <v>2019</v>
      </c>
      <c r="C250" t="s">
        <v>46</v>
      </c>
      <c r="D250">
        <v>143.5</v>
      </c>
      <c r="F250">
        <v>165</v>
      </c>
      <c r="H250">
        <v>151.1</v>
      </c>
      <c r="J250">
        <v>148.30000000000001</v>
      </c>
      <c r="L250">
        <v>125.7</v>
      </c>
      <c r="N250">
        <v>145.69999999999999</v>
      </c>
      <c r="P250">
        <v>217</v>
      </c>
      <c r="R250">
        <v>138.30000000000001</v>
      </c>
      <c r="T250">
        <v>114</v>
      </c>
      <c r="V250">
        <v>148.69999999999999</v>
      </c>
      <c r="X250">
        <v>135.80000000000001</v>
      </c>
      <c r="Z250">
        <v>158</v>
      </c>
      <c r="AB250">
        <v>155</v>
      </c>
      <c r="AD250">
        <v>168.5</v>
      </c>
      <c r="AF250">
        <v>150.30000000000001</v>
      </c>
      <c r="AH250">
        <v>141.30000000000001</v>
      </c>
      <c r="AJ250">
        <v>149</v>
      </c>
      <c r="AL250">
        <v>152.80000000000001</v>
      </c>
      <c r="AN250">
        <v>143.69999999999999</v>
      </c>
      <c r="AP250">
        <v>145.80000000000001</v>
      </c>
      <c r="AR250">
        <v>150.4</v>
      </c>
      <c r="AT250">
        <v>129.80000000000001</v>
      </c>
      <c r="AV250">
        <v>142.30000000000001</v>
      </c>
      <c r="AX250">
        <v>155.69999999999999</v>
      </c>
      <c r="AZ250">
        <v>140.4</v>
      </c>
      <c r="BB250">
        <v>142.5</v>
      </c>
      <c r="BD250">
        <v>150.4</v>
      </c>
    </row>
    <row r="251" spans="1:56" hidden="1">
      <c r="A251" t="s">
        <v>30</v>
      </c>
      <c r="B251">
        <v>2020</v>
      </c>
      <c r="C251" t="s">
        <v>31</v>
      </c>
      <c r="D251">
        <v>143.69999999999999</v>
      </c>
      <c r="F251">
        <v>167.3</v>
      </c>
      <c r="H251">
        <v>153.5</v>
      </c>
      <c r="J251">
        <v>150.5</v>
      </c>
      <c r="L251">
        <v>132</v>
      </c>
      <c r="N251">
        <v>142.19999999999999</v>
      </c>
      <c r="P251">
        <v>191.5</v>
      </c>
      <c r="R251">
        <v>141.1</v>
      </c>
      <c r="T251">
        <v>113.8</v>
      </c>
      <c r="V251">
        <v>151.6</v>
      </c>
      <c r="X251">
        <v>139.69999999999999</v>
      </c>
      <c r="Z251">
        <v>158.69999999999999</v>
      </c>
      <c r="AB251">
        <v>153</v>
      </c>
      <c r="AD251">
        <v>168.6</v>
      </c>
      <c r="AF251">
        <v>152.80000000000001</v>
      </c>
      <c r="AH251">
        <v>147.4</v>
      </c>
      <c r="AJ251">
        <v>152.1</v>
      </c>
      <c r="AL251" t="s">
        <v>32</v>
      </c>
      <c r="AN251">
        <v>150.4</v>
      </c>
      <c r="AP251">
        <v>151.69999999999999</v>
      </c>
      <c r="AR251">
        <v>155.69999999999999</v>
      </c>
      <c r="AT251">
        <v>136.30000000000001</v>
      </c>
      <c r="AV251">
        <v>150.1</v>
      </c>
      <c r="AX251">
        <v>161.69999999999999</v>
      </c>
      <c r="AZ251">
        <v>142.5</v>
      </c>
      <c r="BB251">
        <v>148.1</v>
      </c>
      <c r="BD251">
        <v>151.9</v>
      </c>
    </row>
    <row r="252" spans="1:56">
      <c r="A252" t="s">
        <v>33</v>
      </c>
      <c r="B252">
        <v>2020</v>
      </c>
      <c r="C252" t="s">
        <v>31</v>
      </c>
      <c r="D252">
        <v>145.6</v>
      </c>
      <c r="F252">
        <v>167.6</v>
      </c>
      <c r="H252">
        <v>157</v>
      </c>
      <c r="J252">
        <v>149.30000000000001</v>
      </c>
      <c r="L252">
        <v>126.3</v>
      </c>
      <c r="N252">
        <v>144.4</v>
      </c>
      <c r="P252">
        <v>207.8</v>
      </c>
      <c r="R252">
        <v>139.1</v>
      </c>
      <c r="T252">
        <v>114.8</v>
      </c>
      <c r="V252">
        <v>149.5</v>
      </c>
      <c r="X252">
        <v>131.1</v>
      </c>
      <c r="Z252">
        <v>158.5</v>
      </c>
      <c r="AB252">
        <v>154.4</v>
      </c>
      <c r="AD252">
        <v>170.8</v>
      </c>
      <c r="AF252">
        <v>147</v>
      </c>
      <c r="AH252">
        <v>133.19999999999999</v>
      </c>
      <c r="AJ252">
        <v>144.9</v>
      </c>
      <c r="AL252">
        <v>153.9</v>
      </c>
      <c r="AN252">
        <v>135.1</v>
      </c>
      <c r="AP252">
        <v>140.1</v>
      </c>
      <c r="AR252">
        <v>143.80000000000001</v>
      </c>
      <c r="AT252">
        <v>126.1</v>
      </c>
      <c r="AV252">
        <v>137.19999999999999</v>
      </c>
      <c r="AX252">
        <v>152.1</v>
      </c>
      <c r="AZ252">
        <v>142.1</v>
      </c>
      <c r="BB252">
        <v>138.4</v>
      </c>
      <c r="BD252">
        <v>148.19999999999999</v>
      </c>
    </row>
    <row r="253" spans="1:56" hidden="1">
      <c r="A253" t="s">
        <v>34</v>
      </c>
      <c r="B253">
        <v>2020</v>
      </c>
      <c r="C253" t="s">
        <v>31</v>
      </c>
      <c r="D253">
        <v>144.30000000000001</v>
      </c>
      <c r="F253">
        <v>167.4</v>
      </c>
      <c r="H253">
        <v>154.9</v>
      </c>
      <c r="J253">
        <v>150.1</v>
      </c>
      <c r="L253">
        <v>129.9</v>
      </c>
      <c r="N253">
        <v>143.19999999999999</v>
      </c>
      <c r="P253">
        <v>197</v>
      </c>
      <c r="R253">
        <v>140.4</v>
      </c>
      <c r="T253">
        <v>114.1</v>
      </c>
      <c r="V253">
        <v>150.9</v>
      </c>
      <c r="X253">
        <v>136.1</v>
      </c>
      <c r="Z253">
        <v>158.6</v>
      </c>
      <c r="AB253">
        <v>153.5</v>
      </c>
      <c r="AD253">
        <v>169.2</v>
      </c>
      <c r="AF253">
        <v>150.5</v>
      </c>
      <c r="AH253">
        <v>141.5</v>
      </c>
      <c r="AJ253">
        <v>149.19999999999999</v>
      </c>
      <c r="AL253">
        <v>153.9</v>
      </c>
      <c r="AN253">
        <v>144.6</v>
      </c>
      <c r="AP253">
        <v>146.19999999999999</v>
      </c>
      <c r="AR253">
        <v>151.19999999999999</v>
      </c>
      <c r="AT253">
        <v>130.9</v>
      </c>
      <c r="AV253">
        <v>142.80000000000001</v>
      </c>
      <c r="AX253">
        <v>156.1</v>
      </c>
      <c r="AZ253">
        <v>142.30000000000001</v>
      </c>
      <c r="BB253">
        <v>143.4</v>
      </c>
      <c r="BD253">
        <v>150.19999999999999</v>
      </c>
    </row>
    <row r="254" spans="1:56" hidden="1">
      <c r="A254" t="s">
        <v>30</v>
      </c>
      <c r="B254">
        <v>2020</v>
      </c>
      <c r="C254" t="s">
        <v>35</v>
      </c>
      <c r="D254">
        <v>144.19999999999999</v>
      </c>
      <c r="F254">
        <v>167.5</v>
      </c>
      <c r="H254">
        <v>150.9</v>
      </c>
      <c r="J254">
        <v>150.9</v>
      </c>
      <c r="L254">
        <v>133.69999999999999</v>
      </c>
      <c r="N254">
        <v>140.69999999999999</v>
      </c>
      <c r="P254">
        <v>165.1</v>
      </c>
      <c r="R254">
        <v>141.80000000000001</v>
      </c>
      <c r="T254">
        <v>113.1</v>
      </c>
      <c r="V254">
        <v>152.80000000000001</v>
      </c>
      <c r="X254">
        <v>140.1</v>
      </c>
      <c r="Z254">
        <v>159.19999999999999</v>
      </c>
      <c r="AB254">
        <v>149.80000000000001</v>
      </c>
      <c r="AD254">
        <v>169.4</v>
      </c>
      <c r="AF254">
        <v>153</v>
      </c>
      <c r="AH254">
        <v>147.5</v>
      </c>
      <c r="AJ254">
        <v>152.30000000000001</v>
      </c>
      <c r="AL254" t="s">
        <v>32</v>
      </c>
      <c r="AN254">
        <v>152.30000000000001</v>
      </c>
      <c r="AP254">
        <v>151.80000000000001</v>
      </c>
      <c r="AR254">
        <v>156.19999999999999</v>
      </c>
      <c r="AT254">
        <v>136</v>
      </c>
      <c r="AV254">
        <v>150.4</v>
      </c>
      <c r="AX254">
        <v>161.9</v>
      </c>
      <c r="AZ254">
        <v>143.4</v>
      </c>
      <c r="BB254">
        <v>148.4</v>
      </c>
      <c r="BD254">
        <v>150.4</v>
      </c>
    </row>
    <row r="255" spans="1:56">
      <c r="A255" t="s">
        <v>33</v>
      </c>
      <c r="B255">
        <v>2020</v>
      </c>
      <c r="C255" t="s">
        <v>35</v>
      </c>
      <c r="D255">
        <v>146.19999999999999</v>
      </c>
      <c r="F255">
        <v>167.6</v>
      </c>
      <c r="H255">
        <v>153.1</v>
      </c>
      <c r="J255">
        <v>150.69999999999999</v>
      </c>
      <c r="L255">
        <v>127.4</v>
      </c>
      <c r="N255">
        <v>143.1</v>
      </c>
      <c r="P255">
        <v>181.7</v>
      </c>
      <c r="R255">
        <v>139.6</v>
      </c>
      <c r="T255">
        <v>114.6</v>
      </c>
      <c r="V255">
        <v>150.4</v>
      </c>
      <c r="X255">
        <v>131.5</v>
      </c>
      <c r="Z255">
        <v>159</v>
      </c>
      <c r="AB255">
        <v>151.69999999999999</v>
      </c>
      <c r="AD255">
        <v>172</v>
      </c>
      <c r="AF255">
        <v>147.30000000000001</v>
      </c>
      <c r="AH255">
        <v>133.5</v>
      </c>
      <c r="AJ255">
        <v>145.19999999999999</v>
      </c>
      <c r="AL255">
        <v>154.80000000000001</v>
      </c>
      <c r="AN255">
        <v>138.9</v>
      </c>
      <c r="AP255">
        <v>140.4</v>
      </c>
      <c r="AR255">
        <v>144.4</v>
      </c>
      <c r="AT255">
        <v>125.2</v>
      </c>
      <c r="AV255">
        <v>137.69999999999999</v>
      </c>
      <c r="AX255">
        <v>152.19999999999999</v>
      </c>
      <c r="AZ255">
        <v>143.5</v>
      </c>
      <c r="BB255">
        <v>138.4</v>
      </c>
      <c r="BD255">
        <v>147.69999999999999</v>
      </c>
    </row>
    <row r="256" spans="1:56" hidden="1">
      <c r="A256" t="s">
        <v>34</v>
      </c>
      <c r="B256">
        <v>2020</v>
      </c>
      <c r="C256" t="s">
        <v>35</v>
      </c>
      <c r="D256">
        <v>144.80000000000001</v>
      </c>
      <c r="F256">
        <v>167.5</v>
      </c>
      <c r="H256">
        <v>151.80000000000001</v>
      </c>
      <c r="J256">
        <v>150.80000000000001</v>
      </c>
      <c r="L256">
        <v>131.4</v>
      </c>
      <c r="N256">
        <v>141.80000000000001</v>
      </c>
      <c r="P256">
        <v>170.7</v>
      </c>
      <c r="R256">
        <v>141.1</v>
      </c>
      <c r="T256">
        <v>113.6</v>
      </c>
      <c r="V256">
        <v>152</v>
      </c>
      <c r="X256">
        <v>136.5</v>
      </c>
      <c r="Z256">
        <v>159.1</v>
      </c>
      <c r="AB256">
        <v>150.5</v>
      </c>
      <c r="AD256">
        <v>170.1</v>
      </c>
      <c r="AF256">
        <v>150.80000000000001</v>
      </c>
      <c r="AH256">
        <v>141.69999999999999</v>
      </c>
      <c r="AJ256">
        <v>149.5</v>
      </c>
      <c r="AL256">
        <v>154.80000000000001</v>
      </c>
      <c r="AN256">
        <v>147.19999999999999</v>
      </c>
      <c r="AP256">
        <v>146.4</v>
      </c>
      <c r="AR256">
        <v>151.69999999999999</v>
      </c>
      <c r="AT256">
        <v>130.30000000000001</v>
      </c>
      <c r="AV256">
        <v>143.19999999999999</v>
      </c>
      <c r="AX256">
        <v>156.19999999999999</v>
      </c>
      <c r="AZ256">
        <v>143.4</v>
      </c>
      <c r="BB256">
        <v>143.6</v>
      </c>
      <c r="BD256">
        <v>149.1</v>
      </c>
    </row>
    <row r="257" spans="1:56" hidden="1">
      <c r="A257" t="s">
        <v>30</v>
      </c>
      <c r="B257">
        <v>2020</v>
      </c>
      <c r="C257" t="s">
        <v>36</v>
      </c>
      <c r="D257">
        <v>144.4</v>
      </c>
      <c r="F257">
        <v>166.8</v>
      </c>
      <c r="H257">
        <v>147.6</v>
      </c>
      <c r="J257">
        <v>151.69999999999999</v>
      </c>
      <c r="L257">
        <v>133.30000000000001</v>
      </c>
      <c r="N257">
        <v>141.80000000000001</v>
      </c>
      <c r="P257">
        <v>152.30000000000001</v>
      </c>
      <c r="R257">
        <v>141.80000000000001</v>
      </c>
      <c r="T257">
        <v>112.6</v>
      </c>
      <c r="V257">
        <v>154</v>
      </c>
      <c r="X257">
        <v>140.1</v>
      </c>
      <c r="Z257">
        <v>160</v>
      </c>
      <c r="AB257">
        <v>148.19999999999999</v>
      </c>
      <c r="AD257">
        <v>170.5</v>
      </c>
      <c r="AF257">
        <v>153.4</v>
      </c>
      <c r="AH257">
        <v>147.6</v>
      </c>
      <c r="AJ257">
        <v>152.5</v>
      </c>
      <c r="AL257" t="s">
        <v>32</v>
      </c>
      <c r="AN257">
        <v>153.4</v>
      </c>
      <c r="AP257">
        <v>151.5</v>
      </c>
      <c r="AR257">
        <v>156.69999999999999</v>
      </c>
      <c r="AT257">
        <v>135.80000000000001</v>
      </c>
      <c r="AV257">
        <v>151.19999999999999</v>
      </c>
      <c r="AX257">
        <v>161.19999999999999</v>
      </c>
      <c r="AZ257">
        <v>145.1</v>
      </c>
      <c r="BB257">
        <v>148.6</v>
      </c>
      <c r="BD257">
        <v>149.80000000000001</v>
      </c>
    </row>
    <row r="258" spans="1:56">
      <c r="A258" t="s">
        <v>33</v>
      </c>
      <c r="B258">
        <v>2020</v>
      </c>
      <c r="C258" t="s">
        <v>36</v>
      </c>
      <c r="D258">
        <v>146.5</v>
      </c>
      <c r="F258">
        <v>167.5</v>
      </c>
      <c r="H258">
        <v>148.9</v>
      </c>
      <c r="J258">
        <v>151.1</v>
      </c>
      <c r="L258">
        <v>127.5</v>
      </c>
      <c r="N258">
        <v>143.30000000000001</v>
      </c>
      <c r="P258">
        <v>167</v>
      </c>
      <c r="R258">
        <v>139.69999999999999</v>
      </c>
      <c r="T258">
        <v>114.4</v>
      </c>
      <c r="V258">
        <v>151.5</v>
      </c>
      <c r="X258">
        <v>131.9</v>
      </c>
      <c r="Z258">
        <v>159.1</v>
      </c>
      <c r="AB258">
        <v>150.1</v>
      </c>
      <c r="AD258">
        <v>173.3</v>
      </c>
      <c r="AF258">
        <v>147.69999999999999</v>
      </c>
      <c r="AH258">
        <v>133.80000000000001</v>
      </c>
      <c r="AJ258">
        <v>145.6</v>
      </c>
      <c r="AL258">
        <v>154.5</v>
      </c>
      <c r="AN258">
        <v>141.4</v>
      </c>
      <c r="AP258">
        <v>140.80000000000001</v>
      </c>
      <c r="AR258">
        <v>145</v>
      </c>
      <c r="AT258">
        <v>124.6</v>
      </c>
      <c r="AV258">
        <v>137.9</v>
      </c>
      <c r="AX258">
        <v>152.5</v>
      </c>
      <c r="AZ258">
        <v>145.30000000000001</v>
      </c>
      <c r="BB258">
        <v>138.69999999999999</v>
      </c>
      <c r="BD258">
        <v>147.30000000000001</v>
      </c>
    </row>
    <row r="259" spans="1:56" hidden="1">
      <c r="A259" t="s">
        <v>34</v>
      </c>
      <c r="B259">
        <v>2020</v>
      </c>
      <c r="C259" t="s">
        <v>36</v>
      </c>
      <c r="D259">
        <v>145.1</v>
      </c>
      <c r="F259">
        <v>167</v>
      </c>
      <c r="H259">
        <v>148.1</v>
      </c>
      <c r="J259">
        <v>151.5</v>
      </c>
      <c r="L259">
        <v>131.19999999999999</v>
      </c>
      <c r="N259">
        <v>142.5</v>
      </c>
      <c r="P259">
        <v>157.30000000000001</v>
      </c>
      <c r="R259">
        <v>141.1</v>
      </c>
      <c r="T259">
        <v>113.2</v>
      </c>
      <c r="V259">
        <v>153.19999999999999</v>
      </c>
      <c r="X259">
        <v>136.69999999999999</v>
      </c>
      <c r="Z259">
        <v>159.6</v>
      </c>
      <c r="AB259">
        <v>148.9</v>
      </c>
      <c r="AD259">
        <v>171.2</v>
      </c>
      <c r="AF259">
        <v>151.19999999999999</v>
      </c>
      <c r="AH259">
        <v>141.9</v>
      </c>
      <c r="AJ259">
        <v>149.80000000000001</v>
      </c>
      <c r="AL259">
        <v>154.5</v>
      </c>
      <c r="AN259">
        <v>148.9</v>
      </c>
      <c r="AP259">
        <v>146.4</v>
      </c>
      <c r="AR259">
        <v>152.30000000000001</v>
      </c>
      <c r="AT259">
        <v>129.9</v>
      </c>
      <c r="AV259">
        <v>143.69999999999999</v>
      </c>
      <c r="AX259">
        <v>156.1</v>
      </c>
      <c r="AZ259">
        <v>145.19999999999999</v>
      </c>
      <c r="BB259">
        <v>143.80000000000001</v>
      </c>
      <c r="BD259">
        <v>148.6</v>
      </c>
    </row>
    <row r="260" spans="1:56" hidden="1">
      <c r="A260" t="s">
        <v>30</v>
      </c>
      <c r="B260">
        <v>2020</v>
      </c>
      <c r="C260" t="s">
        <v>37</v>
      </c>
      <c r="D260">
        <v>147.19999999999999</v>
      </c>
      <c r="F260" t="s">
        <v>32</v>
      </c>
      <c r="H260">
        <v>146.9</v>
      </c>
      <c r="J260">
        <v>155.6</v>
      </c>
      <c r="L260">
        <v>137.1</v>
      </c>
      <c r="N260">
        <v>147.30000000000001</v>
      </c>
      <c r="P260">
        <v>162.69999999999999</v>
      </c>
      <c r="R260">
        <v>150.19999999999999</v>
      </c>
      <c r="T260">
        <v>119.8</v>
      </c>
      <c r="V260">
        <v>158.69999999999999</v>
      </c>
      <c r="X260">
        <v>139.19999999999999</v>
      </c>
      <c r="Z260" t="s">
        <v>32</v>
      </c>
      <c r="AB260">
        <v>150.1</v>
      </c>
      <c r="AD260" t="s">
        <v>32</v>
      </c>
      <c r="AF260" t="s">
        <v>32</v>
      </c>
      <c r="AH260" t="s">
        <v>32</v>
      </c>
      <c r="AJ260" t="s">
        <v>32</v>
      </c>
      <c r="AL260" t="s">
        <v>32</v>
      </c>
      <c r="AN260">
        <v>148.4</v>
      </c>
      <c r="AP260" t="s">
        <v>32</v>
      </c>
      <c r="AR260">
        <v>154.30000000000001</v>
      </c>
      <c r="AT260" t="s">
        <v>32</v>
      </c>
      <c r="AV260" t="s">
        <v>32</v>
      </c>
      <c r="AX260" t="s">
        <v>32</v>
      </c>
      <c r="AZ260" t="s">
        <v>32</v>
      </c>
      <c r="BB260" t="s">
        <v>32</v>
      </c>
      <c r="BD260" t="s">
        <v>32</v>
      </c>
    </row>
    <row r="261" spans="1:56">
      <c r="A261" t="s">
        <v>33</v>
      </c>
      <c r="B261">
        <v>2020</v>
      </c>
      <c r="C261" t="s">
        <v>37</v>
      </c>
      <c r="D261">
        <v>151.80000000000001</v>
      </c>
      <c r="F261" t="s">
        <v>32</v>
      </c>
      <c r="H261">
        <v>151.9</v>
      </c>
      <c r="J261">
        <v>155.5</v>
      </c>
      <c r="L261">
        <v>131.6</v>
      </c>
      <c r="N261">
        <v>152.9</v>
      </c>
      <c r="P261">
        <v>180</v>
      </c>
      <c r="R261">
        <v>150.80000000000001</v>
      </c>
      <c r="T261">
        <v>121.2</v>
      </c>
      <c r="V261">
        <v>154</v>
      </c>
      <c r="X261">
        <v>133.5</v>
      </c>
      <c r="Z261" t="s">
        <v>32</v>
      </c>
      <c r="AB261">
        <v>153.5</v>
      </c>
      <c r="AD261" t="s">
        <v>32</v>
      </c>
      <c r="AF261" t="s">
        <v>32</v>
      </c>
      <c r="AH261" t="s">
        <v>32</v>
      </c>
      <c r="AJ261" t="s">
        <v>32</v>
      </c>
      <c r="AL261">
        <v>155.6</v>
      </c>
      <c r="AN261">
        <v>137.1</v>
      </c>
      <c r="AP261" t="s">
        <v>32</v>
      </c>
      <c r="AR261">
        <v>144.80000000000001</v>
      </c>
      <c r="AT261" t="s">
        <v>32</v>
      </c>
      <c r="AV261" t="s">
        <v>32</v>
      </c>
      <c r="AX261" t="s">
        <v>32</v>
      </c>
      <c r="AZ261" t="s">
        <v>32</v>
      </c>
      <c r="BB261" t="s">
        <v>32</v>
      </c>
      <c r="BD261" t="s">
        <v>32</v>
      </c>
    </row>
    <row r="262" spans="1:56" hidden="1">
      <c r="A262" t="s">
        <v>34</v>
      </c>
      <c r="B262">
        <v>2020</v>
      </c>
      <c r="C262" t="s">
        <v>37</v>
      </c>
      <c r="D262">
        <v>148.69999999999999</v>
      </c>
      <c r="F262" t="s">
        <v>32</v>
      </c>
      <c r="H262">
        <v>148.80000000000001</v>
      </c>
      <c r="J262">
        <v>155.6</v>
      </c>
      <c r="L262">
        <v>135.1</v>
      </c>
      <c r="N262">
        <v>149.9</v>
      </c>
      <c r="P262">
        <v>168.6</v>
      </c>
      <c r="R262">
        <v>150.4</v>
      </c>
      <c r="T262">
        <v>120.3</v>
      </c>
      <c r="V262">
        <v>157.1</v>
      </c>
      <c r="X262">
        <v>136.80000000000001</v>
      </c>
      <c r="Z262" t="s">
        <v>32</v>
      </c>
      <c r="AB262">
        <v>151.4</v>
      </c>
      <c r="AD262" t="s">
        <v>32</v>
      </c>
      <c r="AF262" t="s">
        <v>32</v>
      </c>
      <c r="AH262" t="s">
        <v>32</v>
      </c>
      <c r="AJ262" t="s">
        <v>32</v>
      </c>
      <c r="AL262">
        <v>155.6</v>
      </c>
      <c r="AN262">
        <v>144.1</v>
      </c>
      <c r="AP262" t="s">
        <v>32</v>
      </c>
      <c r="AR262">
        <v>150.69999999999999</v>
      </c>
      <c r="AT262" t="s">
        <v>32</v>
      </c>
      <c r="AV262" t="s">
        <v>32</v>
      </c>
      <c r="AX262" t="s">
        <v>32</v>
      </c>
      <c r="AZ262" t="s">
        <v>32</v>
      </c>
      <c r="BB262" t="s">
        <v>32</v>
      </c>
      <c r="BD262" t="s">
        <v>32</v>
      </c>
    </row>
    <row r="263" spans="1:56" hidden="1">
      <c r="A263" t="s">
        <v>30</v>
      </c>
      <c r="B263">
        <v>2020</v>
      </c>
      <c r="C263" t="s">
        <v>38</v>
      </c>
      <c r="D263" t="s">
        <v>32</v>
      </c>
      <c r="F263" t="s">
        <v>32</v>
      </c>
      <c r="H263" t="s">
        <v>32</v>
      </c>
      <c r="J263" t="s">
        <v>32</v>
      </c>
      <c r="L263" t="s">
        <v>32</v>
      </c>
      <c r="N263" t="s">
        <v>32</v>
      </c>
      <c r="P263" t="s">
        <v>32</v>
      </c>
      <c r="R263" t="s">
        <v>32</v>
      </c>
      <c r="T263" t="s">
        <v>32</v>
      </c>
      <c r="V263" t="s">
        <v>32</v>
      </c>
      <c r="X263" t="s">
        <v>32</v>
      </c>
      <c r="Z263" t="s">
        <v>32</v>
      </c>
      <c r="AB263" t="s">
        <v>32</v>
      </c>
      <c r="AD263" t="s">
        <v>32</v>
      </c>
      <c r="AF263" t="s">
        <v>32</v>
      </c>
      <c r="AH263" t="s">
        <v>32</v>
      </c>
      <c r="AJ263" t="s">
        <v>32</v>
      </c>
      <c r="AL263" t="s">
        <v>32</v>
      </c>
      <c r="AN263" t="s">
        <v>32</v>
      </c>
      <c r="AP263" t="s">
        <v>32</v>
      </c>
      <c r="AR263" t="s">
        <v>32</v>
      </c>
      <c r="AT263" t="s">
        <v>32</v>
      </c>
      <c r="AV263" t="s">
        <v>32</v>
      </c>
      <c r="AX263" t="s">
        <v>32</v>
      </c>
      <c r="AZ263" t="s">
        <v>32</v>
      </c>
      <c r="BB263" t="s">
        <v>32</v>
      </c>
      <c r="BD263" t="s">
        <v>32</v>
      </c>
    </row>
    <row r="264" spans="1:56">
      <c r="A264" t="s">
        <v>33</v>
      </c>
      <c r="B264">
        <v>2020</v>
      </c>
      <c r="C264" t="s">
        <v>38</v>
      </c>
      <c r="D264" t="s">
        <v>32</v>
      </c>
      <c r="F264" t="s">
        <v>32</v>
      </c>
      <c r="H264" t="s">
        <v>32</v>
      </c>
      <c r="J264" t="s">
        <v>32</v>
      </c>
      <c r="L264" t="s">
        <v>32</v>
      </c>
      <c r="N264" t="s">
        <v>32</v>
      </c>
      <c r="P264" t="s">
        <v>32</v>
      </c>
      <c r="R264" t="s">
        <v>32</v>
      </c>
      <c r="T264" t="s">
        <v>32</v>
      </c>
      <c r="V264" t="s">
        <v>32</v>
      </c>
      <c r="X264" t="s">
        <v>32</v>
      </c>
      <c r="Z264" t="s">
        <v>32</v>
      </c>
      <c r="AB264" t="s">
        <v>32</v>
      </c>
      <c r="AD264" t="s">
        <v>32</v>
      </c>
      <c r="AF264" t="s">
        <v>32</v>
      </c>
      <c r="AH264" t="s">
        <v>32</v>
      </c>
      <c r="AJ264" t="s">
        <v>32</v>
      </c>
      <c r="AL264" t="s">
        <v>32</v>
      </c>
      <c r="AN264" t="s">
        <v>32</v>
      </c>
      <c r="AP264" t="s">
        <v>32</v>
      </c>
      <c r="AR264" t="s">
        <v>32</v>
      </c>
      <c r="AT264" t="s">
        <v>32</v>
      </c>
      <c r="AV264" t="s">
        <v>32</v>
      </c>
      <c r="AX264" t="s">
        <v>32</v>
      </c>
      <c r="AZ264" t="s">
        <v>32</v>
      </c>
      <c r="BB264" t="s">
        <v>32</v>
      </c>
      <c r="BD264" t="s">
        <v>32</v>
      </c>
    </row>
    <row r="265" spans="1:56" hidden="1">
      <c r="A265" t="s">
        <v>34</v>
      </c>
      <c r="B265">
        <v>2020</v>
      </c>
      <c r="C265" t="s">
        <v>38</v>
      </c>
      <c r="D265" t="s">
        <v>32</v>
      </c>
      <c r="F265" t="s">
        <v>32</v>
      </c>
      <c r="H265" t="s">
        <v>32</v>
      </c>
      <c r="J265" t="s">
        <v>32</v>
      </c>
      <c r="L265" t="s">
        <v>32</v>
      </c>
      <c r="N265" t="s">
        <v>32</v>
      </c>
      <c r="P265" t="s">
        <v>32</v>
      </c>
      <c r="R265" t="s">
        <v>32</v>
      </c>
      <c r="T265" t="s">
        <v>32</v>
      </c>
      <c r="V265" t="s">
        <v>32</v>
      </c>
      <c r="X265" t="s">
        <v>32</v>
      </c>
      <c r="Z265" t="s">
        <v>32</v>
      </c>
      <c r="AB265" t="s">
        <v>32</v>
      </c>
      <c r="AD265" t="s">
        <v>32</v>
      </c>
      <c r="AF265" t="s">
        <v>32</v>
      </c>
      <c r="AH265" t="s">
        <v>32</v>
      </c>
      <c r="AJ265" t="s">
        <v>32</v>
      </c>
      <c r="AL265" t="s">
        <v>32</v>
      </c>
      <c r="AN265" t="s">
        <v>32</v>
      </c>
      <c r="AP265" t="s">
        <v>32</v>
      </c>
      <c r="AR265" t="s">
        <v>32</v>
      </c>
      <c r="AT265" t="s">
        <v>32</v>
      </c>
      <c r="AV265" t="s">
        <v>32</v>
      </c>
      <c r="AX265" t="s">
        <v>32</v>
      </c>
      <c r="AZ265" t="s">
        <v>32</v>
      </c>
      <c r="BB265" t="s">
        <v>32</v>
      </c>
      <c r="BD265" t="s">
        <v>32</v>
      </c>
    </row>
    <row r="266" spans="1:56" hidden="1">
      <c r="A266" t="s">
        <v>30</v>
      </c>
      <c r="B266">
        <v>2020</v>
      </c>
      <c r="C266" t="s">
        <v>39</v>
      </c>
      <c r="D266">
        <v>148.19999999999999</v>
      </c>
      <c r="F266">
        <v>190.3</v>
      </c>
      <c r="H266">
        <v>149.4</v>
      </c>
      <c r="J266">
        <v>153.30000000000001</v>
      </c>
      <c r="L266">
        <v>138.19999999999999</v>
      </c>
      <c r="N266">
        <v>143.19999999999999</v>
      </c>
      <c r="P266">
        <v>148.9</v>
      </c>
      <c r="R266">
        <v>150.30000000000001</v>
      </c>
      <c r="T266">
        <v>113.2</v>
      </c>
      <c r="V266">
        <v>159.80000000000001</v>
      </c>
      <c r="X266">
        <v>142.1</v>
      </c>
      <c r="Z266">
        <v>161.80000000000001</v>
      </c>
      <c r="AB266">
        <v>152.30000000000001</v>
      </c>
      <c r="AD266">
        <v>182.4</v>
      </c>
      <c r="AF266">
        <v>154.69999999999999</v>
      </c>
      <c r="AH266">
        <v>150</v>
      </c>
      <c r="AJ266">
        <v>154.1</v>
      </c>
      <c r="AL266" t="s">
        <v>32</v>
      </c>
      <c r="AN266">
        <v>144.9</v>
      </c>
      <c r="AP266">
        <v>151.69999999999999</v>
      </c>
      <c r="AR266">
        <v>158.19999999999999</v>
      </c>
      <c r="AT266">
        <v>141.4</v>
      </c>
      <c r="AV266">
        <v>153.19999999999999</v>
      </c>
      <c r="AX266">
        <v>161.80000000000001</v>
      </c>
      <c r="AZ266">
        <v>151.19999999999999</v>
      </c>
      <c r="BB266">
        <v>151.69999999999999</v>
      </c>
      <c r="BD266">
        <v>152.69999999999999</v>
      </c>
    </row>
    <row r="267" spans="1:56">
      <c r="A267" t="s">
        <v>33</v>
      </c>
      <c r="B267">
        <v>2020</v>
      </c>
      <c r="C267" t="s">
        <v>39</v>
      </c>
      <c r="D267">
        <v>152.69999999999999</v>
      </c>
      <c r="F267">
        <v>197</v>
      </c>
      <c r="H267">
        <v>154.6</v>
      </c>
      <c r="J267">
        <v>153.4</v>
      </c>
      <c r="L267">
        <v>132.9</v>
      </c>
      <c r="N267">
        <v>151.80000000000001</v>
      </c>
      <c r="P267">
        <v>171.2</v>
      </c>
      <c r="R267">
        <v>152</v>
      </c>
      <c r="T267">
        <v>116.3</v>
      </c>
      <c r="V267">
        <v>158.80000000000001</v>
      </c>
      <c r="X267">
        <v>135.6</v>
      </c>
      <c r="Z267">
        <v>161.69999999999999</v>
      </c>
      <c r="AB267">
        <v>157</v>
      </c>
      <c r="AD267">
        <v>186.7</v>
      </c>
      <c r="AF267">
        <v>149.1</v>
      </c>
      <c r="AH267">
        <v>136.6</v>
      </c>
      <c r="AJ267">
        <v>147.19999999999999</v>
      </c>
      <c r="AL267">
        <v>154.69999999999999</v>
      </c>
      <c r="AN267">
        <v>137.1</v>
      </c>
      <c r="AP267">
        <v>140.4</v>
      </c>
      <c r="AR267">
        <v>148.1</v>
      </c>
      <c r="AT267">
        <v>129.30000000000001</v>
      </c>
      <c r="AV267">
        <v>144.5</v>
      </c>
      <c r="AX267">
        <v>152.5</v>
      </c>
      <c r="AZ267">
        <v>152.19999999999999</v>
      </c>
      <c r="BB267">
        <v>142</v>
      </c>
      <c r="BD267">
        <v>150.80000000000001</v>
      </c>
    </row>
    <row r="268" spans="1:56" hidden="1">
      <c r="A268" t="s">
        <v>34</v>
      </c>
      <c r="B268">
        <v>2020</v>
      </c>
      <c r="C268" t="s">
        <v>39</v>
      </c>
      <c r="D268">
        <v>149.6</v>
      </c>
      <c r="F268">
        <v>192.7</v>
      </c>
      <c r="H268">
        <v>151.4</v>
      </c>
      <c r="J268">
        <v>153.30000000000001</v>
      </c>
      <c r="L268">
        <v>136.30000000000001</v>
      </c>
      <c r="N268">
        <v>147.19999999999999</v>
      </c>
      <c r="P268">
        <v>156.5</v>
      </c>
      <c r="R268">
        <v>150.9</v>
      </c>
      <c r="T268">
        <v>114.2</v>
      </c>
      <c r="V268">
        <v>159.5</v>
      </c>
      <c r="X268">
        <v>139.4</v>
      </c>
      <c r="Z268">
        <v>161.80000000000001</v>
      </c>
      <c r="AB268">
        <v>154</v>
      </c>
      <c r="AD268">
        <v>183.5</v>
      </c>
      <c r="AF268">
        <v>152.5</v>
      </c>
      <c r="AH268">
        <v>144.4</v>
      </c>
      <c r="AJ268">
        <v>151.4</v>
      </c>
      <c r="AL268">
        <v>154.69999999999999</v>
      </c>
      <c r="AN268">
        <v>141.9</v>
      </c>
      <c r="AP268">
        <v>146.4</v>
      </c>
      <c r="AR268">
        <v>154.4</v>
      </c>
      <c r="AT268">
        <v>135</v>
      </c>
      <c r="AV268">
        <v>148.30000000000001</v>
      </c>
      <c r="AX268">
        <v>156.4</v>
      </c>
      <c r="AZ268">
        <v>151.6</v>
      </c>
      <c r="BB268">
        <v>147</v>
      </c>
      <c r="BD268">
        <v>151.80000000000001</v>
      </c>
    </row>
    <row r="269" spans="1:56" hidden="1">
      <c r="A269" t="s">
        <v>30</v>
      </c>
      <c r="B269">
        <v>2020</v>
      </c>
      <c r="C269" t="s">
        <v>40</v>
      </c>
      <c r="D269">
        <v>148.19999999999999</v>
      </c>
      <c r="F269">
        <v>190.3</v>
      </c>
      <c r="H269">
        <v>149.4</v>
      </c>
      <c r="J269">
        <v>153.30000000000001</v>
      </c>
      <c r="L269">
        <v>138.19999999999999</v>
      </c>
      <c r="N269">
        <v>143.19999999999999</v>
      </c>
      <c r="P269">
        <v>148.9</v>
      </c>
      <c r="R269">
        <v>150.30000000000001</v>
      </c>
      <c r="T269">
        <v>113.2</v>
      </c>
      <c r="V269">
        <v>159.80000000000001</v>
      </c>
      <c r="X269">
        <v>142.1</v>
      </c>
      <c r="Z269">
        <v>161.80000000000001</v>
      </c>
      <c r="AB269">
        <v>152.30000000000001</v>
      </c>
      <c r="AD269">
        <v>182.4</v>
      </c>
      <c r="AF269">
        <v>154.69999999999999</v>
      </c>
      <c r="AH269">
        <v>150</v>
      </c>
      <c r="AJ269">
        <v>154.1</v>
      </c>
      <c r="AL269" t="s">
        <v>32</v>
      </c>
      <c r="AN269">
        <v>144.9</v>
      </c>
      <c r="AP269">
        <v>151.69999999999999</v>
      </c>
      <c r="AR269">
        <v>158.19999999999999</v>
      </c>
      <c r="AT269">
        <v>141.4</v>
      </c>
      <c r="AV269">
        <v>153.19999999999999</v>
      </c>
      <c r="AX269">
        <v>161.80000000000001</v>
      </c>
      <c r="AZ269">
        <v>151.19999999999999</v>
      </c>
      <c r="BB269">
        <v>151.69999999999999</v>
      </c>
      <c r="BD269">
        <v>152.69999999999999</v>
      </c>
    </row>
    <row r="270" spans="1:56">
      <c r="A270" t="s">
        <v>33</v>
      </c>
      <c r="B270">
        <v>2020</v>
      </c>
      <c r="C270" t="s">
        <v>40</v>
      </c>
      <c r="D270">
        <v>152.69999999999999</v>
      </c>
      <c r="F270">
        <v>197</v>
      </c>
      <c r="H270">
        <v>154.6</v>
      </c>
      <c r="J270">
        <v>153.4</v>
      </c>
      <c r="L270">
        <v>132.9</v>
      </c>
      <c r="N270">
        <v>151.80000000000001</v>
      </c>
      <c r="P270">
        <v>171.2</v>
      </c>
      <c r="R270">
        <v>152</v>
      </c>
      <c r="T270">
        <v>116.3</v>
      </c>
      <c r="V270">
        <v>158.80000000000001</v>
      </c>
      <c r="X270">
        <v>135.6</v>
      </c>
      <c r="Z270">
        <v>161.69999999999999</v>
      </c>
      <c r="AB270">
        <v>157</v>
      </c>
      <c r="AD270">
        <v>186.7</v>
      </c>
      <c r="AF270">
        <v>149.1</v>
      </c>
      <c r="AH270">
        <v>136.6</v>
      </c>
      <c r="AJ270">
        <v>147.19999999999999</v>
      </c>
      <c r="AL270">
        <v>154.69999999999999</v>
      </c>
      <c r="AN270">
        <v>137.1</v>
      </c>
      <c r="AP270">
        <v>140.4</v>
      </c>
      <c r="AR270">
        <v>148.1</v>
      </c>
      <c r="AT270">
        <v>129.30000000000001</v>
      </c>
      <c r="AV270">
        <v>144.5</v>
      </c>
      <c r="AX270">
        <v>152.5</v>
      </c>
      <c r="AZ270">
        <v>152.19999999999999</v>
      </c>
      <c r="BB270">
        <v>142</v>
      </c>
      <c r="BD270">
        <v>150.80000000000001</v>
      </c>
    </row>
    <row r="271" spans="1:56" hidden="1">
      <c r="A271" t="s">
        <v>34</v>
      </c>
      <c r="B271">
        <v>2020</v>
      </c>
      <c r="C271" t="s">
        <v>40</v>
      </c>
      <c r="D271">
        <v>149.6</v>
      </c>
      <c r="F271">
        <v>192.7</v>
      </c>
      <c r="H271">
        <v>151.4</v>
      </c>
      <c r="J271">
        <v>153.30000000000001</v>
      </c>
      <c r="L271">
        <v>136.30000000000001</v>
      </c>
      <c r="N271">
        <v>147.19999999999999</v>
      </c>
      <c r="P271">
        <v>156.5</v>
      </c>
      <c r="R271">
        <v>150.9</v>
      </c>
      <c r="T271">
        <v>114.2</v>
      </c>
      <c r="V271">
        <v>159.5</v>
      </c>
      <c r="X271">
        <v>139.4</v>
      </c>
      <c r="Z271">
        <v>161.80000000000001</v>
      </c>
      <c r="AB271">
        <v>154</v>
      </c>
      <c r="AD271">
        <v>183.5</v>
      </c>
      <c r="AF271">
        <v>152.5</v>
      </c>
      <c r="AH271">
        <v>144.4</v>
      </c>
      <c r="AJ271">
        <v>151.4</v>
      </c>
      <c r="AL271">
        <v>154.69999999999999</v>
      </c>
      <c r="AN271">
        <v>141.9</v>
      </c>
      <c r="AP271">
        <v>146.4</v>
      </c>
      <c r="AR271">
        <v>154.4</v>
      </c>
      <c r="AT271">
        <v>135</v>
      </c>
      <c r="AV271">
        <v>148.30000000000001</v>
      </c>
      <c r="AX271">
        <v>156.4</v>
      </c>
      <c r="AZ271">
        <v>151.6</v>
      </c>
      <c r="BB271">
        <v>147</v>
      </c>
      <c r="BD271">
        <v>151.80000000000001</v>
      </c>
    </row>
    <row r="272" spans="1:56" hidden="1">
      <c r="A272" t="s">
        <v>30</v>
      </c>
      <c r="B272">
        <v>2020</v>
      </c>
      <c r="C272" t="s">
        <v>41</v>
      </c>
      <c r="D272">
        <v>147.6</v>
      </c>
      <c r="F272">
        <v>187.2</v>
      </c>
      <c r="H272">
        <v>148.4</v>
      </c>
      <c r="J272">
        <v>153.30000000000001</v>
      </c>
      <c r="L272">
        <v>139.80000000000001</v>
      </c>
      <c r="N272">
        <v>146.9</v>
      </c>
      <c r="P272">
        <v>171</v>
      </c>
      <c r="R272">
        <v>149.9</v>
      </c>
      <c r="T272">
        <v>114.2</v>
      </c>
      <c r="V272">
        <v>160</v>
      </c>
      <c r="X272">
        <v>143.5</v>
      </c>
      <c r="Z272">
        <v>161.5</v>
      </c>
      <c r="AB272">
        <v>155.30000000000001</v>
      </c>
      <c r="AD272">
        <v>180.9</v>
      </c>
      <c r="AF272">
        <v>155.1</v>
      </c>
      <c r="AH272">
        <v>149.30000000000001</v>
      </c>
      <c r="AJ272">
        <v>154.30000000000001</v>
      </c>
      <c r="AL272" t="s">
        <v>32</v>
      </c>
      <c r="AN272">
        <v>145.80000000000001</v>
      </c>
      <c r="AP272">
        <v>151.9</v>
      </c>
      <c r="AR272">
        <v>158.80000000000001</v>
      </c>
      <c r="AT272">
        <v>143.6</v>
      </c>
      <c r="AV272">
        <v>152.19999999999999</v>
      </c>
      <c r="AX272">
        <v>162.69999999999999</v>
      </c>
      <c r="AZ272">
        <v>153.6</v>
      </c>
      <c r="BB272">
        <v>153</v>
      </c>
      <c r="BD272">
        <v>154.69999999999999</v>
      </c>
    </row>
    <row r="273" spans="1:56">
      <c r="A273" t="s">
        <v>33</v>
      </c>
      <c r="B273">
        <v>2020</v>
      </c>
      <c r="C273" t="s">
        <v>41</v>
      </c>
      <c r="D273">
        <v>151.6</v>
      </c>
      <c r="F273">
        <v>197.8</v>
      </c>
      <c r="H273">
        <v>154.5</v>
      </c>
      <c r="J273">
        <v>153.4</v>
      </c>
      <c r="L273">
        <v>133.4</v>
      </c>
      <c r="N273">
        <v>154.5</v>
      </c>
      <c r="P273">
        <v>191.9</v>
      </c>
      <c r="R273">
        <v>151.30000000000001</v>
      </c>
      <c r="T273">
        <v>116.8</v>
      </c>
      <c r="V273">
        <v>160</v>
      </c>
      <c r="X273">
        <v>136.5</v>
      </c>
      <c r="Z273">
        <v>163.30000000000001</v>
      </c>
      <c r="AB273">
        <v>159.9</v>
      </c>
      <c r="AD273">
        <v>187.2</v>
      </c>
      <c r="AF273">
        <v>150</v>
      </c>
      <c r="AH273">
        <v>135.19999999999999</v>
      </c>
      <c r="AJ273">
        <v>147.80000000000001</v>
      </c>
      <c r="AL273">
        <v>155.5</v>
      </c>
      <c r="AN273">
        <v>138.30000000000001</v>
      </c>
      <c r="AP273">
        <v>144.5</v>
      </c>
      <c r="AR273">
        <v>148.69999999999999</v>
      </c>
      <c r="AT273">
        <v>133.9</v>
      </c>
      <c r="AV273">
        <v>141.19999999999999</v>
      </c>
      <c r="AX273">
        <v>155.5</v>
      </c>
      <c r="AZ273">
        <v>155.19999999999999</v>
      </c>
      <c r="BB273">
        <v>144.80000000000001</v>
      </c>
      <c r="BD273">
        <v>152.9</v>
      </c>
    </row>
    <row r="274" spans="1:56" hidden="1">
      <c r="A274" t="s">
        <v>34</v>
      </c>
      <c r="B274">
        <v>2020</v>
      </c>
      <c r="C274" t="s">
        <v>41</v>
      </c>
      <c r="D274">
        <v>148.9</v>
      </c>
      <c r="F274">
        <v>190.9</v>
      </c>
      <c r="H274">
        <v>150.80000000000001</v>
      </c>
      <c r="J274">
        <v>153.30000000000001</v>
      </c>
      <c r="L274">
        <v>137.4</v>
      </c>
      <c r="N274">
        <v>150.4</v>
      </c>
      <c r="P274">
        <v>178.1</v>
      </c>
      <c r="R274">
        <v>150.4</v>
      </c>
      <c r="T274">
        <v>115.1</v>
      </c>
      <c r="V274">
        <v>160</v>
      </c>
      <c r="X274">
        <v>140.6</v>
      </c>
      <c r="Z274">
        <v>162.30000000000001</v>
      </c>
      <c r="AB274">
        <v>157</v>
      </c>
      <c r="AD274">
        <v>182.6</v>
      </c>
      <c r="AF274">
        <v>153.1</v>
      </c>
      <c r="AH274">
        <v>143.4</v>
      </c>
      <c r="AJ274">
        <v>151.69999999999999</v>
      </c>
      <c r="AL274">
        <v>155.5</v>
      </c>
      <c r="AN274">
        <v>143</v>
      </c>
      <c r="AP274">
        <v>148.4</v>
      </c>
      <c r="AR274">
        <v>155</v>
      </c>
      <c r="AT274">
        <v>138.5</v>
      </c>
      <c r="AV274">
        <v>146</v>
      </c>
      <c r="AX274">
        <v>158.5</v>
      </c>
      <c r="AZ274">
        <v>154.30000000000001</v>
      </c>
      <c r="BB274">
        <v>149</v>
      </c>
      <c r="BD274">
        <v>153.9</v>
      </c>
    </row>
    <row r="275" spans="1:56" hidden="1">
      <c r="A275" t="s">
        <v>30</v>
      </c>
      <c r="B275">
        <v>2020</v>
      </c>
      <c r="C275" t="s">
        <v>42</v>
      </c>
      <c r="D275">
        <v>146.9</v>
      </c>
      <c r="F275">
        <v>183.9</v>
      </c>
      <c r="H275">
        <v>149.5</v>
      </c>
      <c r="J275">
        <v>153.4</v>
      </c>
      <c r="L275">
        <v>140.4</v>
      </c>
      <c r="N275">
        <v>147</v>
      </c>
      <c r="P275">
        <v>178.8</v>
      </c>
      <c r="R275">
        <v>149.30000000000001</v>
      </c>
      <c r="T275">
        <v>115.1</v>
      </c>
      <c r="V275">
        <v>160</v>
      </c>
      <c r="X275">
        <v>145.4</v>
      </c>
      <c r="Z275">
        <v>161.6</v>
      </c>
      <c r="AB275">
        <v>156.1</v>
      </c>
      <c r="AD275">
        <v>182.9</v>
      </c>
      <c r="AF275">
        <v>155.4</v>
      </c>
      <c r="AH275">
        <v>149.9</v>
      </c>
      <c r="AJ275">
        <v>154.6</v>
      </c>
      <c r="AL275" t="s">
        <v>32</v>
      </c>
      <c r="AN275">
        <v>146.4</v>
      </c>
      <c r="AP275">
        <v>151.6</v>
      </c>
      <c r="AR275">
        <v>159.1</v>
      </c>
      <c r="AT275">
        <v>144.6</v>
      </c>
      <c r="AV275">
        <v>152.80000000000001</v>
      </c>
      <c r="AX275">
        <v>161.1</v>
      </c>
      <c r="AZ275">
        <v>157.4</v>
      </c>
      <c r="BB275">
        <v>153.69999999999999</v>
      </c>
      <c r="BD275">
        <v>155.4</v>
      </c>
    </row>
    <row r="276" spans="1:56">
      <c r="A276" t="s">
        <v>33</v>
      </c>
      <c r="B276">
        <v>2020</v>
      </c>
      <c r="C276" t="s">
        <v>42</v>
      </c>
      <c r="D276">
        <v>151.5</v>
      </c>
      <c r="F276">
        <v>193.1</v>
      </c>
      <c r="H276">
        <v>157.30000000000001</v>
      </c>
      <c r="J276">
        <v>153.9</v>
      </c>
      <c r="L276">
        <v>134.4</v>
      </c>
      <c r="N276">
        <v>155.4</v>
      </c>
      <c r="P276">
        <v>202</v>
      </c>
      <c r="R276">
        <v>150.80000000000001</v>
      </c>
      <c r="T276">
        <v>118.9</v>
      </c>
      <c r="V276">
        <v>160.9</v>
      </c>
      <c r="X276">
        <v>137.69999999999999</v>
      </c>
      <c r="Z276">
        <v>164.4</v>
      </c>
      <c r="AB276">
        <v>161.30000000000001</v>
      </c>
      <c r="AD276">
        <v>188.7</v>
      </c>
      <c r="AF276">
        <v>150.19999999999999</v>
      </c>
      <c r="AH276">
        <v>136.30000000000001</v>
      </c>
      <c r="AJ276">
        <v>148.1</v>
      </c>
      <c r="AL276">
        <v>156.30000000000001</v>
      </c>
      <c r="AN276">
        <v>137.19999999999999</v>
      </c>
      <c r="AP276">
        <v>145.4</v>
      </c>
      <c r="AR276">
        <v>150</v>
      </c>
      <c r="AT276">
        <v>135.1</v>
      </c>
      <c r="AV276">
        <v>141.80000000000001</v>
      </c>
      <c r="AX276">
        <v>154.9</v>
      </c>
      <c r="AZ276">
        <v>159.80000000000001</v>
      </c>
      <c r="BB276">
        <v>146</v>
      </c>
      <c r="BD276">
        <v>154</v>
      </c>
    </row>
    <row r="277" spans="1:56" hidden="1">
      <c r="A277" t="s">
        <v>34</v>
      </c>
      <c r="B277">
        <v>2020</v>
      </c>
      <c r="C277" t="s">
        <v>42</v>
      </c>
      <c r="D277">
        <v>148.4</v>
      </c>
      <c r="F277">
        <v>187.1</v>
      </c>
      <c r="H277">
        <v>152.5</v>
      </c>
      <c r="J277">
        <v>153.6</v>
      </c>
      <c r="L277">
        <v>138.19999999999999</v>
      </c>
      <c r="N277">
        <v>150.9</v>
      </c>
      <c r="P277">
        <v>186.7</v>
      </c>
      <c r="R277">
        <v>149.80000000000001</v>
      </c>
      <c r="T277">
        <v>116.4</v>
      </c>
      <c r="V277">
        <v>160.30000000000001</v>
      </c>
      <c r="X277">
        <v>142.19999999999999</v>
      </c>
      <c r="Z277">
        <v>162.9</v>
      </c>
      <c r="AB277">
        <v>158</v>
      </c>
      <c r="AD277">
        <v>184.4</v>
      </c>
      <c r="AF277">
        <v>153.4</v>
      </c>
      <c r="AH277">
        <v>144.30000000000001</v>
      </c>
      <c r="AJ277">
        <v>152</v>
      </c>
      <c r="AL277">
        <v>156.30000000000001</v>
      </c>
      <c r="AN277">
        <v>142.9</v>
      </c>
      <c r="AP277">
        <v>148.69999999999999</v>
      </c>
      <c r="AR277">
        <v>155.6</v>
      </c>
      <c r="AT277">
        <v>139.6</v>
      </c>
      <c r="AV277">
        <v>146.6</v>
      </c>
      <c r="AX277">
        <v>157.5</v>
      </c>
      <c r="AZ277">
        <v>158.4</v>
      </c>
      <c r="BB277">
        <v>150</v>
      </c>
      <c r="BD277">
        <v>154.69999999999999</v>
      </c>
    </row>
    <row r="278" spans="1:56" hidden="1">
      <c r="A278" t="s">
        <v>30</v>
      </c>
      <c r="B278">
        <v>2020</v>
      </c>
      <c r="C278" t="s">
        <v>43</v>
      </c>
      <c r="D278">
        <v>146</v>
      </c>
      <c r="F278">
        <v>186.3</v>
      </c>
      <c r="H278">
        <v>159.19999999999999</v>
      </c>
      <c r="J278">
        <v>153.6</v>
      </c>
      <c r="L278">
        <v>142.6</v>
      </c>
      <c r="N278">
        <v>147.19999999999999</v>
      </c>
      <c r="P278">
        <v>200.6</v>
      </c>
      <c r="R278">
        <v>150.30000000000001</v>
      </c>
      <c r="T278">
        <v>115.3</v>
      </c>
      <c r="V278">
        <v>160.9</v>
      </c>
      <c r="X278">
        <v>147.4</v>
      </c>
      <c r="Z278">
        <v>161.9</v>
      </c>
      <c r="AB278">
        <v>159.6</v>
      </c>
      <c r="AD278">
        <v>182.7</v>
      </c>
      <c r="AF278">
        <v>155.69999999999999</v>
      </c>
      <c r="AH278">
        <v>150.6</v>
      </c>
      <c r="AJ278">
        <v>155</v>
      </c>
      <c r="AL278" t="s">
        <v>32</v>
      </c>
      <c r="AN278">
        <v>146.80000000000001</v>
      </c>
      <c r="AP278">
        <v>152</v>
      </c>
      <c r="AR278">
        <v>159.5</v>
      </c>
      <c r="AT278">
        <v>146.4</v>
      </c>
      <c r="AV278">
        <v>152.4</v>
      </c>
      <c r="AX278">
        <v>162.5</v>
      </c>
      <c r="AZ278">
        <v>156.19999999999999</v>
      </c>
      <c r="BB278">
        <v>154.30000000000001</v>
      </c>
      <c r="BD278">
        <v>157.5</v>
      </c>
    </row>
    <row r="279" spans="1:56">
      <c r="A279" t="s">
        <v>33</v>
      </c>
      <c r="B279">
        <v>2020</v>
      </c>
      <c r="C279" t="s">
        <v>43</v>
      </c>
      <c r="D279">
        <v>150.6</v>
      </c>
      <c r="F279">
        <v>193.7</v>
      </c>
      <c r="H279">
        <v>164.8</v>
      </c>
      <c r="J279">
        <v>153.69999999999999</v>
      </c>
      <c r="L279">
        <v>135.69999999999999</v>
      </c>
      <c r="N279">
        <v>155.69999999999999</v>
      </c>
      <c r="P279">
        <v>226</v>
      </c>
      <c r="R279">
        <v>152.19999999999999</v>
      </c>
      <c r="T279">
        <v>118.1</v>
      </c>
      <c r="V279">
        <v>161.30000000000001</v>
      </c>
      <c r="X279">
        <v>139.19999999999999</v>
      </c>
      <c r="Z279">
        <v>164.8</v>
      </c>
      <c r="AB279">
        <v>164.4</v>
      </c>
      <c r="AD279">
        <v>188.7</v>
      </c>
      <c r="AF279">
        <v>150.5</v>
      </c>
      <c r="AH279">
        <v>136.1</v>
      </c>
      <c r="AJ279">
        <v>148.30000000000001</v>
      </c>
      <c r="AL279">
        <v>156.5</v>
      </c>
      <c r="AN279">
        <v>137.1</v>
      </c>
      <c r="AP279">
        <v>145.1</v>
      </c>
      <c r="AR279">
        <v>151</v>
      </c>
      <c r="AT279">
        <v>135.4</v>
      </c>
      <c r="AV279">
        <v>142</v>
      </c>
      <c r="AX279">
        <v>155.69999999999999</v>
      </c>
      <c r="AZ279">
        <v>158.1</v>
      </c>
      <c r="BB279">
        <v>146.19999999999999</v>
      </c>
      <c r="BD279">
        <v>155.19999999999999</v>
      </c>
    </row>
    <row r="280" spans="1:56" hidden="1">
      <c r="A280" t="s">
        <v>34</v>
      </c>
      <c r="B280">
        <v>2020</v>
      </c>
      <c r="C280" t="s">
        <v>43</v>
      </c>
      <c r="D280">
        <v>147.5</v>
      </c>
      <c r="F280">
        <v>188.9</v>
      </c>
      <c r="H280">
        <v>161.4</v>
      </c>
      <c r="J280">
        <v>153.6</v>
      </c>
      <c r="L280">
        <v>140.1</v>
      </c>
      <c r="N280">
        <v>151.19999999999999</v>
      </c>
      <c r="P280">
        <v>209.2</v>
      </c>
      <c r="R280">
        <v>150.9</v>
      </c>
      <c r="T280">
        <v>116.2</v>
      </c>
      <c r="V280">
        <v>161</v>
      </c>
      <c r="X280">
        <v>144</v>
      </c>
      <c r="Z280">
        <v>163.19999999999999</v>
      </c>
      <c r="AB280">
        <v>161.4</v>
      </c>
      <c r="AD280">
        <v>184.3</v>
      </c>
      <c r="AF280">
        <v>153.69999999999999</v>
      </c>
      <c r="AH280">
        <v>144.6</v>
      </c>
      <c r="AJ280">
        <v>152.30000000000001</v>
      </c>
      <c r="AL280">
        <v>156.5</v>
      </c>
      <c r="AN280">
        <v>143.1</v>
      </c>
      <c r="AP280">
        <v>148.69999999999999</v>
      </c>
      <c r="AR280">
        <v>156.30000000000001</v>
      </c>
      <c r="AT280">
        <v>140.6</v>
      </c>
      <c r="AV280">
        <v>146.5</v>
      </c>
      <c r="AX280">
        <v>158.5</v>
      </c>
      <c r="AZ280">
        <v>157</v>
      </c>
      <c r="BB280">
        <v>150.4</v>
      </c>
      <c r="BD280">
        <v>156.4</v>
      </c>
    </row>
    <row r="281" spans="1:56" hidden="1">
      <c r="A281" t="s">
        <v>30</v>
      </c>
      <c r="B281">
        <v>2020</v>
      </c>
      <c r="C281" t="s">
        <v>45</v>
      </c>
      <c r="D281">
        <v>145.4</v>
      </c>
      <c r="F281">
        <v>188.6</v>
      </c>
      <c r="H281">
        <v>171.6</v>
      </c>
      <c r="J281">
        <v>153.80000000000001</v>
      </c>
      <c r="L281">
        <v>145.4</v>
      </c>
      <c r="N281">
        <v>146.5</v>
      </c>
      <c r="P281">
        <v>222.2</v>
      </c>
      <c r="R281">
        <v>155.9</v>
      </c>
      <c r="T281">
        <v>114.9</v>
      </c>
      <c r="V281">
        <v>162</v>
      </c>
      <c r="X281">
        <v>150</v>
      </c>
      <c r="Z281">
        <v>162.69999999999999</v>
      </c>
      <c r="AB281">
        <v>163.4</v>
      </c>
      <c r="AD281">
        <v>183.4</v>
      </c>
      <c r="AF281">
        <v>156.30000000000001</v>
      </c>
      <c r="AH281">
        <v>151</v>
      </c>
      <c r="AJ281">
        <v>155.5</v>
      </c>
      <c r="AL281" t="s">
        <v>32</v>
      </c>
      <c r="AN281">
        <v>147.5</v>
      </c>
      <c r="AP281">
        <v>152.80000000000001</v>
      </c>
      <c r="AR281">
        <v>160.4</v>
      </c>
      <c r="AT281">
        <v>146.1</v>
      </c>
      <c r="AV281">
        <v>153.6</v>
      </c>
      <c r="AX281">
        <v>161.6</v>
      </c>
      <c r="AZ281">
        <v>156.19999999999999</v>
      </c>
      <c r="BB281">
        <v>154.5</v>
      </c>
      <c r="BD281">
        <v>159.80000000000001</v>
      </c>
    </row>
    <row r="282" spans="1:56">
      <c r="A282" t="s">
        <v>33</v>
      </c>
      <c r="B282">
        <v>2020</v>
      </c>
      <c r="C282" t="s">
        <v>45</v>
      </c>
      <c r="D282">
        <v>149.69999999999999</v>
      </c>
      <c r="F282">
        <v>195.5</v>
      </c>
      <c r="H282">
        <v>176.9</v>
      </c>
      <c r="J282">
        <v>153.9</v>
      </c>
      <c r="L282">
        <v>138</v>
      </c>
      <c r="N282">
        <v>150.5</v>
      </c>
      <c r="P282">
        <v>245.3</v>
      </c>
      <c r="R282">
        <v>158.69999999999999</v>
      </c>
      <c r="T282">
        <v>117.2</v>
      </c>
      <c r="V282">
        <v>161.4</v>
      </c>
      <c r="X282">
        <v>141.5</v>
      </c>
      <c r="Z282">
        <v>165.1</v>
      </c>
      <c r="AB282">
        <v>167</v>
      </c>
      <c r="AD282">
        <v>188.8</v>
      </c>
      <c r="AF282">
        <v>151.1</v>
      </c>
      <c r="AH282">
        <v>136.4</v>
      </c>
      <c r="AJ282">
        <v>148.80000000000001</v>
      </c>
      <c r="AL282">
        <v>158</v>
      </c>
      <c r="AN282">
        <v>137.30000000000001</v>
      </c>
      <c r="AP282">
        <v>145.1</v>
      </c>
      <c r="AR282">
        <v>152</v>
      </c>
      <c r="AT282">
        <v>135.19999999999999</v>
      </c>
      <c r="AV282">
        <v>144.4</v>
      </c>
      <c r="AX282">
        <v>156.4</v>
      </c>
      <c r="AZ282">
        <v>157.9</v>
      </c>
      <c r="BB282">
        <v>146.6</v>
      </c>
      <c r="BD282">
        <v>156.69999999999999</v>
      </c>
    </row>
    <row r="283" spans="1:56" hidden="1">
      <c r="A283" t="s">
        <v>34</v>
      </c>
      <c r="B283">
        <v>2020</v>
      </c>
      <c r="C283" t="s">
        <v>45</v>
      </c>
      <c r="D283">
        <v>146.80000000000001</v>
      </c>
      <c r="F283">
        <v>191</v>
      </c>
      <c r="H283">
        <v>173.6</v>
      </c>
      <c r="J283">
        <v>153.80000000000001</v>
      </c>
      <c r="L283">
        <v>142.69999999999999</v>
      </c>
      <c r="N283">
        <v>148.4</v>
      </c>
      <c r="P283">
        <v>230</v>
      </c>
      <c r="R283">
        <v>156.80000000000001</v>
      </c>
      <c r="T283">
        <v>115.7</v>
      </c>
      <c r="V283">
        <v>161.80000000000001</v>
      </c>
      <c r="X283">
        <v>146.5</v>
      </c>
      <c r="Z283">
        <v>163.80000000000001</v>
      </c>
      <c r="AB283">
        <v>164.7</v>
      </c>
      <c r="AD283">
        <v>184.8</v>
      </c>
      <c r="AF283">
        <v>154.30000000000001</v>
      </c>
      <c r="AH283">
        <v>144.9</v>
      </c>
      <c r="AJ283">
        <v>152.80000000000001</v>
      </c>
      <c r="AL283">
        <v>158</v>
      </c>
      <c r="AN283">
        <v>143.6</v>
      </c>
      <c r="AP283">
        <v>149.19999999999999</v>
      </c>
      <c r="AR283">
        <v>157.19999999999999</v>
      </c>
      <c r="AT283">
        <v>140.4</v>
      </c>
      <c r="AV283">
        <v>148.4</v>
      </c>
      <c r="AX283">
        <v>158.6</v>
      </c>
      <c r="AZ283">
        <v>156.9</v>
      </c>
      <c r="BB283">
        <v>150.69999999999999</v>
      </c>
      <c r="BD283">
        <v>158.4</v>
      </c>
    </row>
    <row r="284" spans="1:56" hidden="1">
      <c r="A284" t="s">
        <v>30</v>
      </c>
      <c r="B284">
        <v>2020</v>
      </c>
      <c r="C284" t="s">
        <v>46</v>
      </c>
      <c r="D284">
        <v>144.6</v>
      </c>
      <c r="F284">
        <v>188.5</v>
      </c>
      <c r="H284">
        <v>173.4</v>
      </c>
      <c r="J284">
        <v>154</v>
      </c>
      <c r="L284">
        <v>150</v>
      </c>
      <c r="N284">
        <v>145.9</v>
      </c>
      <c r="P284">
        <v>225.2</v>
      </c>
      <c r="R284">
        <v>159.5</v>
      </c>
      <c r="T284">
        <v>114.4</v>
      </c>
      <c r="V284">
        <v>163.5</v>
      </c>
      <c r="X284">
        <v>153.4</v>
      </c>
      <c r="Z284">
        <v>163.6</v>
      </c>
      <c r="AB284">
        <v>164.5</v>
      </c>
      <c r="AD284">
        <v>183.6</v>
      </c>
      <c r="AF284">
        <v>157</v>
      </c>
      <c r="AH284">
        <v>151.6</v>
      </c>
      <c r="AJ284">
        <v>156.30000000000001</v>
      </c>
      <c r="AL284" t="s">
        <v>32</v>
      </c>
      <c r="AN284">
        <v>148.69999999999999</v>
      </c>
      <c r="AP284">
        <v>153.4</v>
      </c>
      <c r="AR284">
        <v>161.6</v>
      </c>
      <c r="AT284">
        <v>146.4</v>
      </c>
      <c r="AV284">
        <v>153.9</v>
      </c>
      <c r="AX284">
        <v>162.9</v>
      </c>
      <c r="AZ284">
        <v>156.6</v>
      </c>
      <c r="BB284">
        <v>155.19999999999999</v>
      </c>
      <c r="BD284">
        <v>160.69999999999999</v>
      </c>
    </row>
    <row r="285" spans="1:56">
      <c r="A285" t="s">
        <v>33</v>
      </c>
      <c r="B285">
        <v>2020</v>
      </c>
      <c r="C285" t="s">
        <v>46</v>
      </c>
      <c r="D285">
        <v>149</v>
      </c>
      <c r="F285">
        <v>195.7</v>
      </c>
      <c r="H285">
        <v>178.3</v>
      </c>
      <c r="J285">
        <v>154.19999999999999</v>
      </c>
      <c r="L285">
        <v>140.69999999999999</v>
      </c>
      <c r="N285">
        <v>149.69999999999999</v>
      </c>
      <c r="P285">
        <v>240.9</v>
      </c>
      <c r="R285">
        <v>161.5</v>
      </c>
      <c r="T285">
        <v>117.1</v>
      </c>
      <c r="V285">
        <v>161.9</v>
      </c>
      <c r="X285">
        <v>143.30000000000001</v>
      </c>
      <c r="Z285">
        <v>166.1</v>
      </c>
      <c r="AB285">
        <v>167</v>
      </c>
      <c r="AD285">
        <v>190.2</v>
      </c>
      <c r="AF285">
        <v>151.9</v>
      </c>
      <c r="AH285">
        <v>136.69999999999999</v>
      </c>
      <c r="AJ285">
        <v>149.6</v>
      </c>
      <c r="AL285">
        <v>158.4</v>
      </c>
      <c r="AN285">
        <v>137.9</v>
      </c>
      <c r="AP285">
        <v>145.5</v>
      </c>
      <c r="AR285">
        <v>152.9</v>
      </c>
      <c r="AT285">
        <v>135.5</v>
      </c>
      <c r="AV285">
        <v>144.30000000000001</v>
      </c>
      <c r="AX285">
        <v>156.9</v>
      </c>
      <c r="AZ285">
        <v>157.9</v>
      </c>
      <c r="BB285">
        <v>146.9</v>
      </c>
      <c r="BD285">
        <v>156.9</v>
      </c>
    </row>
    <row r="286" spans="1:56" hidden="1">
      <c r="A286" t="s">
        <v>34</v>
      </c>
      <c r="B286">
        <v>2020</v>
      </c>
      <c r="C286" t="s">
        <v>46</v>
      </c>
      <c r="D286">
        <v>146</v>
      </c>
      <c r="F286">
        <v>191</v>
      </c>
      <c r="H286">
        <v>175.3</v>
      </c>
      <c r="J286">
        <v>154.1</v>
      </c>
      <c r="L286">
        <v>146.6</v>
      </c>
      <c r="N286">
        <v>147.69999999999999</v>
      </c>
      <c r="P286">
        <v>230.5</v>
      </c>
      <c r="R286">
        <v>160.19999999999999</v>
      </c>
      <c r="T286">
        <v>115.3</v>
      </c>
      <c r="V286">
        <v>163</v>
      </c>
      <c r="X286">
        <v>149.19999999999999</v>
      </c>
      <c r="Z286">
        <v>164.8</v>
      </c>
      <c r="AB286">
        <v>165.4</v>
      </c>
      <c r="AD286">
        <v>185.4</v>
      </c>
      <c r="AF286">
        <v>155</v>
      </c>
      <c r="AH286">
        <v>145.4</v>
      </c>
      <c r="AJ286">
        <v>153.6</v>
      </c>
      <c r="AL286">
        <v>158.4</v>
      </c>
      <c r="AN286">
        <v>144.6</v>
      </c>
      <c r="AP286">
        <v>149.69999999999999</v>
      </c>
      <c r="AR286">
        <v>158.30000000000001</v>
      </c>
      <c r="AT286">
        <v>140.69999999999999</v>
      </c>
      <c r="AV286">
        <v>148.5</v>
      </c>
      <c r="AX286">
        <v>159.4</v>
      </c>
      <c r="AZ286">
        <v>157.1</v>
      </c>
      <c r="BB286">
        <v>151.19999999999999</v>
      </c>
      <c r="BD286">
        <v>158.9</v>
      </c>
    </row>
    <row r="287" spans="1:56" hidden="1">
      <c r="A287" t="s">
        <v>30</v>
      </c>
      <c r="B287">
        <v>2021</v>
      </c>
      <c r="C287" t="s">
        <v>31</v>
      </c>
      <c r="D287">
        <v>143.4</v>
      </c>
      <c r="F287">
        <v>187.5</v>
      </c>
      <c r="H287">
        <v>173.4</v>
      </c>
      <c r="J287">
        <v>154</v>
      </c>
      <c r="L287">
        <v>154.80000000000001</v>
      </c>
      <c r="N287">
        <v>147</v>
      </c>
      <c r="P287">
        <v>187.8</v>
      </c>
      <c r="R287">
        <v>159.5</v>
      </c>
      <c r="T287">
        <v>113.8</v>
      </c>
      <c r="V287">
        <v>164.5</v>
      </c>
      <c r="X287">
        <v>156.1</v>
      </c>
      <c r="Z287">
        <v>164.3</v>
      </c>
      <c r="AB287">
        <v>159.6</v>
      </c>
      <c r="AD287">
        <v>184.6</v>
      </c>
      <c r="AF287">
        <v>157.5</v>
      </c>
      <c r="AH287">
        <v>152.4</v>
      </c>
      <c r="AJ287">
        <v>156.80000000000001</v>
      </c>
      <c r="AL287" t="s">
        <v>32</v>
      </c>
      <c r="AN287">
        <v>150.9</v>
      </c>
      <c r="AP287">
        <v>153.9</v>
      </c>
      <c r="AR287">
        <v>162.5</v>
      </c>
      <c r="AT287">
        <v>147.5</v>
      </c>
      <c r="AV287">
        <v>155.1</v>
      </c>
      <c r="AX287">
        <v>163.5</v>
      </c>
      <c r="AZ287">
        <v>156.19999999999999</v>
      </c>
      <c r="BB287">
        <v>155.9</v>
      </c>
      <c r="BD287">
        <v>158.5</v>
      </c>
    </row>
    <row r="288" spans="1:56">
      <c r="A288" t="s">
        <v>33</v>
      </c>
      <c r="B288">
        <v>2021</v>
      </c>
      <c r="C288" t="s">
        <v>31</v>
      </c>
      <c r="D288">
        <v>148</v>
      </c>
      <c r="F288">
        <v>194.8</v>
      </c>
      <c r="H288">
        <v>178.4</v>
      </c>
      <c r="J288">
        <v>154.4</v>
      </c>
      <c r="L288">
        <v>144.1</v>
      </c>
      <c r="N288">
        <v>152.6</v>
      </c>
      <c r="P288">
        <v>206.8</v>
      </c>
      <c r="R288">
        <v>162.1</v>
      </c>
      <c r="T288">
        <v>116.3</v>
      </c>
      <c r="V288">
        <v>163</v>
      </c>
      <c r="X288">
        <v>145.9</v>
      </c>
      <c r="Z288">
        <v>167.2</v>
      </c>
      <c r="AB288">
        <v>163.4</v>
      </c>
      <c r="AD288">
        <v>191.8</v>
      </c>
      <c r="AF288">
        <v>152.5</v>
      </c>
      <c r="AH288">
        <v>137.30000000000001</v>
      </c>
      <c r="AJ288">
        <v>150.19999999999999</v>
      </c>
      <c r="AL288">
        <v>157.69999999999999</v>
      </c>
      <c r="AN288">
        <v>142.9</v>
      </c>
      <c r="AP288">
        <v>145.69999999999999</v>
      </c>
      <c r="AR288">
        <v>154.1</v>
      </c>
      <c r="AT288">
        <v>136.9</v>
      </c>
      <c r="AV288">
        <v>145.4</v>
      </c>
      <c r="AX288">
        <v>156.1</v>
      </c>
      <c r="AZ288">
        <v>157.69999999999999</v>
      </c>
      <c r="BB288">
        <v>147.6</v>
      </c>
      <c r="BD288">
        <v>156</v>
      </c>
    </row>
    <row r="289" spans="1:56" hidden="1">
      <c r="A289" t="s">
        <v>34</v>
      </c>
      <c r="B289">
        <v>2021</v>
      </c>
      <c r="C289" t="s">
        <v>31</v>
      </c>
      <c r="D289">
        <v>144.9</v>
      </c>
      <c r="F289">
        <v>190.1</v>
      </c>
      <c r="H289">
        <v>175.3</v>
      </c>
      <c r="J289">
        <v>154.1</v>
      </c>
      <c r="L289">
        <v>150.9</v>
      </c>
      <c r="N289">
        <v>149.6</v>
      </c>
      <c r="P289">
        <v>194.2</v>
      </c>
      <c r="R289">
        <v>160.4</v>
      </c>
      <c r="T289">
        <v>114.6</v>
      </c>
      <c r="V289">
        <v>164</v>
      </c>
      <c r="X289">
        <v>151.80000000000001</v>
      </c>
      <c r="Z289">
        <v>165.6</v>
      </c>
      <c r="AB289">
        <v>161</v>
      </c>
      <c r="AD289">
        <v>186.5</v>
      </c>
      <c r="AF289">
        <v>155.5</v>
      </c>
      <c r="AH289">
        <v>146.1</v>
      </c>
      <c r="AJ289">
        <v>154.19999999999999</v>
      </c>
      <c r="AL289">
        <v>157.69999999999999</v>
      </c>
      <c r="AN289">
        <v>147.9</v>
      </c>
      <c r="AP289">
        <v>150</v>
      </c>
      <c r="AR289">
        <v>159.30000000000001</v>
      </c>
      <c r="AT289">
        <v>141.9</v>
      </c>
      <c r="AV289">
        <v>149.6</v>
      </c>
      <c r="AX289">
        <v>159.19999999999999</v>
      </c>
      <c r="AZ289">
        <v>156.80000000000001</v>
      </c>
      <c r="BB289">
        <v>151.9</v>
      </c>
      <c r="BD289">
        <v>157.30000000000001</v>
      </c>
    </row>
    <row r="290" spans="1:56" hidden="1">
      <c r="A290" t="s">
        <v>30</v>
      </c>
      <c r="B290">
        <v>2021</v>
      </c>
      <c r="C290" t="s">
        <v>35</v>
      </c>
      <c r="D290">
        <v>142.80000000000001</v>
      </c>
      <c r="F290">
        <v>184</v>
      </c>
      <c r="H290">
        <v>168</v>
      </c>
      <c r="J290">
        <v>154.4</v>
      </c>
      <c r="L290">
        <v>163</v>
      </c>
      <c r="N290">
        <v>147.80000000000001</v>
      </c>
      <c r="P290">
        <v>149.69999999999999</v>
      </c>
      <c r="R290">
        <v>158.30000000000001</v>
      </c>
      <c r="T290">
        <v>111.8</v>
      </c>
      <c r="V290">
        <v>165</v>
      </c>
      <c r="X290">
        <v>160</v>
      </c>
      <c r="Z290">
        <v>165.8</v>
      </c>
      <c r="AB290">
        <v>154.69999999999999</v>
      </c>
      <c r="AD290">
        <v>186.5</v>
      </c>
      <c r="AF290">
        <v>159.1</v>
      </c>
      <c r="AH290">
        <v>153.9</v>
      </c>
      <c r="AJ290">
        <v>158.4</v>
      </c>
      <c r="AL290" t="s">
        <v>32</v>
      </c>
      <c r="AN290">
        <v>154.4</v>
      </c>
      <c r="AP290">
        <v>154.80000000000001</v>
      </c>
      <c r="AR290">
        <v>164.3</v>
      </c>
      <c r="AT290">
        <v>150.19999999999999</v>
      </c>
      <c r="AV290">
        <v>157</v>
      </c>
      <c r="AX290">
        <v>163.6</v>
      </c>
      <c r="AZ290">
        <v>155.19999999999999</v>
      </c>
      <c r="BB290">
        <v>157.19999999999999</v>
      </c>
      <c r="BD290">
        <v>156.69999999999999</v>
      </c>
    </row>
    <row r="291" spans="1:56">
      <c r="A291" t="s">
        <v>33</v>
      </c>
      <c r="B291">
        <v>2021</v>
      </c>
      <c r="C291" t="s">
        <v>35</v>
      </c>
      <c r="D291">
        <v>147.6</v>
      </c>
      <c r="F291">
        <v>191.2</v>
      </c>
      <c r="H291">
        <v>169.9</v>
      </c>
      <c r="J291">
        <v>155.1</v>
      </c>
      <c r="L291">
        <v>151.4</v>
      </c>
      <c r="N291">
        <v>154</v>
      </c>
      <c r="P291">
        <v>180.2</v>
      </c>
      <c r="R291">
        <v>159.80000000000001</v>
      </c>
      <c r="T291">
        <v>114.9</v>
      </c>
      <c r="V291">
        <v>162.5</v>
      </c>
      <c r="X291">
        <v>149.19999999999999</v>
      </c>
      <c r="Z291">
        <v>169.4</v>
      </c>
      <c r="AB291">
        <v>160.80000000000001</v>
      </c>
      <c r="AD291">
        <v>193.3</v>
      </c>
      <c r="AF291">
        <v>154.19999999999999</v>
      </c>
      <c r="AH291">
        <v>138.19999999999999</v>
      </c>
      <c r="AJ291">
        <v>151.80000000000001</v>
      </c>
      <c r="AL291">
        <v>159.80000000000001</v>
      </c>
      <c r="AN291">
        <v>149.1</v>
      </c>
      <c r="AP291">
        <v>146.5</v>
      </c>
      <c r="AR291">
        <v>156.30000000000001</v>
      </c>
      <c r="AT291">
        <v>140.5</v>
      </c>
      <c r="AV291">
        <v>147.30000000000001</v>
      </c>
      <c r="AX291">
        <v>156.6</v>
      </c>
      <c r="AZ291">
        <v>156.69999999999999</v>
      </c>
      <c r="BB291">
        <v>149.30000000000001</v>
      </c>
      <c r="BD291">
        <v>156.5</v>
      </c>
    </row>
    <row r="292" spans="1:56" hidden="1">
      <c r="A292" t="s">
        <v>34</v>
      </c>
      <c r="B292">
        <v>2021</v>
      </c>
      <c r="C292" t="s">
        <v>35</v>
      </c>
      <c r="D292">
        <v>144.30000000000001</v>
      </c>
      <c r="F292">
        <v>186.5</v>
      </c>
      <c r="H292">
        <v>168.7</v>
      </c>
      <c r="J292">
        <v>154.69999999999999</v>
      </c>
      <c r="L292">
        <v>158.69999999999999</v>
      </c>
      <c r="N292">
        <v>150.69999999999999</v>
      </c>
      <c r="P292">
        <v>160</v>
      </c>
      <c r="R292">
        <v>158.80000000000001</v>
      </c>
      <c r="T292">
        <v>112.8</v>
      </c>
      <c r="V292">
        <v>164.2</v>
      </c>
      <c r="X292">
        <v>155.5</v>
      </c>
      <c r="Z292">
        <v>167.5</v>
      </c>
      <c r="AB292">
        <v>156.9</v>
      </c>
      <c r="AD292">
        <v>188.3</v>
      </c>
      <c r="AF292">
        <v>157.19999999999999</v>
      </c>
      <c r="AH292">
        <v>147.4</v>
      </c>
      <c r="AJ292">
        <v>155.80000000000001</v>
      </c>
      <c r="AL292">
        <v>159.80000000000001</v>
      </c>
      <c r="AN292">
        <v>152.4</v>
      </c>
      <c r="AP292">
        <v>150.9</v>
      </c>
      <c r="AR292">
        <v>161.30000000000001</v>
      </c>
      <c r="AT292">
        <v>145.1</v>
      </c>
      <c r="AV292">
        <v>151.5</v>
      </c>
      <c r="AX292">
        <v>159.5</v>
      </c>
      <c r="AZ292">
        <v>155.80000000000001</v>
      </c>
      <c r="BB292">
        <v>153.4</v>
      </c>
      <c r="BD292">
        <v>156.6</v>
      </c>
    </row>
    <row r="293" spans="1:56" hidden="1">
      <c r="A293" t="s">
        <v>30</v>
      </c>
      <c r="B293">
        <v>2021</v>
      </c>
      <c r="C293" t="s">
        <v>36</v>
      </c>
      <c r="D293">
        <v>142.5</v>
      </c>
      <c r="F293">
        <v>189.4</v>
      </c>
      <c r="H293">
        <v>163.19999999999999</v>
      </c>
      <c r="J293">
        <v>154.5</v>
      </c>
      <c r="L293">
        <v>168.2</v>
      </c>
      <c r="N293">
        <v>150.5</v>
      </c>
      <c r="P293">
        <v>141</v>
      </c>
      <c r="R293">
        <v>159.19999999999999</v>
      </c>
      <c r="T293">
        <v>111.7</v>
      </c>
      <c r="V293">
        <v>164</v>
      </c>
      <c r="X293">
        <v>160.6</v>
      </c>
      <c r="Z293">
        <v>166.4</v>
      </c>
      <c r="AB293">
        <v>154.5</v>
      </c>
      <c r="AD293">
        <v>186.1</v>
      </c>
      <c r="AF293">
        <v>159.6</v>
      </c>
      <c r="AH293">
        <v>154.4</v>
      </c>
      <c r="AJ293">
        <v>158.9</v>
      </c>
      <c r="AL293" t="s">
        <v>48</v>
      </c>
      <c r="AN293">
        <v>156</v>
      </c>
      <c r="AP293">
        <v>154.80000000000001</v>
      </c>
      <c r="AR293">
        <v>164.6</v>
      </c>
      <c r="AT293">
        <v>151.30000000000001</v>
      </c>
      <c r="AV293">
        <v>157.80000000000001</v>
      </c>
      <c r="AX293">
        <v>163.80000000000001</v>
      </c>
      <c r="AZ293">
        <v>153.1</v>
      </c>
      <c r="BB293">
        <v>157.30000000000001</v>
      </c>
      <c r="BD293">
        <v>156.69999999999999</v>
      </c>
    </row>
    <row r="294" spans="1:56">
      <c r="A294" t="s">
        <v>33</v>
      </c>
      <c r="B294">
        <v>2021</v>
      </c>
      <c r="C294" t="s">
        <v>36</v>
      </c>
      <c r="D294">
        <v>147.5</v>
      </c>
      <c r="F294">
        <v>197.5</v>
      </c>
      <c r="H294">
        <v>164.7</v>
      </c>
      <c r="J294">
        <v>155.6</v>
      </c>
      <c r="L294">
        <v>156.4</v>
      </c>
      <c r="N294">
        <v>157.30000000000001</v>
      </c>
      <c r="P294">
        <v>166.1</v>
      </c>
      <c r="R294">
        <v>161.1</v>
      </c>
      <c r="T294">
        <v>114.3</v>
      </c>
      <c r="V294">
        <v>162.6</v>
      </c>
      <c r="X294">
        <v>150.69999999999999</v>
      </c>
      <c r="Z294">
        <v>170.3</v>
      </c>
      <c r="AB294">
        <v>160.4</v>
      </c>
      <c r="AD294">
        <v>193.5</v>
      </c>
      <c r="AF294">
        <v>155.1</v>
      </c>
      <c r="AH294">
        <v>138.69999999999999</v>
      </c>
      <c r="AJ294">
        <v>152.6</v>
      </c>
      <c r="AL294">
        <v>159.9</v>
      </c>
      <c r="AN294">
        <v>154.80000000000001</v>
      </c>
      <c r="AP294">
        <v>147.19999999999999</v>
      </c>
      <c r="AR294">
        <v>156.9</v>
      </c>
      <c r="AT294">
        <v>141.69999999999999</v>
      </c>
      <c r="AV294">
        <v>148.6</v>
      </c>
      <c r="AX294">
        <v>157.6</v>
      </c>
      <c r="AZ294">
        <v>154.9</v>
      </c>
      <c r="BB294">
        <v>150</v>
      </c>
      <c r="BD294">
        <v>156.9</v>
      </c>
    </row>
    <row r="295" spans="1:56" hidden="1">
      <c r="A295" t="s">
        <v>34</v>
      </c>
      <c r="B295">
        <v>2021</v>
      </c>
      <c r="C295" t="s">
        <v>36</v>
      </c>
      <c r="D295">
        <v>144.1</v>
      </c>
      <c r="F295">
        <v>192.2</v>
      </c>
      <c r="H295">
        <v>163.80000000000001</v>
      </c>
      <c r="J295">
        <v>154.9</v>
      </c>
      <c r="L295">
        <v>163.9</v>
      </c>
      <c r="N295">
        <v>153.69999999999999</v>
      </c>
      <c r="P295">
        <v>149.5</v>
      </c>
      <c r="R295">
        <v>159.80000000000001</v>
      </c>
      <c r="T295">
        <v>112.6</v>
      </c>
      <c r="V295">
        <v>163.5</v>
      </c>
      <c r="X295">
        <v>156.5</v>
      </c>
      <c r="Z295">
        <v>168.2</v>
      </c>
      <c r="AB295">
        <v>156.69999999999999</v>
      </c>
      <c r="AD295">
        <v>188.1</v>
      </c>
      <c r="AF295">
        <v>157.80000000000001</v>
      </c>
      <c r="AH295">
        <v>147.9</v>
      </c>
      <c r="AJ295">
        <v>156.4</v>
      </c>
      <c r="AL295">
        <v>159.9</v>
      </c>
      <c r="AN295">
        <v>155.5</v>
      </c>
      <c r="AP295">
        <v>151.19999999999999</v>
      </c>
      <c r="AR295">
        <v>161.69999999999999</v>
      </c>
      <c r="AT295">
        <v>146.19999999999999</v>
      </c>
      <c r="AV295">
        <v>152.6</v>
      </c>
      <c r="AX295">
        <v>160.19999999999999</v>
      </c>
      <c r="AZ295">
        <v>153.80000000000001</v>
      </c>
      <c r="BB295">
        <v>153.80000000000001</v>
      </c>
      <c r="BD295">
        <v>156.80000000000001</v>
      </c>
    </row>
    <row r="296" spans="1:56" hidden="1">
      <c r="A296" t="s">
        <v>30</v>
      </c>
      <c r="B296">
        <v>2021</v>
      </c>
      <c r="C296" t="s">
        <v>37</v>
      </c>
      <c r="D296">
        <v>142.69999999999999</v>
      </c>
      <c r="F296">
        <v>195.5</v>
      </c>
      <c r="H296">
        <v>163.4</v>
      </c>
      <c r="J296">
        <v>155</v>
      </c>
      <c r="L296">
        <v>175.2</v>
      </c>
      <c r="N296">
        <v>160.6</v>
      </c>
      <c r="P296">
        <v>135.1</v>
      </c>
      <c r="R296">
        <v>161.1</v>
      </c>
      <c r="T296">
        <v>112.2</v>
      </c>
      <c r="V296">
        <v>164.4</v>
      </c>
      <c r="X296">
        <v>161.9</v>
      </c>
      <c r="Z296">
        <v>166.8</v>
      </c>
      <c r="AB296">
        <v>155.6</v>
      </c>
      <c r="AD296">
        <v>186.8</v>
      </c>
      <c r="AF296">
        <v>160.69999999999999</v>
      </c>
      <c r="AH296">
        <v>155.1</v>
      </c>
      <c r="AJ296">
        <v>159.9</v>
      </c>
      <c r="AL296" t="s">
        <v>48</v>
      </c>
      <c r="AN296">
        <v>156</v>
      </c>
      <c r="AP296">
        <v>155.5</v>
      </c>
      <c r="AR296">
        <v>165.3</v>
      </c>
      <c r="AT296">
        <v>151.69999999999999</v>
      </c>
      <c r="AV296">
        <v>158.6</v>
      </c>
      <c r="AX296">
        <v>164.1</v>
      </c>
      <c r="AZ296">
        <v>154.6</v>
      </c>
      <c r="BB296">
        <v>158</v>
      </c>
      <c r="BD296">
        <v>157.6</v>
      </c>
    </row>
    <row r="297" spans="1:56">
      <c r="A297" t="s">
        <v>33</v>
      </c>
      <c r="B297">
        <v>2021</v>
      </c>
      <c r="C297" t="s">
        <v>37</v>
      </c>
      <c r="D297">
        <v>147.6</v>
      </c>
      <c r="F297">
        <v>202.5</v>
      </c>
      <c r="H297">
        <v>166.4</v>
      </c>
      <c r="J297">
        <v>156</v>
      </c>
      <c r="L297">
        <v>161.4</v>
      </c>
      <c r="N297">
        <v>168.8</v>
      </c>
      <c r="P297">
        <v>161.6</v>
      </c>
      <c r="R297">
        <v>162.80000000000001</v>
      </c>
      <c r="T297">
        <v>114.8</v>
      </c>
      <c r="V297">
        <v>162.80000000000001</v>
      </c>
      <c r="X297">
        <v>151.5</v>
      </c>
      <c r="Z297">
        <v>171.4</v>
      </c>
      <c r="AB297">
        <v>162</v>
      </c>
      <c r="AD297">
        <v>194.4</v>
      </c>
      <c r="AF297">
        <v>155.9</v>
      </c>
      <c r="AH297">
        <v>139.30000000000001</v>
      </c>
      <c r="AJ297">
        <v>153.4</v>
      </c>
      <c r="AL297">
        <v>161.4</v>
      </c>
      <c r="AN297">
        <v>154.9</v>
      </c>
      <c r="AP297">
        <v>147.6</v>
      </c>
      <c r="AR297">
        <v>157.5</v>
      </c>
      <c r="AT297">
        <v>142.1</v>
      </c>
      <c r="AV297">
        <v>149.1</v>
      </c>
      <c r="AX297">
        <v>157.6</v>
      </c>
      <c r="AZ297">
        <v>156.6</v>
      </c>
      <c r="BB297">
        <v>150.5</v>
      </c>
      <c r="BD297">
        <v>158</v>
      </c>
    </row>
    <row r="298" spans="1:56" hidden="1">
      <c r="A298" t="s">
        <v>34</v>
      </c>
      <c r="B298">
        <v>2021</v>
      </c>
      <c r="C298" t="s">
        <v>37</v>
      </c>
      <c r="D298">
        <v>144.30000000000001</v>
      </c>
      <c r="F298">
        <v>198</v>
      </c>
      <c r="H298">
        <v>164.6</v>
      </c>
      <c r="J298">
        <v>155.4</v>
      </c>
      <c r="L298">
        <v>170.1</v>
      </c>
      <c r="N298">
        <v>164.4</v>
      </c>
      <c r="P298">
        <v>144.1</v>
      </c>
      <c r="R298">
        <v>161.69999999999999</v>
      </c>
      <c r="T298">
        <v>113.1</v>
      </c>
      <c r="V298">
        <v>163.9</v>
      </c>
      <c r="X298">
        <v>157.6</v>
      </c>
      <c r="Z298">
        <v>168.9</v>
      </c>
      <c r="AB298">
        <v>158</v>
      </c>
      <c r="AD298">
        <v>188.8</v>
      </c>
      <c r="AF298">
        <v>158.80000000000001</v>
      </c>
      <c r="AH298">
        <v>148.5</v>
      </c>
      <c r="AJ298">
        <v>157.30000000000001</v>
      </c>
      <c r="AL298">
        <v>161.4</v>
      </c>
      <c r="AN298">
        <v>155.6</v>
      </c>
      <c r="AP298">
        <v>151.80000000000001</v>
      </c>
      <c r="AR298">
        <v>162.30000000000001</v>
      </c>
      <c r="AT298">
        <v>146.6</v>
      </c>
      <c r="AV298">
        <v>153.19999999999999</v>
      </c>
      <c r="AX298">
        <v>160.30000000000001</v>
      </c>
      <c r="AZ298">
        <v>155.4</v>
      </c>
      <c r="BB298">
        <v>154.4</v>
      </c>
      <c r="BD298">
        <v>157.80000000000001</v>
      </c>
    </row>
    <row r="299" spans="1:56" hidden="1">
      <c r="A299" t="s">
        <v>30</v>
      </c>
      <c r="B299">
        <v>2021</v>
      </c>
      <c r="C299" t="s">
        <v>38</v>
      </c>
      <c r="D299">
        <v>145.1</v>
      </c>
      <c r="F299">
        <v>198.5</v>
      </c>
      <c r="H299">
        <v>168.6</v>
      </c>
      <c r="J299">
        <v>155.80000000000001</v>
      </c>
      <c r="L299">
        <v>184.4</v>
      </c>
      <c r="N299">
        <v>162.30000000000001</v>
      </c>
      <c r="P299">
        <v>138.4</v>
      </c>
      <c r="R299">
        <v>165.1</v>
      </c>
      <c r="T299">
        <v>114.3</v>
      </c>
      <c r="V299">
        <v>169.7</v>
      </c>
      <c r="X299">
        <v>164.6</v>
      </c>
      <c r="Z299">
        <v>169.8</v>
      </c>
      <c r="AB299">
        <v>158.69999999999999</v>
      </c>
      <c r="AD299">
        <v>189.6</v>
      </c>
      <c r="AF299">
        <v>165.3</v>
      </c>
      <c r="AH299">
        <v>160.6</v>
      </c>
      <c r="AJ299">
        <v>164.5</v>
      </c>
      <c r="AL299" t="s">
        <v>32</v>
      </c>
      <c r="AN299">
        <v>161.69999999999999</v>
      </c>
      <c r="AP299">
        <v>158.80000000000001</v>
      </c>
      <c r="AR299">
        <v>169.1</v>
      </c>
      <c r="AT299">
        <v>153.19999999999999</v>
      </c>
      <c r="AV299">
        <v>160</v>
      </c>
      <c r="AX299">
        <v>167.6</v>
      </c>
      <c r="AZ299">
        <v>159.30000000000001</v>
      </c>
      <c r="BB299">
        <v>161.1</v>
      </c>
      <c r="BD299">
        <v>161.1</v>
      </c>
    </row>
    <row r="300" spans="1:56">
      <c r="A300" t="s">
        <v>33</v>
      </c>
      <c r="B300">
        <v>2021</v>
      </c>
      <c r="C300" t="s">
        <v>38</v>
      </c>
      <c r="D300">
        <v>148.80000000000001</v>
      </c>
      <c r="F300">
        <v>204.3</v>
      </c>
      <c r="H300">
        <v>173</v>
      </c>
      <c r="J300">
        <v>156.5</v>
      </c>
      <c r="L300">
        <v>168.8</v>
      </c>
      <c r="N300">
        <v>172.5</v>
      </c>
      <c r="P300">
        <v>166.5</v>
      </c>
      <c r="R300">
        <v>165.9</v>
      </c>
      <c r="T300">
        <v>115.9</v>
      </c>
      <c r="V300">
        <v>165.2</v>
      </c>
      <c r="X300">
        <v>152</v>
      </c>
      <c r="Z300">
        <v>171.1</v>
      </c>
      <c r="AB300">
        <v>164.2</v>
      </c>
      <c r="AD300">
        <v>198.2</v>
      </c>
      <c r="AF300">
        <v>156.5</v>
      </c>
      <c r="AH300">
        <v>140.19999999999999</v>
      </c>
      <c r="AJ300">
        <v>154.1</v>
      </c>
      <c r="AL300">
        <v>161.6</v>
      </c>
      <c r="AN300">
        <v>155.5</v>
      </c>
      <c r="AP300">
        <v>150.1</v>
      </c>
      <c r="AR300">
        <v>160.4</v>
      </c>
      <c r="AT300">
        <v>145</v>
      </c>
      <c r="AV300">
        <v>152.6</v>
      </c>
      <c r="AX300">
        <v>156.6</v>
      </c>
      <c r="AZ300">
        <v>157.5</v>
      </c>
      <c r="BB300">
        <v>152.30000000000001</v>
      </c>
      <c r="BD300">
        <v>159.5</v>
      </c>
    </row>
    <row r="301" spans="1:56" hidden="1">
      <c r="A301" t="s">
        <v>34</v>
      </c>
      <c r="B301">
        <v>2021</v>
      </c>
      <c r="C301" t="s">
        <v>38</v>
      </c>
      <c r="D301">
        <v>146.30000000000001</v>
      </c>
      <c r="F301">
        <v>200.5</v>
      </c>
      <c r="H301">
        <v>170.3</v>
      </c>
      <c r="J301">
        <v>156.1</v>
      </c>
      <c r="L301">
        <v>178.7</v>
      </c>
      <c r="N301">
        <v>167.1</v>
      </c>
      <c r="P301">
        <v>147.9</v>
      </c>
      <c r="R301">
        <v>165.4</v>
      </c>
      <c r="T301">
        <v>114.8</v>
      </c>
      <c r="V301">
        <v>168.2</v>
      </c>
      <c r="X301">
        <v>159.30000000000001</v>
      </c>
      <c r="Z301">
        <v>170.4</v>
      </c>
      <c r="AB301">
        <v>160.69999999999999</v>
      </c>
      <c r="AD301">
        <v>191.9</v>
      </c>
      <c r="AF301">
        <v>161.80000000000001</v>
      </c>
      <c r="AH301">
        <v>152.1</v>
      </c>
      <c r="AJ301">
        <v>160.4</v>
      </c>
      <c r="AL301">
        <v>161.6</v>
      </c>
      <c r="AN301">
        <v>159.4</v>
      </c>
      <c r="AP301">
        <v>154.69999999999999</v>
      </c>
      <c r="AR301">
        <v>165.8</v>
      </c>
      <c r="AT301">
        <v>148.9</v>
      </c>
      <c r="AV301">
        <v>155.80000000000001</v>
      </c>
      <c r="AX301">
        <v>161.19999999999999</v>
      </c>
      <c r="AZ301">
        <v>158.6</v>
      </c>
      <c r="BB301">
        <v>156.80000000000001</v>
      </c>
      <c r="BD301">
        <v>160.4</v>
      </c>
    </row>
    <row r="302" spans="1:56" hidden="1">
      <c r="A302" t="s">
        <v>30</v>
      </c>
      <c r="B302">
        <v>2021</v>
      </c>
      <c r="C302" t="s">
        <v>39</v>
      </c>
      <c r="D302">
        <v>145.6</v>
      </c>
      <c r="F302">
        <v>200.1</v>
      </c>
      <c r="H302">
        <v>179.3</v>
      </c>
      <c r="J302">
        <v>156.1</v>
      </c>
      <c r="L302">
        <v>190.4</v>
      </c>
      <c r="N302">
        <v>158.6</v>
      </c>
      <c r="P302">
        <v>144.69999999999999</v>
      </c>
      <c r="R302">
        <v>165.5</v>
      </c>
      <c r="T302">
        <v>114.6</v>
      </c>
      <c r="V302">
        <v>170</v>
      </c>
      <c r="X302">
        <v>165.5</v>
      </c>
      <c r="Z302">
        <v>171.7</v>
      </c>
      <c r="AB302">
        <v>160.5</v>
      </c>
      <c r="AD302">
        <v>189.1</v>
      </c>
      <c r="AF302">
        <v>165.3</v>
      </c>
      <c r="AH302">
        <v>159.9</v>
      </c>
      <c r="AJ302">
        <v>164.6</v>
      </c>
      <c r="AL302" t="s">
        <v>32</v>
      </c>
      <c r="AN302">
        <v>162.1</v>
      </c>
      <c r="AP302">
        <v>159.19999999999999</v>
      </c>
      <c r="AR302">
        <v>169.7</v>
      </c>
      <c r="AT302">
        <v>154.19999999999999</v>
      </c>
      <c r="AV302">
        <v>160.4</v>
      </c>
      <c r="AX302">
        <v>166.8</v>
      </c>
      <c r="AZ302">
        <v>159.4</v>
      </c>
      <c r="BB302">
        <v>161.5</v>
      </c>
      <c r="BD302">
        <v>162.1</v>
      </c>
    </row>
    <row r="303" spans="1:56">
      <c r="A303" t="s">
        <v>33</v>
      </c>
      <c r="B303">
        <v>2021</v>
      </c>
      <c r="C303" t="s">
        <v>39</v>
      </c>
      <c r="D303">
        <v>149.19999999999999</v>
      </c>
      <c r="F303">
        <v>205.5</v>
      </c>
      <c r="H303">
        <v>182.8</v>
      </c>
      <c r="J303">
        <v>156.5</v>
      </c>
      <c r="L303">
        <v>172.2</v>
      </c>
      <c r="N303">
        <v>171.5</v>
      </c>
      <c r="P303">
        <v>176.2</v>
      </c>
      <c r="R303">
        <v>166.9</v>
      </c>
      <c r="T303">
        <v>116.1</v>
      </c>
      <c r="V303">
        <v>165.5</v>
      </c>
      <c r="X303">
        <v>152.30000000000001</v>
      </c>
      <c r="Z303">
        <v>173.3</v>
      </c>
      <c r="AB303">
        <v>166.2</v>
      </c>
      <c r="AD303">
        <v>195.6</v>
      </c>
      <c r="AF303">
        <v>157.30000000000001</v>
      </c>
      <c r="AH303">
        <v>140.5</v>
      </c>
      <c r="AJ303">
        <v>154.80000000000001</v>
      </c>
      <c r="AL303">
        <v>160.5</v>
      </c>
      <c r="AN303">
        <v>156.1</v>
      </c>
      <c r="AP303">
        <v>149.80000000000001</v>
      </c>
      <c r="AR303">
        <v>160.80000000000001</v>
      </c>
      <c r="AT303">
        <v>147.5</v>
      </c>
      <c r="AV303">
        <v>150.69999999999999</v>
      </c>
      <c r="AX303">
        <v>158.1</v>
      </c>
      <c r="AZ303">
        <v>158</v>
      </c>
      <c r="BB303">
        <v>153.4</v>
      </c>
      <c r="BD303">
        <v>160.4</v>
      </c>
    </row>
    <row r="304" spans="1:56" hidden="1">
      <c r="A304" t="s">
        <v>34</v>
      </c>
      <c r="B304">
        <v>2021</v>
      </c>
      <c r="C304" t="s">
        <v>39</v>
      </c>
      <c r="D304">
        <v>146.69999999999999</v>
      </c>
      <c r="F304">
        <v>202</v>
      </c>
      <c r="H304">
        <v>180.7</v>
      </c>
      <c r="J304">
        <v>156.19999999999999</v>
      </c>
      <c r="L304">
        <v>183.7</v>
      </c>
      <c r="N304">
        <v>164.6</v>
      </c>
      <c r="P304">
        <v>155.4</v>
      </c>
      <c r="R304">
        <v>166</v>
      </c>
      <c r="T304">
        <v>115.1</v>
      </c>
      <c r="V304">
        <v>168.5</v>
      </c>
      <c r="X304">
        <v>160</v>
      </c>
      <c r="Z304">
        <v>172.4</v>
      </c>
      <c r="AB304">
        <v>162.6</v>
      </c>
      <c r="AD304">
        <v>190.8</v>
      </c>
      <c r="AF304">
        <v>162.19999999999999</v>
      </c>
      <c r="AH304">
        <v>151.80000000000001</v>
      </c>
      <c r="AJ304">
        <v>160.69999999999999</v>
      </c>
      <c r="AL304">
        <v>160.5</v>
      </c>
      <c r="AN304">
        <v>159.80000000000001</v>
      </c>
      <c r="AP304">
        <v>154.80000000000001</v>
      </c>
      <c r="AR304">
        <v>166.3</v>
      </c>
      <c r="AT304">
        <v>150.69999999999999</v>
      </c>
      <c r="AV304">
        <v>154.9</v>
      </c>
      <c r="AX304">
        <v>161.69999999999999</v>
      </c>
      <c r="AZ304">
        <v>158.80000000000001</v>
      </c>
      <c r="BB304">
        <v>157.6</v>
      </c>
      <c r="BD304">
        <v>161.30000000000001</v>
      </c>
    </row>
    <row r="305" spans="1:56" hidden="1">
      <c r="A305" t="s">
        <v>30</v>
      </c>
      <c r="B305">
        <v>2021</v>
      </c>
      <c r="C305" t="s">
        <v>40</v>
      </c>
      <c r="D305">
        <v>145.1</v>
      </c>
      <c r="F305">
        <v>204.5</v>
      </c>
      <c r="H305">
        <v>180.4</v>
      </c>
      <c r="J305">
        <v>157.1</v>
      </c>
      <c r="L305">
        <v>188.7</v>
      </c>
      <c r="N305">
        <v>157.69999999999999</v>
      </c>
      <c r="P305">
        <v>152.80000000000001</v>
      </c>
      <c r="R305">
        <v>163.6</v>
      </c>
      <c r="T305">
        <v>113.9</v>
      </c>
      <c r="V305">
        <v>169.7</v>
      </c>
      <c r="X305">
        <v>166.2</v>
      </c>
      <c r="Z305">
        <v>171</v>
      </c>
      <c r="AB305">
        <v>161.69999999999999</v>
      </c>
      <c r="AD305">
        <v>189.7</v>
      </c>
      <c r="AF305">
        <v>166</v>
      </c>
      <c r="AH305">
        <v>161.1</v>
      </c>
      <c r="AJ305">
        <v>165.3</v>
      </c>
      <c r="AL305" t="s">
        <v>32</v>
      </c>
      <c r="AN305">
        <v>162.5</v>
      </c>
      <c r="AP305">
        <v>160.30000000000001</v>
      </c>
      <c r="AR305">
        <v>170.4</v>
      </c>
      <c r="AT305">
        <v>157.1</v>
      </c>
      <c r="AV305">
        <v>160.69999999999999</v>
      </c>
      <c r="AX305">
        <v>167.2</v>
      </c>
      <c r="AZ305">
        <v>160.4</v>
      </c>
      <c r="BB305">
        <v>162.80000000000001</v>
      </c>
      <c r="BD305">
        <v>163.19999999999999</v>
      </c>
    </row>
    <row r="306" spans="1:56">
      <c r="A306" t="s">
        <v>33</v>
      </c>
      <c r="B306">
        <v>2021</v>
      </c>
      <c r="C306" t="s">
        <v>40</v>
      </c>
      <c r="D306">
        <v>149.1</v>
      </c>
      <c r="F306">
        <v>210.9</v>
      </c>
      <c r="H306">
        <v>185</v>
      </c>
      <c r="J306">
        <v>158.19999999999999</v>
      </c>
      <c r="L306">
        <v>170.6</v>
      </c>
      <c r="N306">
        <v>170.9</v>
      </c>
      <c r="P306">
        <v>186.4</v>
      </c>
      <c r="R306">
        <v>164.7</v>
      </c>
      <c r="T306">
        <v>115.7</v>
      </c>
      <c r="V306">
        <v>165.5</v>
      </c>
      <c r="X306">
        <v>153.4</v>
      </c>
      <c r="Z306">
        <v>173.5</v>
      </c>
      <c r="AB306">
        <v>167.9</v>
      </c>
      <c r="AD306">
        <v>195.5</v>
      </c>
      <c r="AF306">
        <v>157.9</v>
      </c>
      <c r="AH306">
        <v>141.9</v>
      </c>
      <c r="AJ306">
        <v>155.5</v>
      </c>
      <c r="AL306">
        <v>161.5</v>
      </c>
      <c r="AN306">
        <v>157.69999999999999</v>
      </c>
      <c r="AP306">
        <v>150.69999999999999</v>
      </c>
      <c r="AR306">
        <v>161.5</v>
      </c>
      <c r="AT306">
        <v>149.5</v>
      </c>
      <c r="AV306">
        <v>151.19999999999999</v>
      </c>
      <c r="AX306">
        <v>160.30000000000001</v>
      </c>
      <c r="AZ306">
        <v>159.6</v>
      </c>
      <c r="BB306">
        <v>155</v>
      </c>
      <c r="BD306">
        <v>161.80000000000001</v>
      </c>
    </row>
    <row r="307" spans="1:56" hidden="1">
      <c r="A307" t="s">
        <v>34</v>
      </c>
      <c r="B307">
        <v>2021</v>
      </c>
      <c r="C307" t="s">
        <v>40</v>
      </c>
      <c r="D307">
        <v>146.4</v>
      </c>
      <c r="F307">
        <v>206.8</v>
      </c>
      <c r="H307">
        <v>182.2</v>
      </c>
      <c r="J307">
        <v>157.5</v>
      </c>
      <c r="L307">
        <v>182.1</v>
      </c>
      <c r="N307">
        <v>163.9</v>
      </c>
      <c r="P307">
        <v>164.2</v>
      </c>
      <c r="R307">
        <v>164</v>
      </c>
      <c r="T307">
        <v>114.5</v>
      </c>
      <c r="V307">
        <v>168.3</v>
      </c>
      <c r="X307">
        <v>160.9</v>
      </c>
      <c r="Z307">
        <v>172.2</v>
      </c>
      <c r="AB307">
        <v>164</v>
      </c>
      <c r="AD307">
        <v>191.2</v>
      </c>
      <c r="AF307">
        <v>162.80000000000001</v>
      </c>
      <c r="AH307">
        <v>153.1</v>
      </c>
      <c r="AJ307">
        <v>161.4</v>
      </c>
      <c r="AL307">
        <v>161.5</v>
      </c>
      <c r="AN307">
        <v>160.69999999999999</v>
      </c>
      <c r="AP307">
        <v>155.80000000000001</v>
      </c>
      <c r="AR307">
        <v>167</v>
      </c>
      <c r="AT307">
        <v>153.1</v>
      </c>
      <c r="AV307">
        <v>155.30000000000001</v>
      </c>
      <c r="AX307">
        <v>163.19999999999999</v>
      </c>
      <c r="AZ307">
        <v>160.1</v>
      </c>
      <c r="BB307">
        <v>159</v>
      </c>
      <c r="BD307">
        <v>162.5</v>
      </c>
    </row>
    <row r="308" spans="1:56" hidden="1">
      <c r="A308" t="s">
        <v>30</v>
      </c>
      <c r="B308">
        <v>2021</v>
      </c>
      <c r="C308" t="s">
        <v>41</v>
      </c>
      <c r="D308">
        <v>144.9</v>
      </c>
      <c r="F308">
        <v>202.3</v>
      </c>
      <c r="H308">
        <v>176.5</v>
      </c>
      <c r="J308">
        <v>157.5</v>
      </c>
      <c r="L308">
        <v>190.9</v>
      </c>
      <c r="N308">
        <v>155.69999999999999</v>
      </c>
      <c r="P308">
        <v>153.9</v>
      </c>
      <c r="R308">
        <v>162.80000000000001</v>
      </c>
      <c r="T308">
        <v>115.2</v>
      </c>
      <c r="V308">
        <v>169.8</v>
      </c>
      <c r="X308">
        <v>167.6</v>
      </c>
      <c r="Z308">
        <v>171.9</v>
      </c>
      <c r="AB308">
        <v>161.80000000000001</v>
      </c>
      <c r="AD308">
        <v>190.2</v>
      </c>
      <c r="AF308">
        <v>167</v>
      </c>
      <c r="AH308">
        <v>162.6</v>
      </c>
      <c r="AJ308">
        <v>166.3</v>
      </c>
      <c r="AL308" t="s">
        <v>32</v>
      </c>
      <c r="AN308">
        <v>163.1</v>
      </c>
      <c r="AP308">
        <v>160.9</v>
      </c>
      <c r="AR308">
        <v>171.1</v>
      </c>
      <c r="AT308">
        <v>157.69999999999999</v>
      </c>
      <c r="AV308">
        <v>161.1</v>
      </c>
      <c r="AX308">
        <v>167.5</v>
      </c>
      <c r="AZ308">
        <v>160.30000000000001</v>
      </c>
      <c r="BB308">
        <v>163.30000000000001</v>
      </c>
      <c r="BD308">
        <v>163.6</v>
      </c>
    </row>
    <row r="309" spans="1:56">
      <c r="A309" t="s">
        <v>33</v>
      </c>
      <c r="B309">
        <v>2021</v>
      </c>
      <c r="C309" t="s">
        <v>41</v>
      </c>
      <c r="D309">
        <v>149.30000000000001</v>
      </c>
      <c r="F309">
        <v>207.4</v>
      </c>
      <c r="H309">
        <v>174.1</v>
      </c>
      <c r="J309">
        <v>159.19999999999999</v>
      </c>
      <c r="L309">
        <v>175</v>
      </c>
      <c r="N309">
        <v>161.30000000000001</v>
      </c>
      <c r="P309">
        <v>183.3</v>
      </c>
      <c r="R309">
        <v>164.5</v>
      </c>
      <c r="T309">
        <v>120.4</v>
      </c>
      <c r="V309">
        <v>166.2</v>
      </c>
      <c r="X309">
        <v>154.80000000000001</v>
      </c>
      <c r="Z309">
        <v>175.1</v>
      </c>
      <c r="AB309">
        <v>167.3</v>
      </c>
      <c r="AD309">
        <v>196.5</v>
      </c>
      <c r="AF309">
        <v>159.80000000000001</v>
      </c>
      <c r="AH309">
        <v>143.6</v>
      </c>
      <c r="AJ309">
        <v>157.30000000000001</v>
      </c>
      <c r="AL309">
        <v>162.1</v>
      </c>
      <c r="AN309">
        <v>160.69999999999999</v>
      </c>
      <c r="AP309">
        <v>153.19999999999999</v>
      </c>
      <c r="AR309">
        <v>162.80000000000001</v>
      </c>
      <c r="AT309">
        <v>150.4</v>
      </c>
      <c r="AV309">
        <v>153.69999999999999</v>
      </c>
      <c r="AX309">
        <v>160.4</v>
      </c>
      <c r="AZ309">
        <v>159.6</v>
      </c>
      <c r="BB309">
        <v>156</v>
      </c>
      <c r="BD309">
        <v>162.30000000000001</v>
      </c>
    </row>
    <row r="310" spans="1:56" hidden="1">
      <c r="A310" t="s">
        <v>34</v>
      </c>
      <c r="B310">
        <v>2021</v>
      </c>
      <c r="C310" t="s">
        <v>41</v>
      </c>
      <c r="D310">
        <v>146.6</v>
      </c>
      <c r="F310">
        <v>204</v>
      </c>
      <c r="H310">
        <v>172.8</v>
      </c>
      <c r="J310">
        <v>158.4</v>
      </c>
      <c r="L310">
        <v>188</v>
      </c>
      <c r="N310">
        <v>156.80000000000001</v>
      </c>
      <c r="P310">
        <v>162.19999999999999</v>
      </c>
      <c r="R310">
        <v>164.1</v>
      </c>
      <c r="T310">
        <v>119.7</v>
      </c>
      <c r="V310">
        <v>168.8</v>
      </c>
      <c r="X310">
        <v>162.69999999999999</v>
      </c>
      <c r="Z310">
        <v>173.9</v>
      </c>
      <c r="AB310">
        <v>164</v>
      </c>
      <c r="AD310">
        <v>192.1</v>
      </c>
      <c r="AF310">
        <v>164.5</v>
      </c>
      <c r="AH310">
        <v>155.30000000000001</v>
      </c>
      <c r="AJ310">
        <v>163.19999999999999</v>
      </c>
      <c r="AL310">
        <v>162.1</v>
      </c>
      <c r="AN310">
        <v>162.6</v>
      </c>
      <c r="AP310">
        <v>157.5</v>
      </c>
      <c r="AR310">
        <v>168.4</v>
      </c>
      <c r="AT310">
        <v>154</v>
      </c>
      <c r="AV310">
        <v>157.6</v>
      </c>
      <c r="AX310">
        <v>163.80000000000001</v>
      </c>
      <c r="AZ310">
        <v>160</v>
      </c>
      <c r="BB310">
        <v>160</v>
      </c>
      <c r="BD310">
        <v>163.19999999999999</v>
      </c>
    </row>
    <row r="311" spans="1:56" hidden="1">
      <c r="A311" t="s">
        <v>30</v>
      </c>
      <c r="B311">
        <v>2021</v>
      </c>
      <c r="C311" t="s">
        <v>42</v>
      </c>
      <c r="D311">
        <v>145.4</v>
      </c>
      <c r="F311">
        <v>202.1</v>
      </c>
      <c r="H311">
        <v>172</v>
      </c>
      <c r="J311">
        <v>158</v>
      </c>
      <c r="L311">
        <v>195.5</v>
      </c>
      <c r="N311">
        <v>152.69999999999999</v>
      </c>
      <c r="P311">
        <v>151.4</v>
      </c>
      <c r="R311">
        <v>163.9</v>
      </c>
      <c r="T311">
        <v>119.3</v>
      </c>
      <c r="V311">
        <v>170.1</v>
      </c>
      <c r="X311">
        <v>168.3</v>
      </c>
      <c r="Z311">
        <v>172.8</v>
      </c>
      <c r="AB311">
        <v>162.1</v>
      </c>
      <c r="AD311">
        <v>190.5</v>
      </c>
      <c r="AF311">
        <v>167.7</v>
      </c>
      <c r="AH311">
        <v>163.6</v>
      </c>
      <c r="AJ311">
        <v>167.1</v>
      </c>
      <c r="AL311" t="s">
        <v>32</v>
      </c>
      <c r="AN311">
        <v>163.69999999999999</v>
      </c>
      <c r="AP311">
        <v>161.30000000000001</v>
      </c>
      <c r="AR311">
        <v>171.9</v>
      </c>
      <c r="AT311">
        <v>157.80000000000001</v>
      </c>
      <c r="AV311">
        <v>162.69999999999999</v>
      </c>
      <c r="AX311">
        <v>168.5</v>
      </c>
      <c r="AZ311">
        <v>160.19999999999999</v>
      </c>
      <c r="BB311">
        <v>163.80000000000001</v>
      </c>
      <c r="BD311">
        <v>164</v>
      </c>
    </row>
    <row r="312" spans="1:56">
      <c r="A312" t="s">
        <v>33</v>
      </c>
      <c r="B312">
        <v>2021</v>
      </c>
      <c r="C312" t="s">
        <v>42</v>
      </c>
      <c r="D312">
        <v>149.30000000000001</v>
      </c>
      <c r="F312">
        <v>207.4</v>
      </c>
      <c r="H312">
        <v>174.1</v>
      </c>
      <c r="J312">
        <v>159.1</v>
      </c>
      <c r="L312">
        <v>175</v>
      </c>
      <c r="N312">
        <v>161.19999999999999</v>
      </c>
      <c r="P312">
        <v>183.5</v>
      </c>
      <c r="R312">
        <v>164.5</v>
      </c>
      <c r="T312">
        <v>120.4</v>
      </c>
      <c r="V312">
        <v>166.2</v>
      </c>
      <c r="X312">
        <v>154.80000000000001</v>
      </c>
      <c r="Z312">
        <v>175.1</v>
      </c>
      <c r="AB312">
        <v>167.3</v>
      </c>
      <c r="AD312">
        <v>196.5</v>
      </c>
      <c r="AF312">
        <v>159.80000000000001</v>
      </c>
      <c r="AH312">
        <v>143.6</v>
      </c>
      <c r="AJ312">
        <v>157.4</v>
      </c>
      <c r="AL312">
        <v>162.1</v>
      </c>
      <c r="AN312">
        <v>160.80000000000001</v>
      </c>
      <c r="AP312">
        <v>153.30000000000001</v>
      </c>
      <c r="AR312">
        <v>162.80000000000001</v>
      </c>
      <c r="AT312">
        <v>150.5</v>
      </c>
      <c r="AV312">
        <v>153.9</v>
      </c>
      <c r="AX312">
        <v>160.30000000000001</v>
      </c>
      <c r="AZ312">
        <v>159.6</v>
      </c>
      <c r="BB312">
        <v>156</v>
      </c>
      <c r="BD312">
        <v>162.30000000000001</v>
      </c>
    </row>
    <row r="313" spans="1:56" hidden="1">
      <c r="A313" t="s">
        <v>34</v>
      </c>
      <c r="B313">
        <v>2021</v>
      </c>
      <c r="C313" t="s">
        <v>42</v>
      </c>
      <c r="D313">
        <v>146.6</v>
      </c>
      <c r="F313">
        <v>204</v>
      </c>
      <c r="H313">
        <v>172.8</v>
      </c>
      <c r="J313">
        <v>158.4</v>
      </c>
      <c r="L313">
        <v>188</v>
      </c>
      <c r="N313">
        <v>156.69999999999999</v>
      </c>
      <c r="P313">
        <v>162.30000000000001</v>
      </c>
      <c r="R313">
        <v>164.1</v>
      </c>
      <c r="T313">
        <v>119.7</v>
      </c>
      <c r="V313">
        <v>168.8</v>
      </c>
      <c r="X313">
        <v>162.69999999999999</v>
      </c>
      <c r="Z313">
        <v>173.9</v>
      </c>
      <c r="AB313">
        <v>164</v>
      </c>
      <c r="AD313">
        <v>192.1</v>
      </c>
      <c r="AF313">
        <v>164.6</v>
      </c>
      <c r="AH313">
        <v>155.30000000000001</v>
      </c>
      <c r="AJ313">
        <v>163.30000000000001</v>
      </c>
      <c r="AL313">
        <v>162.1</v>
      </c>
      <c r="AN313">
        <v>162.6</v>
      </c>
      <c r="AP313">
        <v>157.5</v>
      </c>
      <c r="AR313">
        <v>168.4</v>
      </c>
      <c r="AT313">
        <v>154</v>
      </c>
      <c r="AV313">
        <v>157.69999999999999</v>
      </c>
      <c r="AX313">
        <v>163.69999999999999</v>
      </c>
      <c r="AZ313">
        <v>160</v>
      </c>
      <c r="BB313">
        <v>160</v>
      </c>
      <c r="BD313">
        <v>163.19999999999999</v>
      </c>
    </row>
    <row r="314" spans="1:56" hidden="1">
      <c r="A314" t="s">
        <v>30</v>
      </c>
      <c r="B314">
        <v>2021</v>
      </c>
      <c r="C314" t="s">
        <v>43</v>
      </c>
      <c r="D314">
        <v>146.1</v>
      </c>
      <c r="F314">
        <v>202.5</v>
      </c>
      <c r="H314">
        <v>170.1</v>
      </c>
      <c r="J314">
        <v>158.4</v>
      </c>
      <c r="L314">
        <v>198.8</v>
      </c>
      <c r="N314">
        <v>152.6</v>
      </c>
      <c r="P314">
        <v>170.4</v>
      </c>
      <c r="R314">
        <v>165.2</v>
      </c>
      <c r="T314">
        <v>121.6</v>
      </c>
      <c r="V314">
        <v>170.6</v>
      </c>
      <c r="X314">
        <v>168.8</v>
      </c>
      <c r="Z314">
        <v>173.6</v>
      </c>
      <c r="AB314">
        <v>165.5</v>
      </c>
      <c r="AD314">
        <v>191.2</v>
      </c>
      <c r="AF314">
        <v>168.9</v>
      </c>
      <c r="AH314">
        <v>164.8</v>
      </c>
      <c r="AJ314">
        <v>168.3</v>
      </c>
      <c r="AL314" t="s">
        <v>32</v>
      </c>
      <c r="AN314">
        <v>165.5</v>
      </c>
      <c r="AP314">
        <v>162</v>
      </c>
      <c r="AR314">
        <v>172.5</v>
      </c>
      <c r="AT314">
        <v>159.5</v>
      </c>
      <c r="AV314">
        <v>163.19999999999999</v>
      </c>
      <c r="AX314">
        <v>169</v>
      </c>
      <c r="AZ314">
        <v>161.1</v>
      </c>
      <c r="BB314">
        <v>164.7</v>
      </c>
      <c r="BD314">
        <v>166.3</v>
      </c>
    </row>
    <row r="315" spans="1:56">
      <c r="A315" t="s">
        <v>33</v>
      </c>
      <c r="B315">
        <v>2021</v>
      </c>
      <c r="C315" t="s">
        <v>43</v>
      </c>
      <c r="D315">
        <v>150.1</v>
      </c>
      <c r="F315">
        <v>208.4</v>
      </c>
      <c r="H315">
        <v>173</v>
      </c>
      <c r="J315">
        <v>159.19999999999999</v>
      </c>
      <c r="L315">
        <v>176.6</v>
      </c>
      <c r="N315">
        <v>159.30000000000001</v>
      </c>
      <c r="P315">
        <v>214.4</v>
      </c>
      <c r="R315">
        <v>165.3</v>
      </c>
      <c r="T315">
        <v>122.5</v>
      </c>
      <c r="V315">
        <v>166.8</v>
      </c>
      <c r="X315">
        <v>155.4</v>
      </c>
      <c r="Z315">
        <v>175.9</v>
      </c>
      <c r="AB315">
        <v>171.5</v>
      </c>
      <c r="AD315">
        <v>197</v>
      </c>
      <c r="AF315">
        <v>160.80000000000001</v>
      </c>
      <c r="AH315">
        <v>144.4</v>
      </c>
      <c r="AJ315">
        <v>158.30000000000001</v>
      </c>
      <c r="AL315">
        <v>163.6</v>
      </c>
      <c r="AN315">
        <v>162.19999999999999</v>
      </c>
      <c r="AP315">
        <v>154.30000000000001</v>
      </c>
      <c r="AR315">
        <v>163.5</v>
      </c>
      <c r="AT315">
        <v>152.19999999999999</v>
      </c>
      <c r="AV315">
        <v>155.1</v>
      </c>
      <c r="AX315">
        <v>160.30000000000001</v>
      </c>
      <c r="AZ315">
        <v>160.30000000000001</v>
      </c>
      <c r="BB315">
        <v>157</v>
      </c>
      <c r="BD315">
        <v>164.6</v>
      </c>
    </row>
    <row r="316" spans="1:56" hidden="1">
      <c r="A316" t="s">
        <v>34</v>
      </c>
      <c r="B316">
        <v>2021</v>
      </c>
      <c r="C316" t="s">
        <v>43</v>
      </c>
      <c r="D316">
        <v>147.4</v>
      </c>
      <c r="F316">
        <v>204.6</v>
      </c>
      <c r="H316">
        <v>171.2</v>
      </c>
      <c r="J316">
        <v>158.69999999999999</v>
      </c>
      <c r="L316">
        <v>190.6</v>
      </c>
      <c r="N316">
        <v>155.69999999999999</v>
      </c>
      <c r="P316">
        <v>185.3</v>
      </c>
      <c r="R316">
        <v>165.2</v>
      </c>
      <c r="T316">
        <v>121.9</v>
      </c>
      <c r="V316">
        <v>169.3</v>
      </c>
      <c r="X316">
        <v>163.19999999999999</v>
      </c>
      <c r="Z316">
        <v>174.7</v>
      </c>
      <c r="AB316">
        <v>167.7</v>
      </c>
      <c r="AD316">
        <v>192.7</v>
      </c>
      <c r="AF316">
        <v>165.7</v>
      </c>
      <c r="AH316">
        <v>156.30000000000001</v>
      </c>
      <c r="AJ316">
        <v>164.3</v>
      </c>
      <c r="AL316">
        <v>163.6</v>
      </c>
      <c r="AN316">
        <v>164.2</v>
      </c>
      <c r="AP316">
        <v>158.4</v>
      </c>
      <c r="AR316">
        <v>169.1</v>
      </c>
      <c r="AT316">
        <v>155.69999999999999</v>
      </c>
      <c r="AV316">
        <v>158.6</v>
      </c>
      <c r="AX316">
        <v>163.9</v>
      </c>
      <c r="AZ316">
        <v>160.80000000000001</v>
      </c>
      <c r="BB316">
        <v>161</v>
      </c>
      <c r="BD316">
        <v>165.5</v>
      </c>
    </row>
    <row r="317" spans="1:56" hidden="1">
      <c r="A317" t="s">
        <v>30</v>
      </c>
      <c r="B317">
        <v>2021</v>
      </c>
      <c r="C317" t="s">
        <v>45</v>
      </c>
      <c r="D317">
        <v>146.9</v>
      </c>
      <c r="F317">
        <v>199.8</v>
      </c>
      <c r="H317">
        <v>171.5</v>
      </c>
      <c r="J317">
        <v>159.1</v>
      </c>
      <c r="L317">
        <v>198.4</v>
      </c>
      <c r="N317">
        <v>153.19999999999999</v>
      </c>
      <c r="P317">
        <v>183.9</v>
      </c>
      <c r="R317">
        <v>165.4</v>
      </c>
      <c r="T317">
        <v>122.1</v>
      </c>
      <c r="V317">
        <v>170.8</v>
      </c>
      <c r="X317">
        <v>169.1</v>
      </c>
      <c r="Z317">
        <v>174.3</v>
      </c>
      <c r="AB317">
        <v>167.5</v>
      </c>
      <c r="AD317">
        <v>191.4</v>
      </c>
      <c r="AF317">
        <v>170.4</v>
      </c>
      <c r="AH317">
        <v>166</v>
      </c>
      <c r="AJ317">
        <v>169.8</v>
      </c>
      <c r="AL317" t="s">
        <v>32</v>
      </c>
      <c r="AN317">
        <v>165.3</v>
      </c>
      <c r="AP317">
        <v>162.9</v>
      </c>
      <c r="AR317">
        <v>173.4</v>
      </c>
      <c r="AT317">
        <v>158.9</v>
      </c>
      <c r="AV317">
        <v>163.80000000000001</v>
      </c>
      <c r="AX317">
        <v>169.3</v>
      </c>
      <c r="AZ317">
        <v>162.4</v>
      </c>
      <c r="BB317">
        <v>165.2</v>
      </c>
      <c r="BD317">
        <v>167.6</v>
      </c>
    </row>
    <row r="318" spans="1:56">
      <c r="A318" t="s">
        <v>33</v>
      </c>
      <c r="B318">
        <v>2021</v>
      </c>
      <c r="C318" t="s">
        <v>45</v>
      </c>
      <c r="D318">
        <v>151</v>
      </c>
      <c r="F318">
        <v>204.9</v>
      </c>
      <c r="H318">
        <v>175.4</v>
      </c>
      <c r="J318">
        <v>159.6</v>
      </c>
      <c r="L318">
        <v>175.8</v>
      </c>
      <c r="N318">
        <v>160.30000000000001</v>
      </c>
      <c r="P318">
        <v>229.1</v>
      </c>
      <c r="R318">
        <v>165.1</v>
      </c>
      <c r="T318">
        <v>123.1</v>
      </c>
      <c r="V318">
        <v>167.2</v>
      </c>
      <c r="X318">
        <v>156.1</v>
      </c>
      <c r="Z318">
        <v>176.8</v>
      </c>
      <c r="AB318">
        <v>173.5</v>
      </c>
      <c r="AD318">
        <v>197</v>
      </c>
      <c r="AF318">
        <v>162.30000000000001</v>
      </c>
      <c r="AH318">
        <v>145.30000000000001</v>
      </c>
      <c r="AJ318">
        <v>159.69999999999999</v>
      </c>
      <c r="AL318">
        <v>164.2</v>
      </c>
      <c r="AN318">
        <v>161.6</v>
      </c>
      <c r="AP318">
        <v>155.19999999999999</v>
      </c>
      <c r="AR318">
        <v>164.2</v>
      </c>
      <c r="AT318">
        <v>151.19999999999999</v>
      </c>
      <c r="AV318">
        <v>156.69999999999999</v>
      </c>
      <c r="AX318">
        <v>160.80000000000001</v>
      </c>
      <c r="AZ318">
        <v>161.80000000000001</v>
      </c>
      <c r="BB318">
        <v>157.30000000000001</v>
      </c>
      <c r="BD318">
        <v>165.6</v>
      </c>
    </row>
    <row r="319" spans="1:56" hidden="1">
      <c r="A319" t="s">
        <v>34</v>
      </c>
      <c r="B319">
        <v>2021</v>
      </c>
      <c r="C319" t="s">
        <v>45</v>
      </c>
      <c r="D319">
        <v>148.19999999999999</v>
      </c>
      <c r="F319">
        <v>201.6</v>
      </c>
      <c r="H319">
        <v>173</v>
      </c>
      <c r="J319">
        <v>159.30000000000001</v>
      </c>
      <c r="L319">
        <v>190.1</v>
      </c>
      <c r="N319">
        <v>156.5</v>
      </c>
      <c r="P319">
        <v>199.2</v>
      </c>
      <c r="R319">
        <v>165.3</v>
      </c>
      <c r="T319">
        <v>122.4</v>
      </c>
      <c r="V319">
        <v>169.6</v>
      </c>
      <c r="X319">
        <v>163.69999999999999</v>
      </c>
      <c r="Z319">
        <v>175.5</v>
      </c>
      <c r="AB319">
        <v>169.7</v>
      </c>
      <c r="AD319">
        <v>192.9</v>
      </c>
      <c r="AF319">
        <v>167.2</v>
      </c>
      <c r="AH319">
        <v>157.4</v>
      </c>
      <c r="AJ319">
        <v>165.8</v>
      </c>
      <c r="AL319">
        <v>164.2</v>
      </c>
      <c r="AN319">
        <v>163.9</v>
      </c>
      <c r="AP319">
        <v>159.30000000000001</v>
      </c>
      <c r="AR319">
        <v>169.9</v>
      </c>
      <c r="AT319">
        <v>154.80000000000001</v>
      </c>
      <c r="AV319">
        <v>159.80000000000001</v>
      </c>
      <c r="AX319">
        <v>164.3</v>
      </c>
      <c r="AZ319">
        <v>162.19999999999999</v>
      </c>
      <c r="BB319">
        <v>161.4</v>
      </c>
      <c r="BD319">
        <v>166.7</v>
      </c>
    </row>
    <row r="320" spans="1:56" hidden="1">
      <c r="A320" t="s">
        <v>30</v>
      </c>
      <c r="B320">
        <v>2021</v>
      </c>
      <c r="C320" t="s">
        <v>46</v>
      </c>
      <c r="D320">
        <v>147.4</v>
      </c>
      <c r="F320">
        <v>197</v>
      </c>
      <c r="H320">
        <v>176.5</v>
      </c>
      <c r="J320">
        <v>159.80000000000001</v>
      </c>
      <c r="L320">
        <v>195.8</v>
      </c>
      <c r="N320">
        <v>152</v>
      </c>
      <c r="P320">
        <v>172.3</v>
      </c>
      <c r="R320">
        <v>164.5</v>
      </c>
      <c r="T320">
        <v>120.6</v>
      </c>
      <c r="V320">
        <v>171.7</v>
      </c>
      <c r="X320">
        <v>169.7</v>
      </c>
      <c r="Z320">
        <v>175.1</v>
      </c>
      <c r="AB320">
        <v>165.8</v>
      </c>
      <c r="AD320">
        <v>190.8</v>
      </c>
      <c r="AF320">
        <v>171.8</v>
      </c>
      <c r="AH320">
        <v>167.3</v>
      </c>
      <c r="AJ320">
        <v>171.2</v>
      </c>
      <c r="AL320" t="s">
        <v>32</v>
      </c>
      <c r="AN320">
        <v>165.6</v>
      </c>
      <c r="AP320">
        <v>163.9</v>
      </c>
      <c r="AR320">
        <v>174</v>
      </c>
      <c r="AT320">
        <v>160.1</v>
      </c>
      <c r="AV320">
        <v>164.5</v>
      </c>
      <c r="AX320">
        <v>169.7</v>
      </c>
      <c r="AZ320">
        <v>162.80000000000001</v>
      </c>
      <c r="BB320">
        <v>166</v>
      </c>
      <c r="BD320">
        <v>167</v>
      </c>
    </row>
    <row r="321" spans="1:56">
      <c r="A321" t="s">
        <v>33</v>
      </c>
      <c r="B321">
        <v>2021</v>
      </c>
      <c r="C321" t="s">
        <v>46</v>
      </c>
      <c r="D321">
        <v>151.6</v>
      </c>
      <c r="F321">
        <v>202.2</v>
      </c>
      <c r="H321">
        <v>180</v>
      </c>
      <c r="J321">
        <v>160</v>
      </c>
      <c r="L321">
        <v>173.5</v>
      </c>
      <c r="N321">
        <v>158.30000000000001</v>
      </c>
      <c r="P321">
        <v>219.5</v>
      </c>
      <c r="R321">
        <v>164.2</v>
      </c>
      <c r="T321">
        <v>121.9</v>
      </c>
      <c r="V321">
        <v>168.2</v>
      </c>
      <c r="X321">
        <v>156.5</v>
      </c>
      <c r="Z321">
        <v>178.2</v>
      </c>
      <c r="AB321">
        <v>172.2</v>
      </c>
      <c r="AD321">
        <v>196.8</v>
      </c>
      <c r="AF321">
        <v>163.30000000000001</v>
      </c>
      <c r="AH321">
        <v>146.69999999999999</v>
      </c>
      <c r="AJ321">
        <v>160.69999999999999</v>
      </c>
      <c r="AL321">
        <v>163.4</v>
      </c>
      <c r="AN321">
        <v>161.69999999999999</v>
      </c>
      <c r="AP321">
        <v>156</v>
      </c>
      <c r="AR321">
        <v>165.1</v>
      </c>
      <c r="AT321">
        <v>151.80000000000001</v>
      </c>
      <c r="AV321">
        <v>157.6</v>
      </c>
      <c r="AX321">
        <v>160.6</v>
      </c>
      <c r="AZ321">
        <v>162.4</v>
      </c>
      <c r="BB321">
        <v>157.80000000000001</v>
      </c>
      <c r="BD321">
        <v>165.2</v>
      </c>
    </row>
    <row r="322" spans="1:56" hidden="1">
      <c r="A322" t="s">
        <v>34</v>
      </c>
      <c r="B322">
        <v>2021</v>
      </c>
      <c r="C322" t="s">
        <v>46</v>
      </c>
      <c r="D322">
        <v>148.69999999999999</v>
      </c>
      <c r="F322">
        <v>198.8</v>
      </c>
      <c r="H322">
        <v>177.9</v>
      </c>
      <c r="J322">
        <v>159.9</v>
      </c>
      <c r="L322">
        <v>187.6</v>
      </c>
      <c r="N322">
        <v>154.9</v>
      </c>
      <c r="P322">
        <v>188.3</v>
      </c>
      <c r="R322">
        <v>164.4</v>
      </c>
      <c r="T322">
        <v>121</v>
      </c>
      <c r="V322">
        <v>170.5</v>
      </c>
      <c r="X322">
        <v>164.2</v>
      </c>
      <c r="Z322">
        <v>176.5</v>
      </c>
      <c r="AB322">
        <v>168.2</v>
      </c>
      <c r="AD322">
        <v>192.4</v>
      </c>
      <c r="AF322">
        <v>168.5</v>
      </c>
      <c r="AH322">
        <v>158.69999999999999</v>
      </c>
      <c r="AJ322">
        <v>167</v>
      </c>
      <c r="AL322">
        <v>163.4</v>
      </c>
      <c r="AN322">
        <v>164.1</v>
      </c>
      <c r="AP322">
        <v>160.19999999999999</v>
      </c>
      <c r="AR322">
        <v>170.6</v>
      </c>
      <c r="AT322">
        <v>155.69999999999999</v>
      </c>
      <c r="AV322">
        <v>160.6</v>
      </c>
      <c r="AX322">
        <v>164.4</v>
      </c>
      <c r="AZ322">
        <v>162.6</v>
      </c>
      <c r="BB322">
        <v>162</v>
      </c>
      <c r="BD322">
        <v>166.2</v>
      </c>
    </row>
    <row r="323" spans="1:56" hidden="1">
      <c r="A323" t="s">
        <v>30</v>
      </c>
      <c r="B323">
        <v>2022</v>
      </c>
      <c r="C323" t="s">
        <v>31</v>
      </c>
      <c r="D323">
        <v>148.30000000000001</v>
      </c>
      <c r="F323">
        <v>196.9</v>
      </c>
      <c r="H323">
        <v>178</v>
      </c>
      <c r="J323">
        <v>160.5</v>
      </c>
      <c r="L323">
        <v>192.6</v>
      </c>
      <c r="N323">
        <v>151.19999999999999</v>
      </c>
      <c r="P323">
        <v>159.19999999999999</v>
      </c>
      <c r="R323">
        <v>164</v>
      </c>
      <c r="T323">
        <v>119.3</v>
      </c>
      <c r="V323">
        <v>173.3</v>
      </c>
      <c r="X323">
        <v>169.8</v>
      </c>
      <c r="Z323">
        <v>175.8</v>
      </c>
      <c r="AB323">
        <v>164.1</v>
      </c>
      <c r="AD323">
        <v>190.7</v>
      </c>
      <c r="AF323">
        <v>173.2</v>
      </c>
      <c r="AH323">
        <v>169.3</v>
      </c>
      <c r="AJ323">
        <v>172.7</v>
      </c>
      <c r="AL323" t="s">
        <v>32</v>
      </c>
      <c r="AN323">
        <v>165.8</v>
      </c>
      <c r="AP323">
        <v>164.9</v>
      </c>
      <c r="AR323">
        <v>174.7</v>
      </c>
      <c r="AT323">
        <v>160.80000000000001</v>
      </c>
      <c r="AV323">
        <v>164.9</v>
      </c>
      <c r="AX323">
        <v>169.9</v>
      </c>
      <c r="AZ323">
        <v>163.19999999999999</v>
      </c>
      <c r="BB323">
        <v>166.6</v>
      </c>
      <c r="BD323">
        <v>166.4</v>
      </c>
    </row>
    <row r="324" spans="1:56">
      <c r="A324" t="s">
        <v>33</v>
      </c>
      <c r="B324">
        <v>2022</v>
      </c>
      <c r="C324" t="s">
        <v>31</v>
      </c>
      <c r="D324">
        <v>152.19999999999999</v>
      </c>
      <c r="F324">
        <v>202.1</v>
      </c>
      <c r="H324">
        <v>180.1</v>
      </c>
      <c r="J324">
        <v>160.4</v>
      </c>
      <c r="L324">
        <v>171</v>
      </c>
      <c r="N324">
        <v>156.5</v>
      </c>
      <c r="P324">
        <v>203.6</v>
      </c>
      <c r="R324">
        <v>163.80000000000001</v>
      </c>
      <c r="T324">
        <v>121.3</v>
      </c>
      <c r="V324">
        <v>169.8</v>
      </c>
      <c r="X324">
        <v>156.6</v>
      </c>
      <c r="Z324">
        <v>179</v>
      </c>
      <c r="AB324">
        <v>170.3</v>
      </c>
      <c r="AD324">
        <v>196.4</v>
      </c>
      <c r="AF324">
        <v>164.7</v>
      </c>
      <c r="AH324">
        <v>148.5</v>
      </c>
      <c r="AJ324">
        <v>162.19999999999999</v>
      </c>
      <c r="AL324">
        <v>164.5</v>
      </c>
      <c r="AN324">
        <v>161.6</v>
      </c>
      <c r="AP324">
        <v>156.80000000000001</v>
      </c>
      <c r="AR324">
        <v>166.1</v>
      </c>
      <c r="AT324">
        <v>152.69999999999999</v>
      </c>
      <c r="AV324">
        <v>158.4</v>
      </c>
      <c r="AX324">
        <v>161</v>
      </c>
      <c r="AZ324">
        <v>162.80000000000001</v>
      </c>
      <c r="BB324">
        <v>158.6</v>
      </c>
      <c r="BD324">
        <v>165</v>
      </c>
    </row>
    <row r="325" spans="1:56" hidden="1">
      <c r="A325" t="s">
        <v>34</v>
      </c>
      <c r="B325">
        <v>2022</v>
      </c>
      <c r="C325" t="s">
        <v>31</v>
      </c>
      <c r="D325">
        <v>149.5</v>
      </c>
      <c r="F325">
        <v>198.7</v>
      </c>
      <c r="H325">
        <v>178.8</v>
      </c>
      <c r="J325">
        <v>160.5</v>
      </c>
      <c r="L325">
        <v>184.7</v>
      </c>
      <c r="N325">
        <v>153.69999999999999</v>
      </c>
      <c r="P325">
        <v>174.3</v>
      </c>
      <c r="R325">
        <v>163.9</v>
      </c>
      <c r="T325">
        <v>120</v>
      </c>
      <c r="V325">
        <v>172.1</v>
      </c>
      <c r="X325">
        <v>164.3</v>
      </c>
      <c r="Z325">
        <v>177.3</v>
      </c>
      <c r="AB325">
        <v>166.4</v>
      </c>
      <c r="AD325">
        <v>192.2</v>
      </c>
      <c r="AF325">
        <v>169.9</v>
      </c>
      <c r="AH325">
        <v>160.69999999999999</v>
      </c>
      <c r="AJ325">
        <v>168.5</v>
      </c>
      <c r="AL325">
        <v>164.5</v>
      </c>
      <c r="AN325">
        <v>164.2</v>
      </c>
      <c r="AP325">
        <v>161.1</v>
      </c>
      <c r="AR325">
        <v>171.4</v>
      </c>
      <c r="AT325">
        <v>156.5</v>
      </c>
      <c r="AV325">
        <v>161.19999999999999</v>
      </c>
      <c r="AX325">
        <v>164.7</v>
      </c>
      <c r="AZ325">
        <v>163</v>
      </c>
      <c r="BB325">
        <v>162.69999999999999</v>
      </c>
      <c r="BD325">
        <v>165.7</v>
      </c>
    </row>
    <row r="326" spans="1:56" hidden="1">
      <c r="A326" t="s">
        <v>30</v>
      </c>
      <c r="B326">
        <v>2022</v>
      </c>
      <c r="C326" t="s">
        <v>35</v>
      </c>
      <c r="D326">
        <v>148.80000000000001</v>
      </c>
      <c r="F326">
        <v>198.1</v>
      </c>
      <c r="H326">
        <v>175.5</v>
      </c>
      <c r="J326">
        <v>160.69999999999999</v>
      </c>
      <c r="L326">
        <v>192.6</v>
      </c>
      <c r="N326">
        <v>151.4</v>
      </c>
      <c r="P326">
        <v>155.19999999999999</v>
      </c>
      <c r="R326">
        <v>163.9</v>
      </c>
      <c r="T326">
        <v>118.1</v>
      </c>
      <c r="V326">
        <v>175.4</v>
      </c>
      <c r="X326">
        <v>170.5</v>
      </c>
      <c r="Z326">
        <v>176.3</v>
      </c>
      <c r="AB326">
        <v>163.9</v>
      </c>
      <c r="AD326">
        <v>191.5</v>
      </c>
      <c r="AF326">
        <v>174.1</v>
      </c>
      <c r="AH326">
        <v>171</v>
      </c>
      <c r="AJ326">
        <v>173.7</v>
      </c>
      <c r="AL326" t="s">
        <v>32</v>
      </c>
      <c r="AN326">
        <v>167.4</v>
      </c>
      <c r="AP326">
        <v>165.7</v>
      </c>
      <c r="AR326">
        <v>175.3</v>
      </c>
      <c r="AT326">
        <v>161.19999999999999</v>
      </c>
      <c r="AV326">
        <v>165.5</v>
      </c>
      <c r="AX326">
        <v>170.3</v>
      </c>
      <c r="AZ326">
        <v>164.5</v>
      </c>
      <c r="BB326">
        <v>167.3</v>
      </c>
      <c r="BD326">
        <v>166.7</v>
      </c>
    </row>
    <row r="327" spans="1:56">
      <c r="A327" t="s">
        <v>33</v>
      </c>
      <c r="B327">
        <v>2022</v>
      </c>
      <c r="C327" t="s">
        <v>35</v>
      </c>
      <c r="D327">
        <v>152.5</v>
      </c>
      <c r="F327">
        <v>205.2</v>
      </c>
      <c r="H327">
        <v>176.4</v>
      </c>
      <c r="J327">
        <v>160.6</v>
      </c>
      <c r="L327">
        <v>171.5</v>
      </c>
      <c r="N327">
        <v>156.4</v>
      </c>
      <c r="P327">
        <v>198</v>
      </c>
      <c r="R327">
        <v>163.19999999999999</v>
      </c>
      <c r="T327">
        <v>120.6</v>
      </c>
      <c r="V327">
        <v>172.2</v>
      </c>
      <c r="X327">
        <v>156.69999999999999</v>
      </c>
      <c r="Z327">
        <v>180</v>
      </c>
      <c r="AB327">
        <v>170.2</v>
      </c>
      <c r="AD327">
        <v>196.5</v>
      </c>
      <c r="AF327">
        <v>165.7</v>
      </c>
      <c r="AH327">
        <v>150.4</v>
      </c>
      <c r="AJ327">
        <v>163.4</v>
      </c>
      <c r="AL327">
        <v>165.5</v>
      </c>
      <c r="AN327">
        <v>163</v>
      </c>
      <c r="AP327">
        <v>157.4</v>
      </c>
      <c r="AR327">
        <v>167.2</v>
      </c>
      <c r="AT327">
        <v>153.1</v>
      </c>
      <c r="AV327">
        <v>159.5</v>
      </c>
      <c r="AX327">
        <v>162</v>
      </c>
      <c r="AZ327">
        <v>164.2</v>
      </c>
      <c r="BB327">
        <v>159.4</v>
      </c>
      <c r="BD327">
        <v>165.5</v>
      </c>
    </row>
    <row r="328" spans="1:56" hidden="1">
      <c r="A328" t="s">
        <v>34</v>
      </c>
      <c r="B328">
        <v>2022</v>
      </c>
      <c r="C328" t="s">
        <v>35</v>
      </c>
      <c r="D328">
        <v>150</v>
      </c>
      <c r="F328">
        <v>200.6</v>
      </c>
      <c r="H328">
        <v>175.8</v>
      </c>
      <c r="J328">
        <v>160.69999999999999</v>
      </c>
      <c r="L328">
        <v>184.9</v>
      </c>
      <c r="N328">
        <v>153.69999999999999</v>
      </c>
      <c r="P328">
        <v>169.7</v>
      </c>
      <c r="R328">
        <v>163.69999999999999</v>
      </c>
      <c r="T328">
        <v>118.9</v>
      </c>
      <c r="V328">
        <v>174.3</v>
      </c>
      <c r="X328">
        <v>164.7</v>
      </c>
      <c r="Z328">
        <v>178</v>
      </c>
      <c r="AB328">
        <v>166.2</v>
      </c>
      <c r="AD328">
        <v>192.8</v>
      </c>
      <c r="AF328">
        <v>170.8</v>
      </c>
      <c r="AH328">
        <v>162.4</v>
      </c>
      <c r="AJ328">
        <v>169.6</v>
      </c>
      <c r="AL328">
        <v>165.5</v>
      </c>
      <c r="AN328">
        <v>165.7</v>
      </c>
      <c r="AP328">
        <v>161.80000000000001</v>
      </c>
      <c r="AR328">
        <v>172.2</v>
      </c>
      <c r="AT328">
        <v>156.9</v>
      </c>
      <c r="AV328">
        <v>162.1</v>
      </c>
      <c r="AX328">
        <v>165.4</v>
      </c>
      <c r="AZ328">
        <v>164.4</v>
      </c>
      <c r="BB328">
        <v>163.5</v>
      </c>
      <c r="BD328">
        <v>166.1</v>
      </c>
    </row>
    <row r="329" spans="1:56" hidden="1">
      <c r="A329" t="s">
        <v>30</v>
      </c>
      <c r="B329">
        <v>2022</v>
      </c>
      <c r="C329" t="s">
        <v>36</v>
      </c>
      <c r="D329">
        <v>150.19999999999999</v>
      </c>
      <c r="F329">
        <v>208</v>
      </c>
      <c r="H329">
        <v>167.9</v>
      </c>
      <c r="J329">
        <v>162</v>
      </c>
      <c r="L329">
        <v>203.1</v>
      </c>
      <c r="N329">
        <v>155.9</v>
      </c>
      <c r="P329">
        <v>155.80000000000001</v>
      </c>
      <c r="R329">
        <v>164.2</v>
      </c>
      <c r="T329">
        <v>118.1</v>
      </c>
      <c r="V329">
        <v>178.7</v>
      </c>
      <c r="X329">
        <v>171.2</v>
      </c>
      <c r="Z329">
        <v>177.4</v>
      </c>
      <c r="AB329">
        <v>166.6</v>
      </c>
      <c r="AD329">
        <v>192.3</v>
      </c>
      <c r="AF329">
        <v>175.4</v>
      </c>
      <c r="AH329">
        <v>173.2</v>
      </c>
      <c r="AJ329">
        <v>175.1</v>
      </c>
      <c r="AL329" t="s">
        <v>32</v>
      </c>
      <c r="AN329">
        <v>168.9</v>
      </c>
      <c r="AP329">
        <v>166.5</v>
      </c>
      <c r="AR329">
        <v>176</v>
      </c>
      <c r="AT329">
        <v>162</v>
      </c>
      <c r="AV329">
        <v>166.6</v>
      </c>
      <c r="AX329">
        <v>170.6</v>
      </c>
      <c r="AZ329">
        <v>167.4</v>
      </c>
      <c r="BB329">
        <v>168.3</v>
      </c>
      <c r="BD329">
        <v>168.7</v>
      </c>
    </row>
    <row r="330" spans="1:56">
      <c r="A330" t="s">
        <v>33</v>
      </c>
      <c r="B330">
        <v>2022</v>
      </c>
      <c r="C330" t="s">
        <v>36</v>
      </c>
      <c r="D330">
        <v>153.69999999999999</v>
      </c>
      <c r="F330">
        <v>215.8</v>
      </c>
      <c r="H330">
        <v>167.7</v>
      </c>
      <c r="J330">
        <v>162.6</v>
      </c>
      <c r="L330">
        <v>180</v>
      </c>
      <c r="N330">
        <v>159.6</v>
      </c>
      <c r="P330">
        <v>188.4</v>
      </c>
      <c r="R330">
        <v>163.4</v>
      </c>
      <c r="T330">
        <v>120.3</v>
      </c>
      <c r="V330">
        <v>174.7</v>
      </c>
      <c r="X330">
        <v>157.1</v>
      </c>
      <c r="Z330">
        <v>181.5</v>
      </c>
      <c r="AB330">
        <v>171.5</v>
      </c>
      <c r="AD330">
        <v>197.5</v>
      </c>
      <c r="AF330">
        <v>167.1</v>
      </c>
      <c r="AH330">
        <v>152.6</v>
      </c>
      <c r="AJ330">
        <v>164.9</v>
      </c>
      <c r="AL330">
        <v>165.3</v>
      </c>
      <c r="AN330">
        <v>164.5</v>
      </c>
      <c r="AP330">
        <v>158.6</v>
      </c>
      <c r="AR330">
        <v>168.2</v>
      </c>
      <c r="AT330">
        <v>154.19999999999999</v>
      </c>
      <c r="AV330">
        <v>160.80000000000001</v>
      </c>
      <c r="AX330">
        <v>162.69999999999999</v>
      </c>
      <c r="AZ330">
        <v>166.8</v>
      </c>
      <c r="BB330">
        <v>160.6</v>
      </c>
      <c r="BD330">
        <v>166.5</v>
      </c>
    </row>
    <row r="331" spans="1:56" hidden="1">
      <c r="A331" t="s">
        <v>34</v>
      </c>
      <c r="B331">
        <v>2022</v>
      </c>
      <c r="C331" t="s">
        <v>36</v>
      </c>
      <c r="D331">
        <v>151.30000000000001</v>
      </c>
      <c r="F331">
        <v>210.7</v>
      </c>
      <c r="H331">
        <v>167.8</v>
      </c>
      <c r="J331">
        <v>162.19999999999999</v>
      </c>
      <c r="L331">
        <v>194.6</v>
      </c>
      <c r="N331">
        <v>157.6</v>
      </c>
      <c r="P331">
        <v>166.9</v>
      </c>
      <c r="R331">
        <v>163.9</v>
      </c>
      <c r="T331">
        <v>118.8</v>
      </c>
      <c r="V331">
        <v>177.4</v>
      </c>
      <c r="X331">
        <v>165.3</v>
      </c>
      <c r="Z331">
        <v>179.3</v>
      </c>
      <c r="AB331">
        <v>168.4</v>
      </c>
      <c r="AD331">
        <v>193.7</v>
      </c>
      <c r="AF331">
        <v>172.1</v>
      </c>
      <c r="AH331">
        <v>164.6</v>
      </c>
      <c r="AJ331">
        <v>171.1</v>
      </c>
      <c r="AL331">
        <v>165.3</v>
      </c>
      <c r="AN331">
        <v>167.2</v>
      </c>
      <c r="AP331">
        <v>162.80000000000001</v>
      </c>
      <c r="AR331">
        <v>173</v>
      </c>
      <c r="AT331">
        <v>157.9</v>
      </c>
      <c r="AV331">
        <v>163.30000000000001</v>
      </c>
      <c r="AX331">
        <v>166</v>
      </c>
      <c r="AZ331">
        <v>167.2</v>
      </c>
      <c r="BB331">
        <v>164.6</v>
      </c>
      <c r="BD331">
        <v>167.7</v>
      </c>
    </row>
    <row r="332" spans="1:56" hidden="1">
      <c r="A332" t="s">
        <v>30</v>
      </c>
      <c r="B332">
        <v>2022</v>
      </c>
      <c r="C332" t="s">
        <v>37</v>
      </c>
      <c r="D332">
        <v>151.80000000000001</v>
      </c>
      <c r="F332">
        <v>209.7</v>
      </c>
      <c r="H332">
        <v>164.5</v>
      </c>
      <c r="J332">
        <v>163.80000000000001</v>
      </c>
      <c r="L332">
        <v>207.4</v>
      </c>
      <c r="N332">
        <v>169.7</v>
      </c>
      <c r="P332">
        <v>153.6</v>
      </c>
      <c r="R332">
        <v>165.1</v>
      </c>
      <c r="T332">
        <v>118.2</v>
      </c>
      <c r="V332">
        <v>182.9</v>
      </c>
      <c r="X332">
        <v>172.4</v>
      </c>
      <c r="Z332">
        <v>178.9</v>
      </c>
      <c r="AB332">
        <v>168.6</v>
      </c>
      <c r="AD332">
        <v>192.8</v>
      </c>
      <c r="AF332">
        <v>177.5</v>
      </c>
      <c r="AH332">
        <v>175.1</v>
      </c>
      <c r="AJ332">
        <v>177.1</v>
      </c>
      <c r="AL332" t="s">
        <v>32</v>
      </c>
      <c r="AN332">
        <v>173.3</v>
      </c>
      <c r="AP332">
        <v>167.7</v>
      </c>
      <c r="AR332">
        <v>177</v>
      </c>
      <c r="AT332">
        <v>166.2</v>
      </c>
      <c r="AV332">
        <v>167.2</v>
      </c>
      <c r="AX332">
        <v>170.9</v>
      </c>
      <c r="AZ332">
        <v>169</v>
      </c>
      <c r="BB332">
        <v>170.2</v>
      </c>
      <c r="BD332">
        <v>170.8</v>
      </c>
    </row>
    <row r="333" spans="1:56">
      <c r="A333" t="s">
        <v>33</v>
      </c>
      <c r="B333">
        <v>2022</v>
      </c>
      <c r="C333" t="s">
        <v>37</v>
      </c>
      <c r="D333">
        <v>155.4</v>
      </c>
      <c r="F333">
        <v>215.8</v>
      </c>
      <c r="H333">
        <v>164.6</v>
      </c>
      <c r="J333">
        <v>164.2</v>
      </c>
      <c r="L333">
        <v>186</v>
      </c>
      <c r="N333">
        <v>175.9</v>
      </c>
      <c r="P333">
        <v>190.7</v>
      </c>
      <c r="R333">
        <v>164</v>
      </c>
      <c r="T333">
        <v>120.5</v>
      </c>
      <c r="V333">
        <v>178</v>
      </c>
      <c r="X333">
        <v>157.5</v>
      </c>
      <c r="Z333">
        <v>183.3</v>
      </c>
      <c r="AB333">
        <v>174.5</v>
      </c>
      <c r="AD333">
        <v>197.1</v>
      </c>
      <c r="AF333">
        <v>168.4</v>
      </c>
      <c r="AH333">
        <v>154.5</v>
      </c>
      <c r="AJ333">
        <v>166.3</v>
      </c>
      <c r="AL333">
        <v>167</v>
      </c>
      <c r="AN333">
        <v>170.5</v>
      </c>
      <c r="AP333">
        <v>159.80000000000001</v>
      </c>
      <c r="AR333">
        <v>169</v>
      </c>
      <c r="AT333">
        <v>159.30000000000001</v>
      </c>
      <c r="AV333">
        <v>162.19999999999999</v>
      </c>
      <c r="AX333">
        <v>164</v>
      </c>
      <c r="AZ333">
        <v>168.4</v>
      </c>
      <c r="BB333">
        <v>163.1</v>
      </c>
      <c r="BD333">
        <v>169.2</v>
      </c>
    </row>
    <row r="334" spans="1:56" hidden="1">
      <c r="A334" t="s">
        <v>34</v>
      </c>
      <c r="B334">
        <v>2022</v>
      </c>
      <c r="C334" t="s">
        <v>37</v>
      </c>
      <c r="D334">
        <v>152.9</v>
      </c>
      <c r="F334">
        <v>211.8</v>
      </c>
      <c r="H334">
        <v>164.5</v>
      </c>
      <c r="J334">
        <v>163.9</v>
      </c>
      <c r="L334">
        <v>199.5</v>
      </c>
      <c r="N334">
        <v>172.6</v>
      </c>
      <c r="P334">
        <v>166.2</v>
      </c>
      <c r="R334">
        <v>164.7</v>
      </c>
      <c r="T334">
        <v>119</v>
      </c>
      <c r="V334">
        <v>181.3</v>
      </c>
      <c r="X334">
        <v>166.2</v>
      </c>
      <c r="Z334">
        <v>180.9</v>
      </c>
      <c r="AB334">
        <v>170.8</v>
      </c>
      <c r="AD334">
        <v>193.9</v>
      </c>
      <c r="AF334">
        <v>173.9</v>
      </c>
      <c r="AH334">
        <v>166.5</v>
      </c>
      <c r="AJ334">
        <v>172.8</v>
      </c>
      <c r="AL334">
        <v>167</v>
      </c>
      <c r="AN334">
        <v>172.2</v>
      </c>
      <c r="AP334">
        <v>164</v>
      </c>
      <c r="AR334">
        <v>174</v>
      </c>
      <c r="AT334">
        <v>162.6</v>
      </c>
      <c r="AV334">
        <v>164.4</v>
      </c>
      <c r="AX334">
        <v>166.9</v>
      </c>
      <c r="AZ334">
        <v>168.8</v>
      </c>
      <c r="BB334">
        <v>166.8</v>
      </c>
      <c r="BD334">
        <v>170.1</v>
      </c>
    </row>
    <row r="335" spans="1:56" hidden="1">
      <c r="A335" t="s">
        <v>30</v>
      </c>
      <c r="B335">
        <v>2022</v>
      </c>
      <c r="C335" t="s">
        <v>38</v>
      </c>
      <c r="D335">
        <v>152.9</v>
      </c>
      <c r="F335">
        <v>214.7</v>
      </c>
      <c r="H335">
        <v>161.4</v>
      </c>
      <c r="J335">
        <v>164.6</v>
      </c>
      <c r="L335">
        <v>209.9</v>
      </c>
      <c r="N335">
        <v>168</v>
      </c>
      <c r="P335">
        <v>160.4</v>
      </c>
      <c r="R335">
        <v>165</v>
      </c>
      <c r="T335">
        <v>118.9</v>
      </c>
      <c r="V335">
        <v>186.6</v>
      </c>
      <c r="X335">
        <v>173.2</v>
      </c>
      <c r="Z335">
        <v>180.4</v>
      </c>
      <c r="AB335">
        <v>170.8</v>
      </c>
      <c r="AD335">
        <v>192.9</v>
      </c>
      <c r="AF335">
        <v>179.3</v>
      </c>
      <c r="AH335">
        <v>177.2</v>
      </c>
      <c r="AJ335">
        <v>179</v>
      </c>
      <c r="AL335" t="s">
        <v>32</v>
      </c>
      <c r="AN335">
        <v>175.3</v>
      </c>
      <c r="AP335">
        <v>168.9</v>
      </c>
      <c r="AR335">
        <v>177.7</v>
      </c>
      <c r="AT335">
        <v>167.1</v>
      </c>
      <c r="AV335">
        <v>167.6</v>
      </c>
      <c r="AX335">
        <v>171.8</v>
      </c>
      <c r="AZ335">
        <v>168.5</v>
      </c>
      <c r="BB335">
        <v>170.9</v>
      </c>
      <c r="BD335">
        <v>172.5</v>
      </c>
    </row>
    <row r="336" spans="1:56">
      <c r="A336" t="s">
        <v>33</v>
      </c>
      <c r="B336">
        <v>2022</v>
      </c>
      <c r="C336" t="s">
        <v>38</v>
      </c>
      <c r="D336">
        <v>156.69999999999999</v>
      </c>
      <c r="F336">
        <v>221.2</v>
      </c>
      <c r="H336">
        <v>164.1</v>
      </c>
      <c r="J336">
        <v>165.4</v>
      </c>
      <c r="L336">
        <v>189.5</v>
      </c>
      <c r="N336">
        <v>174.5</v>
      </c>
      <c r="P336">
        <v>203.2</v>
      </c>
      <c r="R336">
        <v>164.1</v>
      </c>
      <c r="T336">
        <v>121.2</v>
      </c>
      <c r="V336">
        <v>181.4</v>
      </c>
      <c r="X336">
        <v>158.5</v>
      </c>
      <c r="Z336">
        <v>184.9</v>
      </c>
      <c r="AB336">
        <v>177.5</v>
      </c>
      <c r="AD336">
        <v>197.5</v>
      </c>
      <c r="AF336">
        <v>170</v>
      </c>
      <c r="AH336">
        <v>155.9</v>
      </c>
      <c r="AJ336">
        <v>167.8</v>
      </c>
      <c r="AL336">
        <v>167.5</v>
      </c>
      <c r="AN336">
        <v>173.5</v>
      </c>
      <c r="AP336">
        <v>161.1</v>
      </c>
      <c r="AR336">
        <v>170.1</v>
      </c>
      <c r="AT336">
        <v>159.4</v>
      </c>
      <c r="AV336">
        <v>163.19999999999999</v>
      </c>
      <c r="AX336">
        <v>165.2</v>
      </c>
      <c r="AZ336">
        <v>168.2</v>
      </c>
      <c r="BB336">
        <v>163.80000000000001</v>
      </c>
      <c r="BD336">
        <v>170.8</v>
      </c>
    </row>
    <row r="337" spans="1:56" hidden="1">
      <c r="A337" t="s">
        <v>34</v>
      </c>
      <c r="B337">
        <v>2022</v>
      </c>
      <c r="C337" t="s">
        <v>38</v>
      </c>
      <c r="D337">
        <v>154.1</v>
      </c>
      <c r="F337">
        <v>217</v>
      </c>
      <c r="H337">
        <v>162.4</v>
      </c>
      <c r="J337">
        <v>164.9</v>
      </c>
      <c r="L337">
        <v>202.4</v>
      </c>
      <c r="N337">
        <v>171</v>
      </c>
      <c r="P337">
        <v>174.9</v>
      </c>
      <c r="R337">
        <v>164.7</v>
      </c>
      <c r="T337">
        <v>119.7</v>
      </c>
      <c r="V337">
        <v>184.9</v>
      </c>
      <c r="X337">
        <v>167.1</v>
      </c>
      <c r="Z337">
        <v>182.5</v>
      </c>
      <c r="AB337">
        <v>173.3</v>
      </c>
      <c r="AD337">
        <v>194.1</v>
      </c>
      <c r="AF337">
        <v>175.6</v>
      </c>
      <c r="AH337">
        <v>168.4</v>
      </c>
      <c r="AJ337">
        <v>174.6</v>
      </c>
      <c r="AL337">
        <v>167.5</v>
      </c>
      <c r="AN337">
        <v>174.6</v>
      </c>
      <c r="AP337">
        <v>165.2</v>
      </c>
      <c r="AR337">
        <v>174.8</v>
      </c>
      <c r="AT337">
        <v>163</v>
      </c>
      <c r="AV337">
        <v>165.1</v>
      </c>
      <c r="AX337">
        <v>167.9</v>
      </c>
      <c r="AZ337">
        <v>168.4</v>
      </c>
      <c r="BB337">
        <v>167.5</v>
      </c>
      <c r="BD337">
        <v>171.7</v>
      </c>
    </row>
    <row r="338" spans="1:56" hidden="1">
      <c r="A338" t="s">
        <v>30</v>
      </c>
      <c r="B338">
        <v>2022</v>
      </c>
      <c r="C338" t="s">
        <v>39</v>
      </c>
      <c r="D338">
        <v>153.80000000000001</v>
      </c>
      <c r="F338">
        <v>217.2</v>
      </c>
      <c r="H338">
        <v>169.6</v>
      </c>
      <c r="J338">
        <v>165.4</v>
      </c>
      <c r="L338">
        <v>208.1</v>
      </c>
      <c r="N338">
        <v>165.8</v>
      </c>
      <c r="P338">
        <v>167.3</v>
      </c>
      <c r="R338">
        <v>164.6</v>
      </c>
      <c r="T338">
        <v>119.1</v>
      </c>
      <c r="V338">
        <v>188.9</v>
      </c>
      <c r="X338">
        <v>174.2</v>
      </c>
      <c r="Z338">
        <v>181.9</v>
      </c>
      <c r="AB338">
        <v>172.4</v>
      </c>
      <c r="AD338">
        <v>192.9</v>
      </c>
      <c r="AF338">
        <v>180.7</v>
      </c>
      <c r="AH338">
        <v>178.7</v>
      </c>
      <c r="AJ338">
        <v>180.4</v>
      </c>
      <c r="AL338" t="s">
        <v>32</v>
      </c>
      <c r="AN338">
        <v>176.7</v>
      </c>
      <c r="AP338">
        <v>170.3</v>
      </c>
      <c r="AR338">
        <v>178.2</v>
      </c>
      <c r="AT338">
        <v>165.5</v>
      </c>
      <c r="AV338">
        <v>168</v>
      </c>
      <c r="AX338">
        <v>172.6</v>
      </c>
      <c r="AZ338">
        <v>169.5</v>
      </c>
      <c r="BB338">
        <v>171</v>
      </c>
      <c r="BD338">
        <v>173.6</v>
      </c>
    </row>
    <row r="339" spans="1:56">
      <c r="A339" t="s">
        <v>33</v>
      </c>
      <c r="B339">
        <v>2022</v>
      </c>
      <c r="C339" t="s">
        <v>39</v>
      </c>
      <c r="D339">
        <v>157.5</v>
      </c>
      <c r="F339">
        <v>223.4</v>
      </c>
      <c r="H339">
        <v>172.8</v>
      </c>
      <c r="J339">
        <v>166.4</v>
      </c>
      <c r="L339">
        <v>188.6</v>
      </c>
      <c r="N339">
        <v>174.1</v>
      </c>
      <c r="P339">
        <v>211.5</v>
      </c>
      <c r="R339">
        <v>163.6</v>
      </c>
      <c r="T339">
        <v>121.4</v>
      </c>
      <c r="V339">
        <v>183.5</v>
      </c>
      <c r="X339">
        <v>159.1</v>
      </c>
      <c r="Z339">
        <v>186.3</v>
      </c>
      <c r="AB339">
        <v>179.3</v>
      </c>
      <c r="AD339">
        <v>198.3</v>
      </c>
      <c r="AF339">
        <v>171.6</v>
      </c>
      <c r="AH339">
        <v>157.4</v>
      </c>
      <c r="AJ339">
        <v>169.4</v>
      </c>
      <c r="AL339">
        <v>166.8</v>
      </c>
      <c r="AN339">
        <v>174.9</v>
      </c>
      <c r="AP339">
        <v>162.1</v>
      </c>
      <c r="AR339">
        <v>170.9</v>
      </c>
      <c r="AT339">
        <v>157.19999999999999</v>
      </c>
      <c r="AV339">
        <v>164.1</v>
      </c>
      <c r="AX339">
        <v>166.5</v>
      </c>
      <c r="AZ339">
        <v>169.2</v>
      </c>
      <c r="BB339">
        <v>163.80000000000001</v>
      </c>
      <c r="BD339">
        <v>171.4</v>
      </c>
    </row>
    <row r="340" spans="1:56" hidden="1">
      <c r="A340" t="s">
        <v>34</v>
      </c>
      <c r="B340">
        <v>2022</v>
      </c>
      <c r="C340" t="s">
        <v>39</v>
      </c>
      <c r="D340">
        <v>155</v>
      </c>
      <c r="F340">
        <v>219.4</v>
      </c>
      <c r="H340">
        <v>170.8</v>
      </c>
      <c r="J340">
        <v>165.8</v>
      </c>
      <c r="L340">
        <v>200.9</v>
      </c>
      <c r="N340">
        <v>169.7</v>
      </c>
      <c r="P340">
        <v>182.3</v>
      </c>
      <c r="R340">
        <v>164.3</v>
      </c>
      <c r="T340">
        <v>119.9</v>
      </c>
      <c r="V340">
        <v>187.1</v>
      </c>
      <c r="X340">
        <v>167.9</v>
      </c>
      <c r="Z340">
        <v>183.9</v>
      </c>
      <c r="AB340">
        <v>174.9</v>
      </c>
      <c r="AD340">
        <v>194.3</v>
      </c>
      <c r="AF340">
        <v>177.1</v>
      </c>
      <c r="AH340">
        <v>169.9</v>
      </c>
      <c r="AJ340">
        <v>176</v>
      </c>
      <c r="AL340">
        <v>166.8</v>
      </c>
      <c r="AN340">
        <v>176</v>
      </c>
      <c r="AP340">
        <v>166.4</v>
      </c>
      <c r="AR340">
        <v>175.4</v>
      </c>
      <c r="AT340">
        <v>161.1</v>
      </c>
      <c r="AV340">
        <v>165.8</v>
      </c>
      <c r="AX340">
        <v>169</v>
      </c>
      <c r="AZ340">
        <v>169.4</v>
      </c>
      <c r="BB340">
        <v>167.5</v>
      </c>
      <c r="BD340">
        <v>172.6</v>
      </c>
    </row>
    <row r="341" spans="1:56" hidden="1">
      <c r="A341" t="s">
        <v>30</v>
      </c>
      <c r="B341">
        <v>2022</v>
      </c>
      <c r="C341" t="s">
        <v>40</v>
      </c>
      <c r="D341">
        <v>155.19999999999999</v>
      </c>
      <c r="F341">
        <v>210.8</v>
      </c>
      <c r="H341">
        <v>174.3</v>
      </c>
      <c r="J341">
        <v>166.3</v>
      </c>
      <c r="L341">
        <v>202.2</v>
      </c>
      <c r="N341">
        <v>169.6</v>
      </c>
      <c r="P341">
        <v>168.6</v>
      </c>
      <c r="R341">
        <v>164.4</v>
      </c>
      <c r="T341">
        <v>119.2</v>
      </c>
      <c r="V341">
        <v>191.8</v>
      </c>
      <c r="X341">
        <v>174.5</v>
      </c>
      <c r="Z341">
        <v>183.1</v>
      </c>
      <c r="AB341">
        <v>172.5</v>
      </c>
      <c r="AD341">
        <v>193.2</v>
      </c>
      <c r="AF341">
        <v>182</v>
      </c>
      <c r="AH341">
        <v>180.3</v>
      </c>
      <c r="AJ341">
        <v>181.7</v>
      </c>
      <c r="AL341" t="s">
        <v>32</v>
      </c>
      <c r="AN341">
        <v>179.6</v>
      </c>
      <c r="AP341">
        <v>171.3</v>
      </c>
      <c r="AR341">
        <v>178.8</v>
      </c>
      <c r="AT341">
        <v>166.3</v>
      </c>
      <c r="AV341">
        <v>168.6</v>
      </c>
      <c r="AX341">
        <v>174.7</v>
      </c>
      <c r="AZ341">
        <v>169.7</v>
      </c>
      <c r="BB341">
        <v>171.8</v>
      </c>
      <c r="BD341">
        <v>174.3</v>
      </c>
    </row>
    <row r="342" spans="1:56">
      <c r="A342" t="s">
        <v>33</v>
      </c>
      <c r="B342">
        <v>2022</v>
      </c>
      <c r="C342" t="s">
        <v>40</v>
      </c>
      <c r="D342">
        <v>159.30000000000001</v>
      </c>
      <c r="F342">
        <v>217.1</v>
      </c>
      <c r="H342">
        <v>176.6</v>
      </c>
      <c r="J342">
        <v>167.1</v>
      </c>
      <c r="L342">
        <v>184.8</v>
      </c>
      <c r="N342">
        <v>179.5</v>
      </c>
      <c r="P342">
        <v>208.5</v>
      </c>
      <c r="R342">
        <v>164</v>
      </c>
      <c r="T342">
        <v>121.5</v>
      </c>
      <c r="V342">
        <v>186.3</v>
      </c>
      <c r="X342">
        <v>159.80000000000001</v>
      </c>
      <c r="Z342">
        <v>187.7</v>
      </c>
      <c r="AB342">
        <v>179.4</v>
      </c>
      <c r="AD342">
        <v>198.6</v>
      </c>
      <c r="AF342">
        <v>172.7</v>
      </c>
      <c r="AH342">
        <v>158.69999999999999</v>
      </c>
      <c r="AJ342">
        <v>170.6</v>
      </c>
      <c r="AL342">
        <v>167.8</v>
      </c>
      <c r="AN342">
        <v>179.5</v>
      </c>
      <c r="AP342">
        <v>163.1</v>
      </c>
      <c r="AR342">
        <v>171.7</v>
      </c>
      <c r="AT342">
        <v>157.4</v>
      </c>
      <c r="AV342">
        <v>164.6</v>
      </c>
      <c r="AX342">
        <v>169.1</v>
      </c>
      <c r="AZ342">
        <v>169.8</v>
      </c>
      <c r="BB342">
        <v>164.7</v>
      </c>
      <c r="BD342">
        <v>172.3</v>
      </c>
    </row>
    <row r="343" spans="1:56" hidden="1">
      <c r="A343" t="s">
        <v>34</v>
      </c>
      <c r="B343">
        <v>2022</v>
      </c>
      <c r="C343" t="s">
        <v>40</v>
      </c>
      <c r="D343">
        <v>156.5</v>
      </c>
      <c r="F343">
        <v>213</v>
      </c>
      <c r="H343">
        <v>175.2</v>
      </c>
      <c r="J343">
        <v>166.6</v>
      </c>
      <c r="L343">
        <v>195.8</v>
      </c>
      <c r="N343">
        <v>174.2</v>
      </c>
      <c r="P343">
        <v>182.1</v>
      </c>
      <c r="R343">
        <v>164.3</v>
      </c>
      <c r="T343">
        <v>120</v>
      </c>
      <c r="V343">
        <v>190</v>
      </c>
      <c r="X343">
        <v>168.4</v>
      </c>
      <c r="Z343">
        <v>185.2</v>
      </c>
      <c r="AB343">
        <v>175</v>
      </c>
      <c r="AD343">
        <v>194.6</v>
      </c>
      <c r="AF343">
        <v>178.3</v>
      </c>
      <c r="AH343">
        <v>171.3</v>
      </c>
      <c r="AJ343">
        <v>177.3</v>
      </c>
      <c r="AL343">
        <v>167.8</v>
      </c>
      <c r="AN343">
        <v>179.6</v>
      </c>
      <c r="AP343">
        <v>167.4</v>
      </c>
      <c r="AR343">
        <v>176.1</v>
      </c>
      <c r="AT343">
        <v>161.6</v>
      </c>
      <c r="AV343">
        <v>166.3</v>
      </c>
      <c r="AX343">
        <v>171.4</v>
      </c>
      <c r="AZ343">
        <v>169.7</v>
      </c>
      <c r="BB343">
        <v>168.4</v>
      </c>
      <c r="BD343">
        <v>173.4</v>
      </c>
    </row>
    <row r="344" spans="1:56" hidden="1">
      <c r="A344" t="s">
        <v>30</v>
      </c>
      <c r="B344">
        <v>2022</v>
      </c>
      <c r="C344" t="s">
        <v>41</v>
      </c>
      <c r="D344">
        <v>159.5</v>
      </c>
      <c r="F344">
        <v>204.1</v>
      </c>
      <c r="H344">
        <v>168.3</v>
      </c>
      <c r="J344">
        <v>167.9</v>
      </c>
      <c r="L344">
        <v>198.1</v>
      </c>
      <c r="N344">
        <v>169.2</v>
      </c>
      <c r="P344">
        <v>173.1</v>
      </c>
      <c r="R344">
        <v>167.1</v>
      </c>
      <c r="T344">
        <v>120.2</v>
      </c>
      <c r="V344">
        <v>195.6</v>
      </c>
      <c r="X344">
        <v>174.8</v>
      </c>
      <c r="Z344">
        <v>184</v>
      </c>
      <c r="AB344">
        <v>173.9</v>
      </c>
      <c r="AD344">
        <v>193.7</v>
      </c>
      <c r="AF344">
        <v>183.2</v>
      </c>
      <c r="AH344">
        <v>181.7</v>
      </c>
      <c r="AJ344">
        <v>183</v>
      </c>
      <c r="AL344" t="s">
        <v>32</v>
      </c>
      <c r="AN344">
        <v>179.1</v>
      </c>
      <c r="AP344">
        <v>172.3</v>
      </c>
      <c r="AR344">
        <v>179.4</v>
      </c>
      <c r="AT344">
        <v>166.6</v>
      </c>
      <c r="AV344">
        <v>169.3</v>
      </c>
      <c r="AX344">
        <v>175.7</v>
      </c>
      <c r="AZ344">
        <v>171.1</v>
      </c>
      <c r="BB344">
        <v>172.6</v>
      </c>
      <c r="BD344">
        <v>175.3</v>
      </c>
    </row>
    <row r="345" spans="1:56">
      <c r="A345" t="s">
        <v>33</v>
      </c>
      <c r="B345">
        <v>2022</v>
      </c>
      <c r="C345" t="s">
        <v>41</v>
      </c>
      <c r="D345">
        <v>162.1</v>
      </c>
      <c r="F345">
        <v>210.9</v>
      </c>
      <c r="H345">
        <v>170.6</v>
      </c>
      <c r="J345">
        <v>168.4</v>
      </c>
      <c r="L345">
        <v>182.5</v>
      </c>
      <c r="N345">
        <v>177.1</v>
      </c>
      <c r="P345">
        <v>213.1</v>
      </c>
      <c r="R345">
        <v>167.3</v>
      </c>
      <c r="T345">
        <v>122.2</v>
      </c>
      <c r="V345">
        <v>189.7</v>
      </c>
      <c r="X345">
        <v>160.5</v>
      </c>
      <c r="Z345">
        <v>188.9</v>
      </c>
      <c r="AB345">
        <v>180.4</v>
      </c>
      <c r="AD345">
        <v>198.7</v>
      </c>
      <c r="AF345">
        <v>173.7</v>
      </c>
      <c r="AH345">
        <v>160</v>
      </c>
      <c r="AJ345">
        <v>171.6</v>
      </c>
      <c r="AL345">
        <v>169</v>
      </c>
      <c r="AN345">
        <v>178.4</v>
      </c>
      <c r="AP345">
        <v>164.2</v>
      </c>
      <c r="AR345">
        <v>172.6</v>
      </c>
      <c r="AT345">
        <v>157.69999999999999</v>
      </c>
      <c r="AV345">
        <v>165.1</v>
      </c>
      <c r="AX345">
        <v>169.9</v>
      </c>
      <c r="AZ345">
        <v>171.4</v>
      </c>
      <c r="BB345">
        <v>165.4</v>
      </c>
      <c r="BD345">
        <v>173.1</v>
      </c>
    </row>
    <row r="346" spans="1:56" hidden="1">
      <c r="A346" t="s">
        <v>34</v>
      </c>
      <c r="B346">
        <v>2022</v>
      </c>
      <c r="C346" t="s">
        <v>41</v>
      </c>
      <c r="D346">
        <v>160.30000000000001</v>
      </c>
      <c r="F346">
        <v>206.5</v>
      </c>
      <c r="H346">
        <v>169.2</v>
      </c>
      <c r="J346">
        <v>168.1</v>
      </c>
      <c r="L346">
        <v>192.4</v>
      </c>
      <c r="N346">
        <v>172.9</v>
      </c>
      <c r="P346">
        <v>186.7</v>
      </c>
      <c r="R346">
        <v>167.2</v>
      </c>
      <c r="T346">
        <v>120.9</v>
      </c>
      <c r="V346">
        <v>193.6</v>
      </c>
      <c r="X346">
        <v>168.8</v>
      </c>
      <c r="Z346">
        <v>186.3</v>
      </c>
      <c r="AB346">
        <v>176.3</v>
      </c>
      <c r="AD346">
        <v>195</v>
      </c>
      <c r="AF346">
        <v>179.5</v>
      </c>
      <c r="AH346">
        <v>172.7</v>
      </c>
      <c r="AJ346">
        <v>178.5</v>
      </c>
      <c r="AL346">
        <v>169</v>
      </c>
      <c r="AN346">
        <v>178.8</v>
      </c>
      <c r="AP346">
        <v>168.5</v>
      </c>
      <c r="AR346">
        <v>176.8</v>
      </c>
      <c r="AT346">
        <v>161.9</v>
      </c>
      <c r="AV346">
        <v>166.9</v>
      </c>
      <c r="AX346">
        <v>172.3</v>
      </c>
      <c r="AZ346">
        <v>171.2</v>
      </c>
      <c r="BB346">
        <v>169.1</v>
      </c>
      <c r="BD346">
        <v>174.3</v>
      </c>
    </row>
    <row r="347" spans="1:56" hidden="1">
      <c r="A347" t="s">
        <v>30</v>
      </c>
      <c r="B347">
        <v>2022</v>
      </c>
      <c r="C347" t="s">
        <v>42</v>
      </c>
      <c r="D347">
        <v>162.9</v>
      </c>
      <c r="F347">
        <v>206.7</v>
      </c>
      <c r="H347">
        <v>169</v>
      </c>
      <c r="J347">
        <v>169.5</v>
      </c>
      <c r="L347">
        <v>194.1</v>
      </c>
      <c r="N347">
        <v>164.1</v>
      </c>
      <c r="P347">
        <v>176.9</v>
      </c>
      <c r="R347">
        <v>169</v>
      </c>
      <c r="T347">
        <v>120.8</v>
      </c>
      <c r="V347">
        <v>199.1</v>
      </c>
      <c r="X347">
        <v>175.4</v>
      </c>
      <c r="Z347">
        <v>184.8</v>
      </c>
      <c r="AB347">
        <v>175.5</v>
      </c>
      <c r="AD347">
        <v>194.5</v>
      </c>
      <c r="AF347">
        <v>184.7</v>
      </c>
      <c r="AH347">
        <v>183.3</v>
      </c>
      <c r="AJ347">
        <v>184.5</v>
      </c>
      <c r="AL347" t="s">
        <v>32</v>
      </c>
      <c r="AN347">
        <v>179.7</v>
      </c>
      <c r="AP347">
        <v>173.6</v>
      </c>
      <c r="AR347">
        <v>180.2</v>
      </c>
      <c r="AT347">
        <v>166.9</v>
      </c>
      <c r="AV347">
        <v>170</v>
      </c>
      <c r="AX347">
        <v>176.2</v>
      </c>
      <c r="AZ347">
        <v>170.8</v>
      </c>
      <c r="BB347">
        <v>173.1</v>
      </c>
      <c r="BD347">
        <v>176.4</v>
      </c>
    </row>
    <row r="348" spans="1:56">
      <c r="A348" t="s">
        <v>33</v>
      </c>
      <c r="B348">
        <v>2022</v>
      </c>
      <c r="C348" t="s">
        <v>42</v>
      </c>
      <c r="D348">
        <v>164.9</v>
      </c>
      <c r="F348">
        <v>213.7</v>
      </c>
      <c r="H348">
        <v>170.9</v>
      </c>
      <c r="J348">
        <v>170.1</v>
      </c>
      <c r="L348">
        <v>179.3</v>
      </c>
      <c r="N348">
        <v>167.5</v>
      </c>
      <c r="P348">
        <v>220.8</v>
      </c>
      <c r="R348">
        <v>169.2</v>
      </c>
      <c r="T348">
        <v>123.1</v>
      </c>
      <c r="V348">
        <v>193.6</v>
      </c>
      <c r="X348">
        <v>161.1</v>
      </c>
      <c r="Z348">
        <v>190.4</v>
      </c>
      <c r="AB348">
        <v>181.8</v>
      </c>
      <c r="AD348">
        <v>199.7</v>
      </c>
      <c r="AF348">
        <v>175</v>
      </c>
      <c r="AH348">
        <v>161.69999999999999</v>
      </c>
      <c r="AJ348">
        <v>173</v>
      </c>
      <c r="AL348">
        <v>169.5</v>
      </c>
      <c r="AN348">
        <v>179.2</v>
      </c>
      <c r="AP348">
        <v>165</v>
      </c>
      <c r="AR348">
        <v>173.8</v>
      </c>
      <c r="AT348">
        <v>158.19999999999999</v>
      </c>
      <c r="AV348">
        <v>165.8</v>
      </c>
      <c r="AX348">
        <v>170.9</v>
      </c>
      <c r="AZ348">
        <v>171.1</v>
      </c>
      <c r="BB348">
        <v>166.1</v>
      </c>
      <c r="BD348">
        <v>174.1</v>
      </c>
    </row>
    <row r="349" spans="1:56" hidden="1">
      <c r="A349" t="s">
        <v>34</v>
      </c>
      <c r="B349">
        <v>2022</v>
      </c>
      <c r="C349" t="s">
        <v>42</v>
      </c>
      <c r="D349">
        <v>163.5</v>
      </c>
      <c r="F349">
        <v>209.2</v>
      </c>
      <c r="H349">
        <v>169.7</v>
      </c>
      <c r="J349">
        <v>169.7</v>
      </c>
      <c r="L349">
        <v>188.7</v>
      </c>
      <c r="N349">
        <v>165.7</v>
      </c>
      <c r="P349">
        <v>191.8</v>
      </c>
      <c r="R349">
        <v>169.1</v>
      </c>
      <c r="T349">
        <v>121.6</v>
      </c>
      <c r="V349">
        <v>197.3</v>
      </c>
      <c r="X349">
        <v>169.4</v>
      </c>
      <c r="Z349">
        <v>187.4</v>
      </c>
      <c r="AB349">
        <v>177.8</v>
      </c>
      <c r="AD349">
        <v>195.9</v>
      </c>
      <c r="AF349">
        <v>180.9</v>
      </c>
      <c r="AH349">
        <v>174.3</v>
      </c>
      <c r="AJ349">
        <v>179.9</v>
      </c>
      <c r="AL349">
        <v>169.5</v>
      </c>
      <c r="AN349">
        <v>179.5</v>
      </c>
      <c r="AP349">
        <v>169.5</v>
      </c>
      <c r="AR349">
        <v>177.8</v>
      </c>
      <c r="AT349">
        <v>162.30000000000001</v>
      </c>
      <c r="AV349">
        <v>167.6</v>
      </c>
      <c r="AX349">
        <v>173.1</v>
      </c>
      <c r="AZ349">
        <v>170.9</v>
      </c>
      <c r="BB349">
        <v>169.7</v>
      </c>
      <c r="BD349">
        <v>175.3</v>
      </c>
    </row>
    <row r="350" spans="1:56" hidden="1">
      <c r="A350" t="s">
        <v>30</v>
      </c>
      <c r="B350">
        <v>2022</v>
      </c>
      <c r="C350" t="s">
        <v>43</v>
      </c>
      <c r="D350">
        <v>164.7</v>
      </c>
      <c r="F350">
        <v>208.8</v>
      </c>
      <c r="H350">
        <v>170.3</v>
      </c>
      <c r="J350">
        <v>170.9</v>
      </c>
      <c r="L350">
        <v>191.6</v>
      </c>
      <c r="N350">
        <v>162.19999999999999</v>
      </c>
      <c r="P350">
        <v>184.8</v>
      </c>
      <c r="R350">
        <v>169.7</v>
      </c>
      <c r="T350">
        <v>121.1</v>
      </c>
      <c r="V350">
        <v>201.6</v>
      </c>
      <c r="X350">
        <v>175.8</v>
      </c>
      <c r="Z350">
        <v>185.6</v>
      </c>
      <c r="AB350">
        <v>177.4</v>
      </c>
      <c r="AD350">
        <v>194.9</v>
      </c>
      <c r="AF350">
        <v>186.1</v>
      </c>
      <c r="AH350">
        <v>184.4</v>
      </c>
      <c r="AJ350">
        <v>185.9</v>
      </c>
      <c r="AL350" t="s">
        <v>32</v>
      </c>
      <c r="AN350">
        <v>180.8</v>
      </c>
      <c r="AP350">
        <v>174.4</v>
      </c>
      <c r="AR350">
        <v>181.2</v>
      </c>
      <c r="AT350">
        <v>167.4</v>
      </c>
      <c r="AV350">
        <v>170.6</v>
      </c>
      <c r="AX350">
        <v>176.5</v>
      </c>
      <c r="AZ350">
        <v>172</v>
      </c>
      <c r="BB350">
        <v>173.9</v>
      </c>
      <c r="BD350">
        <v>177.9</v>
      </c>
    </row>
    <row r="351" spans="1:56">
      <c r="A351" t="s">
        <v>33</v>
      </c>
      <c r="B351">
        <v>2022</v>
      </c>
      <c r="C351" t="s">
        <v>43</v>
      </c>
      <c r="D351">
        <v>166.4</v>
      </c>
      <c r="F351">
        <v>214.9</v>
      </c>
      <c r="H351">
        <v>171.9</v>
      </c>
      <c r="J351">
        <v>171</v>
      </c>
      <c r="L351">
        <v>177.7</v>
      </c>
      <c r="N351">
        <v>165.7</v>
      </c>
      <c r="P351">
        <v>228.6</v>
      </c>
      <c r="R351">
        <v>169.9</v>
      </c>
      <c r="T351">
        <v>123.4</v>
      </c>
      <c r="V351">
        <v>196.4</v>
      </c>
      <c r="X351">
        <v>161.6</v>
      </c>
      <c r="Z351">
        <v>191.5</v>
      </c>
      <c r="AB351">
        <v>183.3</v>
      </c>
      <c r="AD351">
        <v>200.1</v>
      </c>
      <c r="AF351">
        <v>175.5</v>
      </c>
      <c r="AH351">
        <v>162.6</v>
      </c>
      <c r="AJ351">
        <v>173.6</v>
      </c>
      <c r="AL351">
        <v>171.2</v>
      </c>
      <c r="AN351">
        <v>180</v>
      </c>
      <c r="AP351">
        <v>166</v>
      </c>
      <c r="AR351">
        <v>174.7</v>
      </c>
      <c r="AT351">
        <v>158.80000000000001</v>
      </c>
      <c r="AV351">
        <v>166.3</v>
      </c>
      <c r="AX351">
        <v>171.2</v>
      </c>
      <c r="AZ351">
        <v>172.3</v>
      </c>
      <c r="BB351">
        <v>166.8</v>
      </c>
      <c r="BD351">
        <v>175.3</v>
      </c>
    </row>
    <row r="352" spans="1:56" hidden="1">
      <c r="A352" t="s">
        <v>34</v>
      </c>
      <c r="B352">
        <v>2022</v>
      </c>
      <c r="C352" t="s">
        <v>43</v>
      </c>
      <c r="D352">
        <v>165.2</v>
      </c>
      <c r="F352">
        <v>210.9</v>
      </c>
      <c r="H352">
        <v>170.9</v>
      </c>
      <c r="J352">
        <v>170.9</v>
      </c>
      <c r="L352">
        <v>186.5</v>
      </c>
      <c r="N352">
        <v>163.80000000000001</v>
      </c>
      <c r="P352">
        <v>199.7</v>
      </c>
      <c r="R352">
        <v>169.8</v>
      </c>
      <c r="T352">
        <v>121.9</v>
      </c>
      <c r="V352">
        <v>199.9</v>
      </c>
      <c r="X352">
        <v>169.9</v>
      </c>
      <c r="Z352">
        <v>188.3</v>
      </c>
      <c r="AB352">
        <v>179.6</v>
      </c>
      <c r="AD352">
        <v>196.3</v>
      </c>
      <c r="AF352">
        <v>181.9</v>
      </c>
      <c r="AH352">
        <v>175.3</v>
      </c>
      <c r="AJ352">
        <v>181</v>
      </c>
      <c r="AL352">
        <v>171.2</v>
      </c>
      <c r="AN352">
        <v>180.5</v>
      </c>
      <c r="AP352">
        <v>170.4</v>
      </c>
      <c r="AR352">
        <v>178.7</v>
      </c>
      <c r="AT352">
        <v>162.9</v>
      </c>
      <c r="AV352">
        <v>168.2</v>
      </c>
      <c r="AX352">
        <v>173.4</v>
      </c>
      <c r="AZ352">
        <v>172.1</v>
      </c>
      <c r="BB352">
        <v>170.5</v>
      </c>
      <c r="BD352">
        <v>176.7</v>
      </c>
    </row>
    <row r="353" spans="1:56" hidden="1">
      <c r="A353" t="s">
        <v>30</v>
      </c>
      <c r="B353">
        <v>2022</v>
      </c>
      <c r="C353" t="s">
        <v>45</v>
      </c>
      <c r="D353">
        <v>166.9</v>
      </c>
      <c r="F353">
        <v>207.2</v>
      </c>
      <c r="H353">
        <v>180.2</v>
      </c>
      <c r="J353">
        <v>172.3</v>
      </c>
      <c r="L353">
        <v>194</v>
      </c>
      <c r="N353">
        <v>159.1</v>
      </c>
      <c r="P353">
        <v>171.6</v>
      </c>
      <c r="R353">
        <v>170.2</v>
      </c>
      <c r="T353">
        <v>121.5</v>
      </c>
      <c r="V353">
        <v>204.8</v>
      </c>
      <c r="X353">
        <v>176.4</v>
      </c>
      <c r="Z353">
        <v>186.9</v>
      </c>
      <c r="AB353">
        <v>176.6</v>
      </c>
      <c r="AD353">
        <v>195.5</v>
      </c>
      <c r="AF353">
        <v>187.2</v>
      </c>
      <c r="AH353">
        <v>185.2</v>
      </c>
      <c r="AJ353">
        <v>186.9</v>
      </c>
      <c r="AL353" t="s">
        <v>32</v>
      </c>
      <c r="AN353">
        <v>181.9</v>
      </c>
      <c r="AP353">
        <v>175.5</v>
      </c>
      <c r="AR353">
        <v>182.3</v>
      </c>
      <c r="AT353">
        <v>167.5</v>
      </c>
      <c r="AV353">
        <v>170.8</v>
      </c>
      <c r="AX353">
        <v>176.9</v>
      </c>
      <c r="AZ353">
        <v>173.4</v>
      </c>
      <c r="BB353">
        <v>174.6</v>
      </c>
      <c r="BD353">
        <v>177.8</v>
      </c>
    </row>
    <row r="354" spans="1:56">
      <c r="A354" t="s">
        <v>33</v>
      </c>
      <c r="B354">
        <v>2022</v>
      </c>
      <c r="C354" t="s">
        <v>45</v>
      </c>
      <c r="D354">
        <v>168.4</v>
      </c>
      <c r="F354">
        <v>213.4</v>
      </c>
      <c r="H354">
        <v>183.2</v>
      </c>
      <c r="J354">
        <v>172.3</v>
      </c>
      <c r="L354">
        <v>180</v>
      </c>
      <c r="N354">
        <v>162.6</v>
      </c>
      <c r="P354">
        <v>205.5</v>
      </c>
      <c r="R354">
        <v>171</v>
      </c>
      <c r="T354">
        <v>123.4</v>
      </c>
      <c r="V354">
        <v>198.8</v>
      </c>
      <c r="X354">
        <v>162.1</v>
      </c>
      <c r="Z354">
        <v>192.4</v>
      </c>
      <c r="AB354">
        <v>181.3</v>
      </c>
      <c r="AD354">
        <v>200.6</v>
      </c>
      <c r="AF354">
        <v>176.7</v>
      </c>
      <c r="AH354">
        <v>163.5</v>
      </c>
      <c r="AJ354">
        <v>174.7</v>
      </c>
      <c r="AL354">
        <v>171.8</v>
      </c>
      <c r="AN354">
        <v>180.3</v>
      </c>
      <c r="AP354">
        <v>166.9</v>
      </c>
      <c r="AR354">
        <v>175.8</v>
      </c>
      <c r="AT354">
        <v>158.9</v>
      </c>
      <c r="AV354">
        <v>166.7</v>
      </c>
      <c r="AX354">
        <v>171.5</v>
      </c>
      <c r="AZ354">
        <v>173.8</v>
      </c>
      <c r="BB354">
        <v>167.4</v>
      </c>
      <c r="BD354">
        <v>174.1</v>
      </c>
    </row>
    <row r="355" spans="1:56" hidden="1">
      <c r="A355" t="s">
        <v>34</v>
      </c>
      <c r="B355">
        <v>2022</v>
      </c>
      <c r="C355" t="s">
        <v>45</v>
      </c>
      <c r="D355">
        <v>167.4</v>
      </c>
      <c r="F355">
        <v>209.4</v>
      </c>
      <c r="H355">
        <v>181.4</v>
      </c>
      <c r="J355">
        <v>172.3</v>
      </c>
      <c r="L355">
        <v>188.9</v>
      </c>
      <c r="N355">
        <v>160.69999999999999</v>
      </c>
      <c r="P355">
        <v>183.1</v>
      </c>
      <c r="R355">
        <v>170.5</v>
      </c>
      <c r="T355">
        <v>122.1</v>
      </c>
      <c r="V355">
        <v>202.8</v>
      </c>
      <c r="X355">
        <v>170.4</v>
      </c>
      <c r="Z355">
        <v>189.5</v>
      </c>
      <c r="AB355">
        <v>178.3</v>
      </c>
      <c r="AD355">
        <v>196.9</v>
      </c>
      <c r="AF355">
        <v>183.1</v>
      </c>
      <c r="AH355">
        <v>176.2</v>
      </c>
      <c r="AJ355">
        <v>182.1</v>
      </c>
      <c r="AL355">
        <v>171.8</v>
      </c>
      <c r="AN355">
        <v>181.3</v>
      </c>
      <c r="AP355">
        <v>171.4</v>
      </c>
      <c r="AR355">
        <v>179.8</v>
      </c>
      <c r="AT355">
        <v>163</v>
      </c>
      <c r="AV355">
        <v>168.5</v>
      </c>
      <c r="AX355">
        <v>173.7</v>
      </c>
      <c r="AZ355">
        <v>173.6</v>
      </c>
      <c r="BB355">
        <v>171.1</v>
      </c>
      <c r="BD355">
        <v>176.5</v>
      </c>
    </row>
    <row r="356" spans="1:56" hidden="1">
      <c r="A356" t="s">
        <v>30</v>
      </c>
      <c r="B356">
        <v>2022</v>
      </c>
      <c r="C356" t="s">
        <v>46</v>
      </c>
      <c r="D356">
        <v>168.8</v>
      </c>
      <c r="F356">
        <v>206.9</v>
      </c>
      <c r="H356">
        <v>189.1</v>
      </c>
      <c r="J356">
        <v>173.4</v>
      </c>
      <c r="L356">
        <v>193.9</v>
      </c>
      <c r="N356">
        <v>156.69999999999999</v>
      </c>
      <c r="P356">
        <v>150.19999999999999</v>
      </c>
      <c r="R356">
        <v>170.5</v>
      </c>
      <c r="T356">
        <v>121.2</v>
      </c>
      <c r="V356">
        <v>207.5</v>
      </c>
      <c r="X356">
        <v>176.8</v>
      </c>
      <c r="Z356">
        <v>187.7</v>
      </c>
      <c r="AB356">
        <v>174.4</v>
      </c>
      <c r="AD356">
        <v>195.9</v>
      </c>
      <c r="AF356">
        <v>188.1</v>
      </c>
      <c r="AH356">
        <v>185.9</v>
      </c>
      <c r="AJ356">
        <v>187.8</v>
      </c>
      <c r="AL356" t="s">
        <v>32</v>
      </c>
      <c r="AN356">
        <v>182.8</v>
      </c>
      <c r="AP356">
        <v>176.4</v>
      </c>
      <c r="AR356">
        <v>183.5</v>
      </c>
      <c r="AT356">
        <v>167.8</v>
      </c>
      <c r="AV356">
        <v>171.2</v>
      </c>
      <c r="AX356">
        <v>177.3</v>
      </c>
      <c r="AZ356">
        <v>175.7</v>
      </c>
      <c r="BB356">
        <v>175.5</v>
      </c>
      <c r="BD356">
        <v>177.1</v>
      </c>
    </row>
    <row r="357" spans="1:56">
      <c r="A357" t="s">
        <v>33</v>
      </c>
      <c r="B357">
        <v>2022</v>
      </c>
      <c r="C357" t="s">
        <v>46</v>
      </c>
      <c r="D357">
        <v>170.2</v>
      </c>
      <c r="F357">
        <v>212.9</v>
      </c>
      <c r="H357">
        <v>191.9</v>
      </c>
      <c r="J357">
        <v>173.9</v>
      </c>
      <c r="L357">
        <v>179.1</v>
      </c>
      <c r="N357">
        <v>159.5</v>
      </c>
      <c r="P357">
        <v>178.7</v>
      </c>
      <c r="R357">
        <v>171.3</v>
      </c>
      <c r="T357">
        <v>123.1</v>
      </c>
      <c r="V357">
        <v>200.5</v>
      </c>
      <c r="X357">
        <v>162.80000000000001</v>
      </c>
      <c r="Z357">
        <v>193.3</v>
      </c>
      <c r="AB357">
        <v>178.6</v>
      </c>
      <c r="AD357">
        <v>201.1</v>
      </c>
      <c r="AF357">
        <v>177.7</v>
      </c>
      <c r="AH357">
        <v>164.5</v>
      </c>
      <c r="AJ357">
        <v>175.7</v>
      </c>
      <c r="AL357">
        <v>170.7</v>
      </c>
      <c r="AN357">
        <v>180.6</v>
      </c>
      <c r="AP357">
        <v>167.3</v>
      </c>
      <c r="AR357">
        <v>177.2</v>
      </c>
      <c r="AT357">
        <v>159.4</v>
      </c>
      <c r="AV357">
        <v>167.1</v>
      </c>
      <c r="AX357">
        <v>171.8</v>
      </c>
      <c r="AZ357">
        <v>176</v>
      </c>
      <c r="BB357">
        <v>168.2</v>
      </c>
      <c r="BD357">
        <v>174.1</v>
      </c>
    </row>
    <row r="358" spans="1:56" hidden="1">
      <c r="A358" t="s">
        <v>34</v>
      </c>
      <c r="B358">
        <v>2022</v>
      </c>
      <c r="C358" t="s">
        <v>46</v>
      </c>
      <c r="D358">
        <v>169.2</v>
      </c>
      <c r="F358">
        <v>209</v>
      </c>
      <c r="H358">
        <v>190.2</v>
      </c>
      <c r="J358">
        <v>173.6</v>
      </c>
      <c r="L358">
        <v>188.5</v>
      </c>
      <c r="N358">
        <v>158</v>
      </c>
      <c r="P358">
        <v>159.9</v>
      </c>
      <c r="R358">
        <v>170.8</v>
      </c>
      <c r="T358">
        <v>121.8</v>
      </c>
      <c r="V358">
        <v>205.2</v>
      </c>
      <c r="X358">
        <v>171</v>
      </c>
      <c r="Z358">
        <v>190.3</v>
      </c>
      <c r="AB358">
        <v>175.9</v>
      </c>
      <c r="AD358">
        <v>197.3</v>
      </c>
      <c r="AF358">
        <v>184</v>
      </c>
      <c r="AH358">
        <v>177</v>
      </c>
      <c r="AJ358">
        <v>183</v>
      </c>
      <c r="AL358">
        <v>170.7</v>
      </c>
      <c r="AN358">
        <v>182</v>
      </c>
      <c r="AP358">
        <v>172.1</v>
      </c>
      <c r="AR358">
        <v>181.1</v>
      </c>
      <c r="AT358">
        <v>163.4</v>
      </c>
      <c r="AV358">
        <v>168.9</v>
      </c>
      <c r="AX358">
        <v>174.1</v>
      </c>
      <c r="AZ358">
        <v>175.8</v>
      </c>
      <c r="BB358">
        <v>172</v>
      </c>
      <c r="BD358">
        <v>175.7</v>
      </c>
    </row>
    <row r="359" spans="1:56" hidden="1">
      <c r="A359" t="s">
        <v>30</v>
      </c>
      <c r="B359">
        <v>2023</v>
      </c>
      <c r="C359" t="s">
        <v>31</v>
      </c>
      <c r="D359">
        <v>174</v>
      </c>
      <c r="F359">
        <v>208.3</v>
      </c>
      <c r="H359">
        <v>192.9</v>
      </c>
      <c r="J359">
        <v>174.3</v>
      </c>
      <c r="L359">
        <v>192.6</v>
      </c>
      <c r="N359">
        <v>156.30000000000001</v>
      </c>
      <c r="P359">
        <v>142.9</v>
      </c>
      <c r="R359">
        <v>170.7</v>
      </c>
      <c r="T359">
        <v>120.3</v>
      </c>
      <c r="V359">
        <v>210.5</v>
      </c>
      <c r="X359">
        <v>176.9</v>
      </c>
      <c r="Z359">
        <v>188.5</v>
      </c>
      <c r="AB359">
        <v>175</v>
      </c>
      <c r="AD359">
        <v>196.9</v>
      </c>
      <c r="AF359">
        <v>189</v>
      </c>
      <c r="AH359">
        <v>186.3</v>
      </c>
      <c r="AJ359">
        <v>188.6</v>
      </c>
      <c r="AL359" t="s">
        <v>32</v>
      </c>
      <c r="AN359">
        <v>183.2</v>
      </c>
      <c r="AP359">
        <v>177.2</v>
      </c>
      <c r="AR359">
        <v>184.7</v>
      </c>
      <c r="AT359">
        <v>168.2</v>
      </c>
      <c r="AV359">
        <v>171.8</v>
      </c>
      <c r="AX359">
        <v>177.8</v>
      </c>
      <c r="AZ359">
        <v>178.4</v>
      </c>
      <c r="BB359">
        <v>176.5</v>
      </c>
      <c r="BD359">
        <v>177.8</v>
      </c>
    </row>
    <row r="360" spans="1:56">
      <c r="A360" t="s">
        <v>33</v>
      </c>
      <c r="B360">
        <v>2023</v>
      </c>
      <c r="C360" t="s">
        <v>31</v>
      </c>
      <c r="D360">
        <v>173.3</v>
      </c>
      <c r="F360">
        <v>215.2</v>
      </c>
      <c r="H360">
        <v>197</v>
      </c>
      <c r="J360">
        <v>175.2</v>
      </c>
      <c r="L360">
        <v>178</v>
      </c>
      <c r="N360">
        <v>160.5</v>
      </c>
      <c r="P360">
        <v>175.3</v>
      </c>
      <c r="R360">
        <v>171.2</v>
      </c>
      <c r="T360">
        <v>122.7</v>
      </c>
      <c r="V360">
        <v>204.3</v>
      </c>
      <c r="X360">
        <v>163.69999999999999</v>
      </c>
      <c r="Z360">
        <v>194.3</v>
      </c>
      <c r="AB360">
        <v>179.5</v>
      </c>
      <c r="AD360">
        <v>201.6</v>
      </c>
      <c r="AF360">
        <v>178.7</v>
      </c>
      <c r="AH360">
        <v>165.3</v>
      </c>
      <c r="AJ360">
        <v>176.6</v>
      </c>
      <c r="AL360">
        <v>172.1</v>
      </c>
      <c r="AN360">
        <v>180.1</v>
      </c>
      <c r="AP360">
        <v>168</v>
      </c>
      <c r="AR360">
        <v>178.5</v>
      </c>
      <c r="AT360">
        <v>159.5</v>
      </c>
      <c r="AV360">
        <v>167.8</v>
      </c>
      <c r="AX360">
        <v>171.8</v>
      </c>
      <c r="AZ360">
        <v>178.8</v>
      </c>
      <c r="BB360">
        <v>168.9</v>
      </c>
      <c r="BD360">
        <v>174.9</v>
      </c>
    </row>
    <row r="361" spans="1:56" hidden="1">
      <c r="A361" t="s">
        <v>34</v>
      </c>
      <c r="B361">
        <v>2023</v>
      </c>
      <c r="C361" t="s">
        <v>31</v>
      </c>
      <c r="D361">
        <v>173.8</v>
      </c>
      <c r="F361">
        <v>210.7</v>
      </c>
      <c r="H361">
        <v>194.5</v>
      </c>
      <c r="J361">
        <v>174.6</v>
      </c>
      <c r="L361">
        <v>187.2</v>
      </c>
      <c r="N361">
        <v>158.30000000000001</v>
      </c>
      <c r="P361">
        <v>153.9</v>
      </c>
      <c r="R361">
        <v>170.9</v>
      </c>
      <c r="T361">
        <v>121.1</v>
      </c>
      <c r="V361">
        <v>208.4</v>
      </c>
      <c r="X361">
        <v>171.4</v>
      </c>
      <c r="Z361">
        <v>191.2</v>
      </c>
      <c r="AB361">
        <v>176.7</v>
      </c>
      <c r="AD361">
        <v>198.2</v>
      </c>
      <c r="AF361">
        <v>184.9</v>
      </c>
      <c r="AH361">
        <v>177.6</v>
      </c>
      <c r="AJ361">
        <v>183.8</v>
      </c>
      <c r="AL361">
        <v>172.1</v>
      </c>
      <c r="AN361">
        <v>182</v>
      </c>
      <c r="AP361">
        <v>172.9</v>
      </c>
      <c r="AR361">
        <v>182.3</v>
      </c>
      <c r="AT361">
        <v>163.6</v>
      </c>
      <c r="AV361">
        <v>169.5</v>
      </c>
      <c r="AX361">
        <v>174.3</v>
      </c>
      <c r="AZ361">
        <v>178.6</v>
      </c>
      <c r="BB361">
        <v>172.8</v>
      </c>
      <c r="BD361">
        <v>176.5</v>
      </c>
    </row>
    <row r="362" spans="1:56" hidden="1">
      <c r="A362" t="s">
        <v>30</v>
      </c>
      <c r="B362">
        <v>2023</v>
      </c>
      <c r="C362" t="s">
        <v>35</v>
      </c>
      <c r="D362">
        <v>174.2</v>
      </c>
      <c r="F362">
        <v>205.2</v>
      </c>
      <c r="H362">
        <v>173.9</v>
      </c>
      <c r="J362">
        <v>177</v>
      </c>
      <c r="L362">
        <v>183.4</v>
      </c>
      <c r="N362">
        <v>167.2</v>
      </c>
      <c r="P362">
        <v>140.9</v>
      </c>
      <c r="R362">
        <v>170.4</v>
      </c>
      <c r="T362">
        <v>119.1</v>
      </c>
      <c r="V362">
        <v>212.1</v>
      </c>
      <c r="X362">
        <v>177.6</v>
      </c>
      <c r="Z362">
        <v>189.9</v>
      </c>
      <c r="AB362">
        <v>174.8</v>
      </c>
      <c r="AD362">
        <v>198.3</v>
      </c>
      <c r="AF362">
        <v>190</v>
      </c>
      <c r="AH362">
        <v>187</v>
      </c>
      <c r="AJ362">
        <v>189.6</v>
      </c>
      <c r="AL362" t="s">
        <v>32</v>
      </c>
      <c r="AN362">
        <v>181.6</v>
      </c>
      <c r="AP362">
        <v>178.6</v>
      </c>
      <c r="AR362">
        <v>186.6</v>
      </c>
      <c r="AT362">
        <v>169</v>
      </c>
      <c r="AV362">
        <v>172.8</v>
      </c>
      <c r="AX362">
        <v>178.5</v>
      </c>
      <c r="AZ362">
        <v>180.7</v>
      </c>
      <c r="BB362">
        <v>177.9</v>
      </c>
      <c r="BD362">
        <v>178</v>
      </c>
    </row>
    <row r="363" spans="1:56">
      <c r="A363" t="s">
        <v>33</v>
      </c>
      <c r="B363">
        <v>2023</v>
      </c>
      <c r="C363" t="s">
        <v>35</v>
      </c>
      <c r="D363">
        <v>174.7</v>
      </c>
      <c r="F363">
        <v>212.2</v>
      </c>
      <c r="H363">
        <v>177.2</v>
      </c>
      <c r="J363">
        <v>177.9</v>
      </c>
      <c r="L363">
        <v>172.2</v>
      </c>
      <c r="N363">
        <v>172.1</v>
      </c>
      <c r="P363">
        <v>175.8</v>
      </c>
      <c r="R363">
        <v>172.2</v>
      </c>
      <c r="T363">
        <v>121.9</v>
      </c>
      <c r="V363">
        <v>204.8</v>
      </c>
      <c r="X363">
        <v>164.9</v>
      </c>
      <c r="Z363">
        <v>196.6</v>
      </c>
      <c r="AB363">
        <v>180.7</v>
      </c>
      <c r="AD363">
        <v>202.7</v>
      </c>
      <c r="AF363">
        <v>180.3</v>
      </c>
      <c r="AH363">
        <v>167</v>
      </c>
      <c r="AJ363">
        <v>178.2</v>
      </c>
      <c r="AL363">
        <v>173.5</v>
      </c>
      <c r="AN363">
        <v>182.8</v>
      </c>
      <c r="AP363">
        <v>169.2</v>
      </c>
      <c r="AR363">
        <v>180.8</v>
      </c>
      <c r="AT363">
        <v>159.80000000000001</v>
      </c>
      <c r="AV363">
        <v>168.4</v>
      </c>
      <c r="AX363">
        <v>172.5</v>
      </c>
      <c r="AZ363">
        <v>181.4</v>
      </c>
      <c r="BB363">
        <v>170</v>
      </c>
      <c r="BD363">
        <v>176.3</v>
      </c>
    </row>
    <row r="364" spans="1:56" hidden="1">
      <c r="A364" t="s">
        <v>34</v>
      </c>
      <c r="B364">
        <v>2023</v>
      </c>
      <c r="C364" t="s">
        <v>35</v>
      </c>
      <c r="D364">
        <v>174.4</v>
      </c>
      <c r="F364">
        <v>207.7</v>
      </c>
      <c r="H364">
        <v>175.2</v>
      </c>
      <c r="J364">
        <v>177.3</v>
      </c>
      <c r="L364">
        <v>179.3</v>
      </c>
      <c r="N364">
        <v>169.5</v>
      </c>
      <c r="P364">
        <v>152.69999999999999</v>
      </c>
      <c r="R364">
        <v>171</v>
      </c>
      <c r="T364">
        <v>120</v>
      </c>
      <c r="V364">
        <v>209.7</v>
      </c>
      <c r="X364">
        <v>172.3</v>
      </c>
      <c r="Z364">
        <v>193</v>
      </c>
      <c r="AB364">
        <v>177</v>
      </c>
      <c r="AD364">
        <v>199.5</v>
      </c>
      <c r="AF364">
        <v>186.2</v>
      </c>
      <c r="AH364">
        <v>178.7</v>
      </c>
      <c r="AJ364">
        <v>185.1</v>
      </c>
      <c r="AL364">
        <v>173.5</v>
      </c>
      <c r="AN364">
        <v>182.1</v>
      </c>
      <c r="AP364">
        <v>174.2</v>
      </c>
      <c r="AR364">
        <v>184.4</v>
      </c>
      <c r="AT364">
        <v>164.2</v>
      </c>
      <c r="AV364">
        <v>170.3</v>
      </c>
      <c r="AX364">
        <v>175</v>
      </c>
      <c r="AZ364">
        <v>181</v>
      </c>
      <c r="BB364">
        <v>174.1</v>
      </c>
      <c r="BD364">
        <v>177.2</v>
      </c>
    </row>
    <row r="365" spans="1:56" hidden="1">
      <c r="A365" t="s">
        <v>30</v>
      </c>
      <c r="B365">
        <v>2023</v>
      </c>
      <c r="C365" t="s">
        <v>36</v>
      </c>
      <c r="D365">
        <v>174.3</v>
      </c>
      <c r="F365">
        <v>205.2</v>
      </c>
      <c r="H365">
        <v>173.9</v>
      </c>
      <c r="J365">
        <v>177</v>
      </c>
      <c r="L365">
        <v>183.3</v>
      </c>
      <c r="N365">
        <v>167.2</v>
      </c>
      <c r="P365">
        <v>140.9</v>
      </c>
      <c r="R365">
        <v>170.5</v>
      </c>
      <c r="T365">
        <v>119.1</v>
      </c>
      <c r="V365">
        <v>212.1</v>
      </c>
      <c r="X365">
        <v>177.6</v>
      </c>
      <c r="Z365">
        <v>189.9</v>
      </c>
      <c r="AB365">
        <v>174.8</v>
      </c>
      <c r="AD365">
        <v>198.4</v>
      </c>
      <c r="AF365">
        <v>190</v>
      </c>
      <c r="AH365">
        <v>187</v>
      </c>
      <c r="AJ365">
        <v>189.6</v>
      </c>
      <c r="AL365" t="s">
        <v>32</v>
      </c>
      <c r="AN365">
        <v>181.4</v>
      </c>
      <c r="AP365">
        <v>178.6</v>
      </c>
      <c r="AR365">
        <v>186.6</v>
      </c>
      <c r="AT365">
        <v>169</v>
      </c>
      <c r="AV365">
        <v>172.8</v>
      </c>
      <c r="AX365">
        <v>178.5</v>
      </c>
      <c r="AZ365">
        <v>180.7</v>
      </c>
      <c r="BB365">
        <v>177.9</v>
      </c>
      <c r="BD365">
        <v>178</v>
      </c>
    </row>
    <row r="366" spans="1:56">
      <c r="A366" t="s">
        <v>33</v>
      </c>
      <c r="B366">
        <v>2023</v>
      </c>
      <c r="C366" t="s">
        <v>36</v>
      </c>
      <c r="D366">
        <v>174.7</v>
      </c>
      <c r="F366">
        <v>212.2</v>
      </c>
      <c r="H366">
        <v>177.2</v>
      </c>
      <c r="J366">
        <v>177.9</v>
      </c>
      <c r="L366">
        <v>172.2</v>
      </c>
      <c r="N366">
        <v>172.1</v>
      </c>
      <c r="P366">
        <v>175.9</v>
      </c>
      <c r="R366">
        <v>172.2</v>
      </c>
      <c r="T366">
        <v>121.9</v>
      </c>
      <c r="V366">
        <v>204.8</v>
      </c>
      <c r="X366">
        <v>164.9</v>
      </c>
      <c r="Z366">
        <v>196.6</v>
      </c>
      <c r="AB366">
        <v>180.8</v>
      </c>
      <c r="AD366">
        <v>202.7</v>
      </c>
      <c r="AF366">
        <v>180.2</v>
      </c>
      <c r="AH366">
        <v>167</v>
      </c>
      <c r="AJ366">
        <v>178.2</v>
      </c>
      <c r="AL366">
        <v>173.5</v>
      </c>
      <c r="AN366">
        <v>182.6</v>
      </c>
      <c r="AP366">
        <v>169.2</v>
      </c>
      <c r="AR366">
        <v>180.8</v>
      </c>
      <c r="AT366">
        <v>159.80000000000001</v>
      </c>
      <c r="AV366">
        <v>168.4</v>
      </c>
      <c r="AX366">
        <v>172.5</v>
      </c>
      <c r="AZ366">
        <v>181.5</v>
      </c>
      <c r="BB366">
        <v>170</v>
      </c>
      <c r="BD366">
        <v>176.3</v>
      </c>
    </row>
    <row r="367" spans="1:56" hidden="1">
      <c r="A367" t="s">
        <v>34</v>
      </c>
      <c r="B367">
        <v>2023</v>
      </c>
      <c r="C367" t="s">
        <v>36</v>
      </c>
      <c r="D367">
        <v>174.4</v>
      </c>
      <c r="F367">
        <v>207.7</v>
      </c>
      <c r="H367">
        <v>175.2</v>
      </c>
      <c r="J367">
        <v>177.3</v>
      </c>
      <c r="L367">
        <v>179.2</v>
      </c>
      <c r="N367">
        <v>169.5</v>
      </c>
      <c r="P367">
        <v>152.80000000000001</v>
      </c>
      <c r="R367">
        <v>171.1</v>
      </c>
      <c r="T367">
        <v>120</v>
      </c>
      <c r="V367">
        <v>209.7</v>
      </c>
      <c r="X367">
        <v>172.3</v>
      </c>
      <c r="Z367">
        <v>193</v>
      </c>
      <c r="AB367">
        <v>177</v>
      </c>
      <c r="AD367">
        <v>199.5</v>
      </c>
      <c r="AF367">
        <v>186.1</v>
      </c>
      <c r="AH367">
        <v>178.7</v>
      </c>
      <c r="AJ367">
        <v>185.1</v>
      </c>
      <c r="AL367">
        <v>173.5</v>
      </c>
      <c r="AN367">
        <v>181.9</v>
      </c>
      <c r="AP367">
        <v>174.2</v>
      </c>
      <c r="AR367">
        <v>184.4</v>
      </c>
      <c r="AT367">
        <v>164.2</v>
      </c>
      <c r="AV367">
        <v>170.3</v>
      </c>
      <c r="AX367">
        <v>175</v>
      </c>
      <c r="AZ367">
        <v>181</v>
      </c>
      <c r="BB367">
        <v>174.1</v>
      </c>
      <c r="BD367">
        <v>177.2</v>
      </c>
    </row>
    <row r="368" spans="1:56" hidden="1">
      <c r="A368" t="s">
        <v>30</v>
      </c>
      <c r="B368">
        <v>2023</v>
      </c>
      <c r="C368" t="s">
        <v>37</v>
      </c>
      <c r="D368">
        <v>173.3</v>
      </c>
      <c r="F368">
        <v>206.9</v>
      </c>
      <c r="H368">
        <v>167.9</v>
      </c>
      <c r="J368">
        <v>178.2</v>
      </c>
      <c r="L368">
        <v>178.5</v>
      </c>
      <c r="N368">
        <v>173.7</v>
      </c>
      <c r="P368">
        <v>142.80000000000001</v>
      </c>
      <c r="R368">
        <v>172.8</v>
      </c>
      <c r="T368">
        <v>120.4</v>
      </c>
      <c r="V368">
        <v>215.5</v>
      </c>
      <c r="X368">
        <v>178.2</v>
      </c>
      <c r="Z368">
        <v>190.5</v>
      </c>
      <c r="AB368">
        <v>175.5</v>
      </c>
      <c r="AD368">
        <v>199.5</v>
      </c>
      <c r="AF368">
        <v>190.7</v>
      </c>
      <c r="AH368">
        <v>187.3</v>
      </c>
      <c r="AJ368">
        <v>190.2</v>
      </c>
      <c r="AL368" t="s">
        <v>48</v>
      </c>
      <c r="AN368">
        <v>181.5</v>
      </c>
      <c r="AP368">
        <v>179.1</v>
      </c>
      <c r="AR368">
        <v>187.2</v>
      </c>
      <c r="AT368">
        <v>169.4</v>
      </c>
      <c r="AV368">
        <v>173.2</v>
      </c>
      <c r="AX368">
        <v>179.4</v>
      </c>
      <c r="AZ368">
        <v>183.8</v>
      </c>
      <c r="BB368">
        <v>178.9</v>
      </c>
      <c r="BD368">
        <v>178.8</v>
      </c>
    </row>
    <row r="369" spans="1:56">
      <c r="A369" t="s">
        <v>33</v>
      </c>
      <c r="B369">
        <v>2023</v>
      </c>
      <c r="C369" t="s">
        <v>37</v>
      </c>
      <c r="D369">
        <v>174.8</v>
      </c>
      <c r="F369">
        <v>213.7</v>
      </c>
      <c r="H369">
        <v>172.4</v>
      </c>
      <c r="J369">
        <v>178.8</v>
      </c>
      <c r="L369">
        <v>168.7</v>
      </c>
      <c r="N369">
        <v>179.2</v>
      </c>
      <c r="P369">
        <v>179.9</v>
      </c>
      <c r="R369">
        <v>174.7</v>
      </c>
      <c r="T369">
        <v>123.1</v>
      </c>
      <c r="V369">
        <v>207.8</v>
      </c>
      <c r="X369">
        <v>165.5</v>
      </c>
      <c r="Z369">
        <v>197</v>
      </c>
      <c r="AB369">
        <v>182.1</v>
      </c>
      <c r="AD369">
        <v>203.5</v>
      </c>
      <c r="AF369">
        <v>181</v>
      </c>
      <c r="AH369">
        <v>167.7</v>
      </c>
      <c r="AJ369">
        <v>178.9</v>
      </c>
      <c r="AL369">
        <v>175.2</v>
      </c>
      <c r="AN369">
        <v>182.1</v>
      </c>
      <c r="AP369">
        <v>169.6</v>
      </c>
      <c r="AR369">
        <v>181.5</v>
      </c>
      <c r="AT369">
        <v>160.1</v>
      </c>
      <c r="AV369">
        <v>168.8</v>
      </c>
      <c r="AX369">
        <v>174.2</v>
      </c>
      <c r="AZ369">
        <v>184.4</v>
      </c>
      <c r="BB369">
        <v>170.9</v>
      </c>
      <c r="BD369">
        <v>177.4</v>
      </c>
    </row>
    <row r="370" spans="1:56" hidden="1">
      <c r="A370" t="s">
        <v>34</v>
      </c>
      <c r="B370">
        <v>2023</v>
      </c>
      <c r="C370" t="s">
        <v>37</v>
      </c>
      <c r="D370">
        <v>173.8</v>
      </c>
      <c r="F370">
        <v>209.3</v>
      </c>
      <c r="H370">
        <v>169.6</v>
      </c>
      <c r="J370">
        <v>178.4</v>
      </c>
      <c r="L370">
        <v>174.9</v>
      </c>
      <c r="N370">
        <v>176.3</v>
      </c>
      <c r="P370">
        <v>155.4</v>
      </c>
      <c r="R370">
        <v>173.4</v>
      </c>
      <c r="T370">
        <v>121.3</v>
      </c>
      <c r="V370">
        <v>212.9</v>
      </c>
      <c r="X370">
        <v>172.9</v>
      </c>
      <c r="Z370">
        <v>193.5</v>
      </c>
      <c r="AB370">
        <v>177.9</v>
      </c>
      <c r="AD370">
        <v>200.6</v>
      </c>
      <c r="AF370">
        <v>186.9</v>
      </c>
      <c r="AH370">
        <v>179.2</v>
      </c>
      <c r="AJ370">
        <v>185.7</v>
      </c>
      <c r="AL370">
        <v>175.2</v>
      </c>
      <c r="AN370">
        <v>181.7</v>
      </c>
      <c r="AP370">
        <v>174.6</v>
      </c>
      <c r="AR370">
        <v>185</v>
      </c>
      <c r="AT370">
        <v>164.5</v>
      </c>
      <c r="AV370">
        <v>170.7</v>
      </c>
      <c r="AX370">
        <v>176.4</v>
      </c>
      <c r="AZ370">
        <v>184</v>
      </c>
      <c r="BB370">
        <v>175</v>
      </c>
      <c r="BD370">
        <v>178.1</v>
      </c>
    </row>
    <row r="371" spans="1:56" hidden="1">
      <c r="A371" t="s">
        <v>30</v>
      </c>
      <c r="B371">
        <v>2023</v>
      </c>
      <c r="C371" t="s">
        <v>38</v>
      </c>
      <c r="D371">
        <v>173.2</v>
      </c>
      <c r="F371">
        <v>211.5</v>
      </c>
      <c r="H371">
        <v>171</v>
      </c>
      <c r="J371">
        <v>179.6</v>
      </c>
      <c r="L371">
        <v>173.3</v>
      </c>
      <c r="N371">
        <v>169</v>
      </c>
      <c r="P371">
        <v>148.69999999999999</v>
      </c>
      <c r="R371">
        <v>174.9</v>
      </c>
      <c r="T371">
        <v>121.9</v>
      </c>
      <c r="V371">
        <v>221</v>
      </c>
      <c r="X371">
        <v>178.7</v>
      </c>
      <c r="Z371">
        <v>191.1</v>
      </c>
      <c r="AB371">
        <v>176.8</v>
      </c>
      <c r="AD371">
        <v>199.9</v>
      </c>
      <c r="AF371">
        <v>191.2</v>
      </c>
      <c r="AH371">
        <v>187.9</v>
      </c>
      <c r="AJ371">
        <v>190.8</v>
      </c>
      <c r="AL371" t="s">
        <v>48</v>
      </c>
      <c r="AN371">
        <v>182.5</v>
      </c>
      <c r="AP371">
        <v>179.8</v>
      </c>
      <c r="AR371">
        <v>187.8</v>
      </c>
      <c r="AT371">
        <v>169.7</v>
      </c>
      <c r="AV371">
        <v>173.8</v>
      </c>
      <c r="AX371">
        <v>180.3</v>
      </c>
      <c r="AZ371">
        <v>184.9</v>
      </c>
      <c r="BB371">
        <v>179.5</v>
      </c>
      <c r="BD371">
        <v>179.8</v>
      </c>
    </row>
    <row r="372" spans="1:56">
      <c r="A372" t="s">
        <v>33</v>
      </c>
      <c r="B372">
        <v>2023</v>
      </c>
      <c r="C372" t="s">
        <v>38</v>
      </c>
      <c r="D372">
        <v>174.7</v>
      </c>
      <c r="F372">
        <v>219.4</v>
      </c>
      <c r="H372">
        <v>176.7</v>
      </c>
      <c r="J372">
        <v>179.4</v>
      </c>
      <c r="L372">
        <v>164.4</v>
      </c>
      <c r="N372">
        <v>175.8</v>
      </c>
      <c r="P372">
        <v>185</v>
      </c>
      <c r="R372">
        <v>176.9</v>
      </c>
      <c r="T372">
        <v>124.2</v>
      </c>
      <c r="V372">
        <v>211.9</v>
      </c>
      <c r="X372">
        <v>165.9</v>
      </c>
      <c r="Z372">
        <v>197.7</v>
      </c>
      <c r="AB372">
        <v>183.1</v>
      </c>
      <c r="AD372">
        <v>204.2</v>
      </c>
      <c r="AF372">
        <v>181.3</v>
      </c>
      <c r="AH372">
        <v>168.1</v>
      </c>
      <c r="AJ372">
        <v>179.3</v>
      </c>
      <c r="AL372">
        <v>175.6</v>
      </c>
      <c r="AN372">
        <v>183.4</v>
      </c>
      <c r="AP372">
        <v>170.1</v>
      </c>
      <c r="AR372">
        <v>182.2</v>
      </c>
      <c r="AT372">
        <v>160.4</v>
      </c>
      <c r="AV372">
        <v>169.2</v>
      </c>
      <c r="AX372">
        <v>174.8</v>
      </c>
      <c r="AZ372">
        <v>185.6</v>
      </c>
      <c r="BB372">
        <v>171.6</v>
      </c>
      <c r="BD372">
        <v>178.2</v>
      </c>
    </row>
    <row r="373" spans="1:56" hidden="1">
      <c r="A373" t="s">
        <v>34</v>
      </c>
      <c r="B373">
        <v>2023</v>
      </c>
      <c r="C373" t="s">
        <v>38</v>
      </c>
      <c r="D373">
        <v>173.7</v>
      </c>
      <c r="F373">
        <v>214.3</v>
      </c>
      <c r="H373">
        <v>173.2</v>
      </c>
      <c r="J373">
        <v>179.5</v>
      </c>
      <c r="L373">
        <v>170</v>
      </c>
      <c r="N373">
        <v>172.2</v>
      </c>
      <c r="P373">
        <v>161</v>
      </c>
      <c r="R373">
        <v>175.6</v>
      </c>
      <c r="T373">
        <v>122.7</v>
      </c>
      <c r="V373">
        <v>218</v>
      </c>
      <c r="X373">
        <v>173.4</v>
      </c>
      <c r="Z373">
        <v>194.2</v>
      </c>
      <c r="AB373">
        <v>179.1</v>
      </c>
      <c r="AD373">
        <v>201</v>
      </c>
      <c r="AF373">
        <v>187.3</v>
      </c>
      <c r="AH373">
        <v>179.7</v>
      </c>
      <c r="AJ373">
        <v>186.2</v>
      </c>
      <c r="AL373">
        <v>175.6</v>
      </c>
      <c r="AN373">
        <v>182.8</v>
      </c>
      <c r="AP373">
        <v>175.2</v>
      </c>
      <c r="AR373">
        <v>185.7</v>
      </c>
      <c r="AT373">
        <v>164.8</v>
      </c>
      <c r="AV373">
        <v>171.2</v>
      </c>
      <c r="AX373">
        <v>177.1</v>
      </c>
      <c r="AZ373">
        <v>185.2</v>
      </c>
      <c r="BB373">
        <v>175.7</v>
      </c>
      <c r="BD373">
        <v>179.1</v>
      </c>
    </row>
  </sheetData>
  <autoFilter ref="A1:BD373" xr:uid="{A8923EB1-C437-46DC-A460-BA1C00EBA348}">
    <filterColumn colId="0">
      <filters>
        <filter val="Urban"/>
      </filters>
    </filterColumn>
  </autoFilter>
  <conditionalFormatting sqref="D2:BD373">
    <cfRule type="containsText" dxfId="10" priority="2" operator="containsText" text="NA">
      <formula>NOT(ISERROR(SEARCH("NA",D2)))</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1" operator="containsText" id="{A4C1C0BF-92B9-457A-AC41-278870CCE859}">
            <xm:f>NOT(ISERROR(SEARCH("-",D2)))</xm:f>
            <xm:f>"-"</xm:f>
            <x14:dxf>
              <font>
                <color rgb="FF9C0006"/>
              </font>
              <fill>
                <patternFill>
                  <bgColor rgb="FFFFC7CE"/>
                </patternFill>
              </fill>
            </x14:dxf>
          </x14:cfRule>
          <xm:sqref>D2:BD373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E50AE-93C4-48DC-8568-B7F2B9DC23EC}">
  <dimension ref="A1:AC373"/>
  <sheetViews>
    <sheetView topLeftCell="O1" workbookViewId="0">
      <selection activeCell="W264" sqref="W264"/>
    </sheetView>
  </sheetViews>
  <sheetFormatPr defaultRowHeight="15"/>
  <cols>
    <col min="1" max="1" width="11.85546875" bestFit="1" customWidth="1"/>
    <col min="2" max="2" width="5" bestFit="1" customWidth="1"/>
    <col min="3" max="3" width="10.85546875" bestFit="1" customWidth="1"/>
    <col min="4" max="4" width="19.7109375" bestFit="1" customWidth="1"/>
    <col min="5" max="5" width="13.140625" bestFit="1" customWidth="1"/>
    <col min="6" max="6" width="7" bestFit="1" customWidth="1"/>
    <col min="7" max="7" width="16.85546875" bestFit="1" customWidth="1"/>
    <col min="8" max="8" width="11.85546875" bestFit="1" customWidth="1"/>
    <col min="9" max="9" width="7" bestFit="1" customWidth="1"/>
    <col min="10" max="10" width="11" bestFit="1" customWidth="1"/>
    <col min="11" max="11" width="18.85546875" bestFit="1" customWidth="1"/>
    <col min="12" max="12" width="23" bestFit="1" customWidth="1"/>
    <col min="13" max="13" width="7" bestFit="1" customWidth="1"/>
    <col min="14" max="14" width="23.28515625" bestFit="1" customWidth="1"/>
    <col min="15" max="15" width="33.28515625" bestFit="1" customWidth="1"/>
    <col min="16" max="16" width="26.5703125" bestFit="1" customWidth="1"/>
    <col min="17" max="17" width="8.42578125" bestFit="1" customWidth="1"/>
    <col min="18" max="18" width="9.42578125" bestFit="1" customWidth="1"/>
    <col min="19" max="19" width="8.140625" bestFit="1" customWidth="1"/>
    <col min="20" max="20" width="13.140625" bestFit="1" customWidth="1"/>
    <col min="21" max="21" width="28.140625" bestFit="1" customWidth="1"/>
    <col min="22" max="22" width="6.85546875" bestFit="1" customWidth="1"/>
    <col min="23" max="23" width="27.85546875" bestFit="1" customWidth="1"/>
    <col min="24" max="24" width="25.85546875" bestFit="1" customWidth="1"/>
    <col min="25" max="25" width="9.7109375" bestFit="1" customWidth="1"/>
    <col min="26" max="26" width="23.5703125" bestFit="1" customWidth="1"/>
    <col min="27" max="27" width="13.85546875" bestFit="1" customWidth="1"/>
    <col min="28" max="28" width="13.85546875" customWidth="1"/>
    <col min="29" max="29" width="13.5703125" bestFit="1" customWidth="1"/>
  </cols>
  <sheetData>
    <row r="1" spans="1:29">
      <c r="A1" t="s">
        <v>0</v>
      </c>
      <c r="B1" t="s">
        <v>1</v>
      </c>
      <c r="C1" t="s">
        <v>2</v>
      </c>
      <c r="D1" t="s">
        <v>3</v>
      </c>
      <c r="E1" t="s">
        <v>4</v>
      </c>
      <c r="F1" t="s">
        <v>5</v>
      </c>
      <c r="G1" t="s">
        <v>6</v>
      </c>
      <c r="H1" t="s">
        <v>7</v>
      </c>
      <c r="I1" t="s">
        <v>8</v>
      </c>
      <c r="J1" t="s">
        <v>9</v>
      </c>
      <c r="K1" t="s">
        <v>10</v>
      </c>
      <c r="L1" t="s">
        <v>11</v>
      </c>
      <c r="M1" t="s">
        <v>12</v>
      </c>
      <c r="N1" t="s">
        <v>13</v>
      </c>
      <c r="O1" t="s">
        <v>14</v>
      </c>
      <c r="P1" t="s">
        <v>16</v>
      </c>
      <c r="Q1" t="s">
        <v>17</v>
      </c>
      <c r="R1" t="s">
        <v>18</v>
      </c>
      <c r="S1" t="s">
        <v>20</v>
      </c>
      <c r="T1" t="s">
        <v>21</v>
      </c>
      <c r="U1" t="s">
        <v>22</v>
      </c>
      <c r="V1" t="s">
        <v>23</v>
      </c>
      <c r="W1" t="s">
        <v>24</v>
      </c>
      <c r="X1" t="s">
        <v>25</v>
      </c>
      <c r="Y1" t="s">
        <v>26</v>
      </c>
      <c r="Z1" t="s">
        <v>27</v>
      </c>
      <c r="AA1" t="s">
        <v>28</v>
      </c>
      <c r="AB1" t="s">
        <v>102</v>
      </c>
      <c r="AC1" t="s">
        <v>29</v>
      </c>
    </row>
    <row r="2" spans="1:29">
      <c r="A2" t="s">
        <v>30</v>
      </c>
      <c r="B2">
        <v>2013</v>
      </c>
      <c r="C2" t="s">
        <v>31</v>
      </c>
      <c r="D2">
        <v>107.5</v>
      </c>
      <c r="E2">
        <v>106.3</v>
      </c>
      <c r="F2">
        <v>108.1</v>
      </c>
      <c r="G2">
        <v>104.9</v>
      </c>
      <c r="H2">
        <v>106.1</v>
      </c>
      <c r="I2">
        <v>103.9</v>
      </c>
      <c r="J2">
        <v>101.9</v>
      </c>
      <c r="K2">
        <v>106.1</v>
      </c>
      <c r="L2">
        <v>106.8</v>
      </c>
      <c r="M2">
        <v>103.1</v>
      </c>
      <c r="N2">
        <v>104.8</v>
      </c>
      <c r="O2">
        <v>106.7</v>
      </c>
      <c r="P2">
        <v>105.1</v>
      </c>
      <c r="Q2">
        <v>106.5</v>
      </c>
      <c r="R2">
        <v>105.8</v>
      </c>
      <c r="S2" t="s">
        <v>32</v>
      </c>
      <c r="T2">
        <v>105.5</v>
      </c>
      <c r="U2">
        <v>104.8</v>
      </c>
      <c r="V2">
        <v>104</v>
      </c>
      <c r="W2">
        <v>103.3</v>
      </c>
      <c r="X2">
        <v>103.4</v>
      </c>
      <c r="Y2">
        <v>103.8</v>
      </c>
      <c r="Z2">
        <v>104.7</v>
      </c>
      <c r="AA2">
        <v>104</v>
      </c>
      <c r="AB2">
        <f>AVERAGE(D2:AA2)</f>
        <v>105.09130434782607</v>
      </c>
      <c r="AC2">
        <v>105.1</v>
      </c>
    </row>
    <row r="3" spans="1:29">
      <c r="A3" t="s">
        <v>33</v>
      </c>
      <c r="B3">
        <v>2013</v>
      </c>
      <c r="C3" t="s">
        <v>31</v>
      </c>
      <c r="D3">
        <v>110.5</v>
      </c>
      <c r="E3">
        <v>109.1</v>
      </c>
      <c r="F3">
        <v>113</v>
      </c>
      <c r="G3">
        <v>103.6</v>
      </c>
      <c r="H3">
        <v>103.4</v>
      </c>
      <c r="I3">
        <v>102.3</v>
      </c>
      <c r="J3">
        <v>102.9</v>
      </c>
      <c r="K3">
        <v>105.8</v>
      </c>
      <c r="L3">
        <v>105.1</v>
      </c>
      <c r="M3">
        <v>101.8</v>
      </c>
      <c r="N3">
        <v>105.1</v>
      </c>
      <c r="O3">
        <v>107.9</v>
      </c>
      <c r="P3">
        <v>105.2</v>
      </c>
      <c r="Q3">
        <v>105.9</v>
      </c>
      <c r="R3">
        <v>105</v>
      </c>
      <c r="S3">
        <v>100.3</v>
      </c>
      <c r="T3">
        <v>105.4</v>
      </c>
      <c r="U3">
        <v>104.8</v>
      </c>
      <c r="V3">
        <v>104.1</v>
      </c>
      <c r="W3">
        <v>103.2</v>
      </c>
      <c r="X3">
        <v>102.9</v>
      </c>
      <c r="Y3">
        <v>103.5</v>
      </c>
      <c r="Z3">
        <v>104.3</v>
      </c>
      <c r="AA3">
        <v>103.7</v>
      </c>
      <c r="AB3">
        <f t="shared" ref="AB3:AB66" si="0">AVERAGE(D3:AA3)</f>
        <v>104.95</v>
      </c>
      <c r="AC3">
        <v>104</v>
      </c>
    </row>
    <row r="4" spans="1:29">
      <c r="A4" t="s">
        <v>34</v>
      </c>
      <c r="B4">
        <v>2013</v>
      </c>
      <c r="C4" t="s">
        <v>31</v>
      </c>
      <c r="D4">
        <v>108.4</v>
      </c>
      <c r="E4">
        <v>107.3</v>
      </c>
      <c r="F4">
        <v>110</v>
      </c>
      <c r="G4">
        <v>104.4</v>
      </c>
      <c r="H4">
        <v>105.1</v>
      </c>
      <c r="I4">
        <v>103.2</v>
      </c>
      <c r="J4">
        <v>102.2</v>
      </c>
      <c r="K4">
        <v>106</v>
      </c>
      <c r="L4">
        <v>106.2</v>
      </c>
      <c r="M4">
        <v>102.7</v>
      </c>
      <c r="N4">
        <v>104.9</v>
      </c>
      <c r="O4">
        <v>107.3</v>
      </c>
      <c r="P4">
        <v>105.1</v>
      </c>
      <c r="Q4">
        <v>106.3</v>
      </c>
      <c r="R4">
        <v>105.5</v>
      </c>
      <c r="S4">
        <v>100.3</v>
      </c>
      <c r="T4">
        <v>105.5</v>
      </c>
      <c r="U4">
        <v>104.8</v>
      </c>
      <c r="V4">
        <v>104</v>
      </c>
      <c r="W4">
        <v>103.2</v>
      </c>
      <c r="X4">
        <v>103.1</v>
      </c>
      <c r="Y4">
        <v>103.6</v>
      </c>
      <c r="Z4">
        <v>104.5</v>
      </c>
      <c r="AA4">
        <v>103.9</v>
      </c>
      <c r="AB4">
        <f t="shared" si="0"/>
        <v>104.89583333333333</v>
      </c>
      <c r="AC4">
        <v>104.6</v>
      </c>
    </row>
    <row r="5" spans="1:29">
      <c r="A5" t="s">
        <v>30</v>
      </c>
      <c r="B5">
        <v>2013</v>
      </c>
      <c r="C5" t="s">
        <v>35</v>
      </c>
      <c r="D5">
        <v>109.2</v>
      </c>
      <c r="E5">
        <v>108.7</v>
      </c>
      <c r="F5">
        <v>110.2</v>
      </c>
      <c r="G5">
        <v>105.4</v>
      </c>
      <c r="H5">
        <v>106.7</v>
      </c>
      <c r="I5">
        <v>104</v>
      </c>
      <c r="J5">
        <v>102.4</v>
      </c>
      <c r="K5">
        <v>105.9</v>
      </c>
      <c r="L5">
        <v>105.7</v>
      </c>
      <c r="M5">
        <v>103.1</v>
      </c>
      <c r="N5">
        <v>105.1</v>
      </c>
      <c r="O5">
        <v>107.7</v>
      </c>
      <c r="P5">
        <v>105.6</v>
      </c>
      <c r="Q5">
        <v>107.1</v>
      </c>
      <c r="R5">
        <v>106.3</v>
      </c>
      <c r="S5" t="s">
        <v>32</v>
      </c>
      <c r="T5">
        <v>106.2</v>
      </c>
      <c r="U5">
        <v>105.2</v>
      </c>
      <c r="V5">
        <v>104.4</v>
      </c>
      <c r="W5">
        <v>103.9</v>
      </c>
      <c r="X5">
        <v>104</v>
      </c>
      <c r="Y5">
        <v>104.1</v>
      </c>
      <c r="Z5">
        <v>104.6</v>
      </c>
      <c r="AA5">
        <v>104.4</v>
      </c>
      <c r="AB5">
        <f t="shared" si="0"/>
        <v>105.64782608695653</v>
      </c>
      <c r="AC5">
        <v>105.8</v>
      </c>
    </row>
    <row r="6" spans="1:29">
      <c r="A6" t="s">
        <v>33</v>
      </c>
      <c r="B6">
        <v>2013</v>
      </c>
      <c r="C6" t="s">
        <v>35</v>
      </c>
      <c r="D6">
        <v>112.9</v>
      </c>
      <c r="E6">
        <v>112.9</v>
      </c>
      <c r="F6">
        <v>116.9</v>
      </c>
      <c r="G6">
        <v>104</v>
      </c>
      <c r="H6">
        <v>103.5</v>
      </c>
      <c r="I6">
        <v>103.1</v>
      </c>
      <c r="J6">
        <v>104.9</v>
      </c>
      <c r="K6">
        <v>104.1</v>
      </c>
      <c r="L6">
        <v>103.8</v>
      </c>
      <c r="M6">
        <v>102.3</v>
      </c>
      <c r="N6">
        <v>106</v>
      </c>
      <c r="O6">
        <v>109</v>
      </c>
      <c r="P6">
        <v>106</v>
      </c>
      <c r="Q6">
        <v>106.6</v>
      </c>
      <c r="R6">
        <v>105.5</v>
      </c>
      <c r="S6">
        <v>100.4</v>
      </c>
      <c r="T6">
        <v>105.7</v>
      </c>
      <c r="U6">
        <v>105.2</v>
      </c>
      <c r="V6">
        <v>104.7</v>
      </c>
      <c r="W6">
        <v>104.4</v>
      </c>
      <c r="X6">
        <v>103.3</v>
      </c>
      <c r="Y6">
        <v>103.7</v>
      </c>
      <c r="Z6">
        <v>104.3</v>
      </c>
      <c r="AA6">
        <v>104.3</v>
      </c>
      <c r="AB6">
        <f t="shared" si="0"/>
        <v>105.72916666666669</v>
      </c>
      <c r="AC6">
        <v>104.7</v>
      </c>
    </row>
    <row r="7" spans="1:29">
      <c r="A7" t="s">
        <v>34</v>
      </c>
      <c r="B7">
        <v>2013</v>
      </c>
      <c r="C7" t="s">
        <v>35</v>
      </c>
      <c r="D7">
        <v>110.4</v>
      </c>
      <c r="E7">
        <v>110.2</v>
      </c>
      <c r="F7">
        <v>112.8</v>
      </c>
      <c r="G7">
        <v>104.9</v>
      </c>
      <c r="H7">
        <v>105.5</v>
      </c>
      <c r="I7">
        <v>103.6</v>
      </c>
      <c r="J7">
        <v>103.2</v>
      </c>
      <c r="K7">
        <v>105.3</v>
      </c>
      <c r="L7">
        <v>105.1</v>
      </c>
      <c r="M7">
        <v>102.8</v>
      </c>
      <c r="N7">
        <v>105.5</v>
      </c>
      <c r="O7">
        <v>108.3</v>
      </c>
      <c r="P7">
        <v>105.7</v>
      </c>
      <c r="Q7">
        <v>106.9</v>
      </c>
      <c r="R7">
        <v>106</v>
      </c>
      <c r="S7">
        <v>100.4</v>
      </c>
      <c r="T7">
        <v>106</v>
      </c>
      <c r="U7">
        <v>105.2</v>
      </c>
      <c r="V7">
        <v>104.5</v>
      </c>
      <c r="W7">
        <v>104.2</v>
      </c>
      <c r="X7">
        <v>103.6</v>
      </c>
      <c r="Y7">
        <v>103.9</v>
      </c>
      <c r="Z7">
        <v>104.5</v>
      </c>
      <c r="AA7">
        <v>104.4</v>
      </c>
      <c r="AB7">
        <f t="shared" si="0"/>
        <v>105.53750000000002</v>
      </c>
      <c r="AC7">
        <v>105.3</v>
      </c>
    </row>
    <row r="8" spans="1:29">
      <c r="A8" t="s">
        <v>30</v>
      </c>
      <c r="B8">
        <v>2013</v>
      </c>
      <c r="C8" t="s">
        <v>36</v>
      </c>
      <c r="D8">
        <v>110.2</v>
      </c>
      <c r="E8">
        <v>108.8</v>
      </c>
      <c r="F8">
        <v>109.9</v>
      </c>
      <c r="G8">
        <v>105.6</v>
      </c>
      <c r="H8">
        <v>106.2</v>
      </c>
      <c r="I8">
        <v>105.7</v>
      </c>
      <c r="J8">
        <v>101.4</v>
      </c>
      <c r="K8">
        <v>105.7</v>
      </c>
      <c r="L8">
        <v>105</v>
      </c>
      <c r="M8">
        <v>103.3</v>
      </c>
      <c r="N8">
        <v>105.6</v>
      </c>
      <c r="O8">
        <v>108.2</v>
      </c>
      <c r="P8">
        <v>106.5</v>
      </c>
      <c r="Q8">
        <v>107.6</v>
      </c>
      <c r="R8">
        <v>106.8</v>
      </c>
      <c r="S8" t="s">
        <v>32</v>
      </c>
      <c r="T8">
        <v>106.1</v>
      </c>
      <c r="U8">
        <v>105.6</v>
      </c>
      <c r="V8">
        <v>104.7</v>
      </c>
      <c r="W8">
        <v>104.6</v>
      </c>
      <c r="X8">
        <v>104</v>
      </c>
      <c r="Y8">
        <v>104.3</v>
      </c>
      <c r="Z8">
        <v>104.3</v>
      </c>
      <c r="AA8">
        <v>104.6</v>
      </c>
      <c r="AB8">
        <f t="shared" si="0"/>
        <v>105.85652173913044</v>
      </c>
      <c r="AC8">
        <v>106</v>
      </c>
    </row>
    <row r="9" spans="1:29">
      <c r="A9" t="s">
        <v>33</v>
      </c>
      <c r="B9">
        <v>2013</v>
      </c>
      <c r="C9" t="s">
        <v>36</v>
      </c>
      <c r="D9">
        <v>113.9</v>
      </c>
      <c r="E9">
        <v>111.4</v>
      </c>
      <c r="F9">
        <v>113.2</v>
      </c>
      <c r="G9">
        <v>104.3</v>
      </c>
      <c r="H9">
        <v>102.7</v>
      </c>
      <c r="I9">
        <v>104.9</v>
      </c>
      <c r="J9">
        <v>103.8</v>
      </c>
      <c r="K9">
        <v>103.5</v>
      </c>
      <c r="L9">
        <v>102.6</v>
      </c>
      <c r="M9">
        <v>102.4</v>
      </c>
      <c r="N9">
        <v>107</v>
      </c>
      <c r="O9">
        <v>109.8</v>
      </c>
      <c r="P9">
        <v>106.8</v>
      </c>
      <c r="Q9">
        <v>107.2</v>
      </c>
      <c r="R9">
        <v>106</v>
      </c>
      <c r="S9">
        <v>100.4</v>
      </c>
      <c r="T9">
        <v>106</v>
      </c>
      <c r="U9">
        <v>105.7</v>
      </c>
      <c r="V9">
        <v>105.2</v>
      </c>
      <c r="W9">
        <v>105.5</v>
      </c>
      <c r="X9">
        <v>103.5</v>
      </c>
      <c r="Y9">
        <v>103.8</v>
      </c>
      <c r="Z9">
        <v>104.2</v>
      </c>
      <c r="AA9">
        <v>104.9</v>
      </c>
      <c r="AB9">
        <f t="shared" si="0"/>
        <v>105.77916666666668</v>
      </c>
      <c r="AC9">
        <v>105</v>
      </c>
    </row>
    <row r="10" spans="1:29">
      <c r="A10" t="s">
        <v>34</v>
      </c>
      <c r="B10">
        <v>2013</v>
      </c>
      <c r="C10" t="s">
        <v>36</v>
      </c>
      <c r="D10">
        <v>111.4</v>
      </c>
      <c r="E10">
        <v>109.7</v>
      </c>
      <c r="F10">
        <v>111.2</v>
      </c>
      <c r="G10">
        <v>105.1</v>
      </c>
      <c r="H10">
        <v>104.9</v>
      </c>
      <c r="I10">
        <v>105.3</v>
      </c>
      <c r="J10">
        <v>102.2</v>
      </c>
      <c r="K10">
        <v>105</v>
      </c>
      <c r="L10">
        <v>104.2</v>
      </c>
      <c r="M10">
        <v>103</v>
      </c>
      <c r="N10">
        <v>106.2</v>
      </c>
      <c r="O10">
        <v>108.9</v>
      </c>
      <c r="P10">
        <v>106.6</v>
      </c>
      <c r="Q10">
        <v>107.4</v>
      </c>
      <c r="R10">
        <v>106.5</v>
      </c>
      <c r="S10">
        <v>100.4</v>
      </c>
      <c r="T10">
        <v>106.1</v>
      </c>
      <c r="U10">
        <v>105.6</v>
      </c>
      <c r="V10">
        <v>104.9</v>
      </c>
      <c r="W10">
        <v>105.1</v>
      </c>
      <c r="X10">
        <v>103.7</v>
      </c>
      <c r="Y10">
        <v>104</v>
      </c>
      <c r="Z10">
        <v>104.3</v>
      </c>
      <c r="AA10">
        <v>104.7</v>
      </c>
      <c r="AB10">
        <f t="shared" si="0"/>
        <v>105.68333333333334</v>
      </c>
      <c r="AC10">
        <v>105.5</v>
      </c>
    </row>
    <row r="11" spans="1:29">
      <c r="A11" t="s">
        <v>30</v>
      </c>
      <c r="B11">
        <v>2013</v>
      </c>
      <c r="C11" t="s">
        <v>37</v>
      </c>
      <c r="D11">
        <v>110.2</v>
      </c>
      <c r="E11">
        <v>109.5</v>
      </c>
      <c r="F11">
        <v>106.9</v>
      </c>
      <c r="G11">
        <v>106.3</v>
      </c>
      <c r="H11">
        <v>105.7</v>
      </c>
      <c r="I11">
        <v>108.3</v>
      </c>
      <c r="J11">
        <v>103.4</v>
      </c>
      <c r="K11">
        <v>105.7</v>
      </c>
      <c r="L11">
        <v>104.2</v>
      </c>
      <c r="M11">
        <v>103.2</v>
      </c>
      <c r="N11">
        <v>106.5</v>
      </c>
      <c r="O11">
        <v>108.8</v>
      </c>
      <c r="P11">
        <v>107.1</v>
      </c>
      <c r="Q11">
        <v>108.1</v>
      </c>
      <c r="R11">
        <v>107.4</v>
      </c>
      <c r="S11" t="s">
        <v>32</v>
      </c>
      <c r="T11">
        <v>106.5</v>
      </c>
      <c r="U11">
        <v>106.1</v>
      </c>
      <c r="V11">
        <v>105.1</v>
      </c>
      <c r="W11">
        <v>104.4</v>
      </c>
      <c r="X11">
        <v>104.5</v>
      </c>
      <c r="Y11">
        <v>104.8</v>
      </c>
      <c r="Z11">
        <v>102.7</v>
      </c>
      <c r="AA11">
        <v>104.6</v>
      </c>
      <c r="AB11">
        <f t="shared" si="0"/>
        <v>106.08695652173911</v>
      </c>
      <c r="AC11">
        <v>106.4</v>
      </c>
    </row>
    <row r="12" spans="1:29">
      <c r="A12" t="s">
        <v>33</v>
      </c>
      <c r="B12">
        <v>2013</v>
      </c>
      <c r="C12" t="s">
        <v>37</v>
      </c>
      <c r="D12">
        <v>114.6</v>
      </c>
      <c r="E12">
        <v>113.4</v>
      </c>
      <c r="F12">
        <v>106</v>
      </c>
      <c r="G12">
        <v>104.7</v>
      </c>
      <c r="H12">
        <v>102.1</v>
      </c>
      <c r="I12">
        <v>109.5</v>
      </c>
      <c r="J12">
        <v>109.7</v>
      </c>
      <c r="K12">
        <v>104.6</v>
      </c>
      <c r="L12">
        <v>102</v>
      </c>
      <c r="M12">
        <v>103.5</v>
      </c>
      <c r="N12">
        <v>108.2</v>
      </c>
      <c r="O12">
        <v>110.6</v>
      </c>
      <c r="P12">
        <v>108.5</v>
      </c>
      <c r="Q12">
        <v>107.9</v>
      </c>
      <c r="R12">
        <v>106.4</v>
      </c>
      <c r="S12">
        <v>100.5</v>
      </c>
      <c r="T12">
        <v>106.4</v>
      </c>
      <c r="U12">
        <v>106.5</v>
      </c>
      <c r="V12">
        <v>105.7</v>
      </c>
      <c r="W12">
        <v>105</v>
      </c>
      <c r="X12">
        <v>104</v>
      </c>
      <c r="Y12">
        <v>105.2</v>
      </c>
      <c r="Z12">
        <v>103.2</v>
      </c>
      <c r="AA12">
        <v>105.1</v>
      </c>
      <c r="AB12">
        <f t="shared" si="0"/>
        <v>106.38749999999999</v>
      </c>
      <c r="AC12">
        <v>105.7</v>
      </c>
    </row>
    <row r="13" spans="1:29">
      <c r="A13" t="s">
        <v>34</v>
      </c>
      <c r="B13">
        <v>2013</v>
      </c>
      <c r="C13" t="s">
        <v>37</v>
      </c>
      <c r="D13">
        <v>111.6</v>
      </c>
      <c r="E13">
        <v>110.9</v>
      </c>
      <c r="F13">
        <v>106.6</v>
      </c>
      <c r="G13">
        <v>105.7</v>
      </c>
      <c r="H13">
        <v>104.4</v>
      </c>
      <c r="I13">
        <v>108.9</v>
      </c>
      <c r="J13">
        <v>105.5</v>
      </c>
      <c r="K13">
        <v>105.3</v>
      </c>
      <c r="L13">
        <v>103.5</v>
      </c>
      <c r="M13">
        <v>103.3</v>
      </c>
      <c r="N13">
        <v>107.2</v>
      </c>
      <c r="O13">
        <v>109.6</v>
      </c>
      <c r="P13">
        <v>107.5</v>
      </c>
      <c r="Q13">
        <v>108</v>
      </c>
      <c r="R13">
        <v>107</v>
      </c>
      <c r="S13">
        <v>100.5</v>
      </c>
      <c r="T13">
        <v>106.5</v>
      </c>
      <c r="U13">
        <v>106.3</v>
      </c>
      <c r="V13">
        <v>105.3</v>
      </c>
      <c r="W13">
        <v>104.7</v>
      </c>
      <c r="X13">
        <v>104.2</v>
      </c>
      <c r="Y13">
        <v>105</v>
      </c>
      <c r="Z13">
        <v>102.9</v>
      </c>
      <c r="AA13">
        <v>104.8</v>
      </c>
      <c r="AB13">
        <f t="shared" si="0"/>
        <v>106.05</v>
      </c>
      <c r="AC13">
        <v>106.1</v>
      </c>
    </row>
    <row r="14" spans="1:29">
      <c r="A14" t="s">
        <v>30</v>
      </c>
      <c r="B14">
        <v>2013</v>
      </c>
      <c r="C14" t="s">
        <v>38</v>
      </c>
      <c r="D14">
        <v>110.9</v>
      </c>
      <c r="E14">
        <v>109.8</v>
      </c>
      <c r="F14">
        <v>105.9</v>
      </c>
      <c r="G14">
        <v>107.5</v>
      </c>
      <c r="H14">
        <v>105.3</v>
      </c>
      <c r="I14">
        <v>108.1</v>
      </c>
      <c r="J14">
        <v>107.3</v>
      </c>
      <c r="K14">
        <v>106.1</v>
      </c>
      <c r="L14">
        <v>103.7</v>
      </c>
      <c r="M14">
        <v>104</v>
      </c>
      <c r="N14">
        <v>107.4</v>
      </c>
      <c r="O14">
        <v>109.9</v>
      </c>
      <c r="P14">
        <v>108.1</v>
      </c>
      <c r="Q14">
        <v>108.8</v>
      </c>
      <c r="R14">
        <v>107.9</v>
      </c>
      <c r="S14" t="s">
        <v>32</v>
      </c>
      <c r="T14">
        <v>107.5</v>
      </c>
      <c r="U14">
        <v>106.8</v>
      </c>
      <c r="V14">
        <v>105.7</v>
      </c>
      <c r="W14">
        <v>104.1</v>
      </c>
      <c r="X14">
        <v>105</v>
      </c>
      <c r="Y14">
        <v>105.5</v>
      </c>
      <c r="Z14">
        <v>102.1</v>
      </c>
      <c r="AA14">
        <v>104.8</v>
      </c>
      <c r="AB14">
        <f t="shared" si="0"/>
        <v>106.61739130434783</v>
      </c>
      <c r="AC14">
        <v>107.2</v>
      </c>
    </row>
    <row r="15" spans="1:29">
      <c r="A15" t="s">
        <v>33</v>
      </c>
      <c r="B15">
        <v>2013</v>
      </c>
      <c r="C15" t="s">
        <v>38</v>
      </c>
      <c r="D15">
        <v>115.4</v>
      </c>
      <c r="E15">
        <v>114.2</v>
      </c>
      <c r="F15">
        <v>102.7</v>
      </c>
      <c r="G15">
        <v>105.5</v>
      </c>
      <c r="H15">
        <v>101.5</v>
      </c>
      <c r="I15">
        <v>110.6</v>
      </c>
      <c r="J15">
        <v>123.7</v>
      </c>
      <c r="K15">
        <v>105.2</v>
      </c>
      <c r="L15">
        <v>101.9</v>
      </c>
      <c r="M15">
        <v>105</v>
      </c>
      <c r="N15">
        <v>109.1</v>
      </c>
      <c r="O15">
        <v>111.3</v>
      </c>
      <c r="P15">
        <v>109.8</v>
      </c>
      <c r="Q15">
        <v>108.5</v>
      </c>
      <c r="R15">
        <v>106.7</v>
      </c>
      <c r="S15">
        <v>100.5</v>
      </c>
      <c r="T15">
        <v>107.2</v>
      </c>
      <c r="U15">
        <v>107.1</v>
      </c>
      <c r="V15">
        <v>106.2</v>
      </c>
      <c r="W15">
        <v>103.9</v>
      </c>
      <c r="X15">
        <v>104.6</v>
      </c>
      <c r="Y15">
        <v>105.7</v>
      </c>
      <c r="Z15">
        <v>102.6</v>
      </c>
      <c r="AA15">
        <v>104.9</v>
      </c>
      <c r="AB15">
        <f t="shared" si="0"/>
        <v>107.24166666666666</v>
      </c>
      <c r="AC15">
        <v>106.6</v>
      </c>
    </row>
    <row r="16" spans="1:29">
      <c r="A16" t="s">
        <v>34</v>
      </c>
      <c r="B16">
        <v>2013</v>
      </c>
      <c r="C16" t="s">
        <v>38</v>
      </c>
      <c r="D16">
        <v>112.3</v>
      </c>
      <c r="E16">
        <v>111.3</v>
      </c>
      <c r="F16">
        <v>104.7</v>
      </c>
      <c r="G16">
        <v>106.8</v>
      </c>
      <c r="H16">
        <v>103.9</v>
      </c>
      <c r="I16">
        <v>109.3</v>
      </c>
      <c r="J16">
        <v>112.9</v>
      </c>
      <c r="K16">
        <v>105.8</v>
      </c>
      <c r="L16">
        <v>103.1</v>
      </c>
      <c r="M16">
        <v>104.3</v>
      </c>
      <c r="N16">
        <v>108.1</v>
      </c>
      <c r="O16">
        <v>110.5</v>
      </c>
      <c r="P16">
        <v>108.6</v>
      </c>
      <c r="Q16">
        <v>108.7</v>
      </c>
      <c r="R16">
        <v>107.4</v>
      </c>
      <c r="S16">
        <v>100.5</v>
      </c>
      <c r="T16">
        <v>107.4</v>
      </c>
      <c r="U16">
        <v>106.9</v>
      </c>
      <c r="V16">
        <v>105.9</v>
      </c>
      <c r="W16">
        <v>104</v>
      </c>
      <c r="X16">
        <v>104.8</v>
      </c>
      <c r="Y16">
        <v>105.6</v>
      </c>
      <c r="Z16">
        <v>102.3</v>
      </c>
      <c r="AA16">
        <v>104.8</v>
      </c>
      <c r="AB16">
        <f t="shared" si="0"/>
        <v>106.66250000000002</v>
      </c>
      <c r="AC16">
        <v>106.9</v>
      </c>
    </row>
    <row r="17" spans="1:29">
      <c r="A17" t="s">
        <v>30</v>
      </c>
      <c r="B17">
        <v>2013</v>
      </c>
      <c r="C17" t="s">
        <v>39</v>
      </c>
      <c r="D17">
        <v>112.3</v>
      </c>
      <c r="E17">
        <v>112.1</v>
      </c>
      <c r="F17">
        <v>108.1</v>
      </c>
      <c r="G17">
        <v>108.3</v>
      </c>
      <c r="H17">
        <v>105.9</v>
      </c>
      <c r="I17">
        <v>109.2</v>
      </c>
      <c r="J17">
        <v>118</v>
      </c>
      <c r="K17">
        <v>106.8</v>
      </c>
      <c r="L17">
        <v>104.1</v>
      </c>
      <c r="M17">
        <v>105.4</v>
      </c>
      <c r="N17">
        <v>108.2</v>
      </c>
      <c r="O17">
        <v>111</v>
      </c>
      <c r="P17">
        <v>109</v>
      </c>
      <c r="Q17">
        <v>109.7</v>
      </c>
      <c r="R17">
        <v>108.8</v>
      </c>
      <c r="S17" t="s">
        <v>32</v>
      </c>
      <c r="T17">
        <v>108.5</v>
      </c>
      <c r="U17">
        <v>107.5</v>
      </c>
      <c r="V17">
        <v>106.3</v>
      </c>
      <c r="W17">
        <v>105</v>
      </c>
      <c r="X17">
        <v>105.6</v>
      </c>
      <c r="Y17">
        <v>106.5</v>
      </c>
      <c r="Z17">
        <v>102.5</v>
      </c>
      <c r="AA17">
        <v>105.5</v>
      </c>
      <c r="AB17">
        <f t="shared" si="0"/>
        <v>108.01304347826085</v>
      </c>
      <c r="AC17">
        <v>108.9</v>
      </c>
    </row>
    <row r="18" spans="1:29">
      <c r="A18" t="s">
        <v>33</v>
      </c>
      <c r="B18">
        <v>2013</v>
      </c>
      <c r="C18" t="s">
        <v>39</v>
      </c>
      <c r="D18">
        <v>117</v>
      </c>
      <c r="E18">
        <v>120.1</v>
      </c>
      <c r="F18">
        <v>112.5</v>
      </c>
      <c r="G18">
        <v>107.3</v>
      </c>
      <c r="H18">
        <v>101.3</v>
      </c>
      <c r="I18">
        <v>112.4</v>
      </c>
      <c r="J18">
        <v>143.6</v>
      </c>
      <c r="K18">
        <v>105.4</v>
      </c>
      <c r="L18">
        <v>101.4</v>
      </c>
      <c r="M18">
        <v>106.4</v>
      </c>
      <c r="N18">
        <v>110</v>
      </c>
      <c r="O18">
        <v>112.2</v>
      </c>
      <c r="P18">
        <v>110.9</v>
      </c>
      <c r="Q18">
        <v>109.2</v>
      </c>
      <c r="R18">
        <v>107.2</v>
      </c>
      <c r="S18">
        <v>106.6</v>
      </c>
      <c r="T18">
        <v>108</v>
      </c>
      <c r="U18">
        <v>107.7</v>
      </c>
      <c r="V18">
        <v>106.5</v>
      </c>
      <c r="W18">
        <v>105.2</v>
      </c>
      <c r="X18">
        <v>105.2</v>
      </c>
      <c r="Y18">
        <v>108.1</v>
      </c>
      <c r="Z18">
        <v>103.3</v>
      </c>
      <c r="AA18">
        <v>106.1</v>
      </c>
      <c r="AB18">
        <f t="shared" si="0"/>
        <v>109.73333333333333</v>
      </c>
      <c r="AC18">
        <v>109.7</v>
      </c>
    </row>
    <row r="19" spans="1:29">
      <c r="A19" t="s">
        <v>34</v>
      </c>
      <c r="B19">
        <v>2013</v>
      </c>
      <c r="C19" t="s">
        <v>39</v>
      </c>
      <c r="D19">
        <v>113.8</v>
      </c>
      <c r="E19">
        <v>114.9</v>
      </c>
      <c r="F19">
        <v>109.8</v>
      </c>
      <c r="G19">
        <v>107.9</v>
      </c>
      <c r="H19">
        <v>104.2</v>
      </c>
      <c r="I19">
        <v>110.7</v>
      </c>
      <c r="J19">
        <v>126.7</v>
      </c>
      <c r="K19">
        <v>106.3</v>
      </c>
      <c r="L19">
        <v>103.2</v>
      </c>
      <c r="M19">
        <v>105.7</v>
      </c>
      <c r="N19">
        <v>109</v>
      </c>
      <c r="O19">
        <v>111.6</v>
      </c>
      <c r="P19">
        <v>109.5</v>
      </c>
      <c r="Q19">
        <v>109.5</v>
      </c>
      <c r="R19">
        <v>108.1</v>
      </c>
      <c r="S19">
        <v>106.6</v>
      </c>
      <c r="T19">
        <v>108.3</v>
      </c>
      <c r="U19">
        <v>107.6</v>
      </c>
      <c r="V19">
        <v>106.4</v>
      </c>
      <c r="W19">
        <v>105.1</v>
      </c>
      <c r="X19">
        <v>105.4</v>
      </c>
      <c r="Y19">
        <v>107.4</v>
      </c>
      <c r="Z19">
        <v>102.8</v>
      </c>
      <c r="AA19">
        <v>105.8</v>
      </c>
      <c r="AB19">
        <f t="shared" si="0"/>
        <v>108.59583333333335</v>
      </c>
      <c r="AC19">
        <v>109.3</v>
      </c>
    </row>
    <row r="20" spans="1:29">
      <c r="A20" t="s">
        <v>30</v>
      </c>
      <c r="B20">
        <v>2013</v>
      </c>
      <c r="C20" t="s">
        <v>40</v>
      </c>
      <c r="D20">
        <v>113.4</v>
      </c>
      <c r="E20">
        <v>114.9</v>
      </c>
      <c r="F20">
        <v>110.5</v>
      </c>
      <c r="G20">
        <v>109.3</v>
      </c>
      <c r="H20">
        <v>106.2</v>
      </c>
      <c r="I20">
        <v>110.3</v>
      </c>
      <c r="J20">
        <v>129.19999999999999</v>
      </c>
      <c r="K20">
        <v>107.1</v>
      </c>
      <c r="L20">
        <v>104.3</v>
      </c>
      <c r="M20">
        <v>106.4</v>
      </c>
      <c r="N20">
        <v>109.1</v>
      </c>
      <c r="O20">
        <v>112.1</v>
      </c>
      <c r="P20">
        <v>109.8</v>
      </c>
      <c r="Q20">
        <v>110.5</v>
      </c>
      <c r="R20">
        <v>109.5</v>
      </c>
      <c r="S20" t="s">
        <v>32</v>
      </c>
      <c r="T20">
        <v>109.5</v>
      </c>
      <c r="U20">
        <v>108.3</v>
      </c>
      <c r="V20">
        <v>106.9</v>
      </c>
      <c r="W20">
        <v>106.8</v>
      </c>
      <c r="X20">
        <v>106.4</v>
      </c>
      <c r="Y20">
        <v>107.8</v>
      </c>
      <c r="Z20">
        <v>102.5</v>
      </c>
      <c r="AA20">
        <v>106.5</v>
      </c>
      <c r="AB20">
        <f t="shared" si="0"/>
        <v>109.44782608695652</v>
      </c>
      <c r="AC20">
        <v>110.7</v>
      </c>
    </row>
    <row r="21" spans="1:29">
      <c r="A21" t="s">
        <v>33</v>
      </c>
      <c r="B21">
        <v>2013</v>
      </c>
      <c r="C21" t="s">
        <v>40</v>
      </c>
      <c r="D21">
        <v>117.8</v>
      </c>
      <c r="E21">
        <v>119.2</v>
      </c>
      <c r="F21">
        <v>114</v>
      </c>
      <c r="G21">
        <v>108.3</v>
      </c>
      <c r="H21">
        <v>101.1</v>
      </c>
      <c r="I21">
        <v>113.2</v>
      </c>
      <c r="J21">
        <v>160.9</v>
      </c>
      <c r="K21">
        <v>105.1</v>
      </c>
      <c r="L21">
        <v>101.3</v>
      </c>
      <c r="M21">
        <v>107.5</v>
      </c>
      <c r="N21">
        <v>110.4</v>
      </c>
      <c r="O21">
        <v>113.1</v>
      </c>
      <c r="P21">
        <v>111.7</v>
      </c>
      <c r="Q21">
        <v>109.8</v>
      </c>
      <c r="R21">
        <v>107.8</v>
      </c>
      <c r="S21">
        <v>107.7</v>
      </c>
      <c r="T21">
        <v>108.6</v>
      </c>
      <c r="U21">
        <v>108.1</v>
      </c>
      <c r="V21">
        <v>107.1</v>
      </c>
      <c r="W21">
        <v>107.3</v>
      </c>
      <c r="X21">
        <v>105.9</v>
      </c>
      <c r="Y21">
        <v>110.1</v>
      </c>
      <c r="Z21">
        <v>103.2</v>
      </c>
      <c r="AA21">
        <v>107.3</v>
      </c>
      <c r="AB21">
        <f t="shared" si="0"/>
        <v>111.10416666666667</v>
      </c>
      <c r="AC21">
        <v>111.4</v>
      </c>
    </row>
    <row r="22" spans="1:29">
      <c r="A22" t="s">
        <v>34</v>
      </c>
      <c r="B22">
        <v>2013</v>
      </c>
      <c r="C22" t="s">
        <v>40</v>
      </c>
      <c r="D22">
        <v>114.8</v>
      </c>
      <c r="E22">
        <v>116.4</v>
      </c>
      <c r="F22">
        <v>111.9</v>
      </c>
      <c r="G22">
        <v>108.9</v>
      </c>
      <c r="H22">
        <v>104.3</v>
      </c>
      <c r="I22">
        <v>111.7</v>
      </c>
      <c r="J22">
        <v>140</v>
      </c>
      <c r="K22">
        <v>106.4</v>
      </c>
      <c r="L22">
        <v>103.3</v>
      </c>
      <c r="M22">
        <v>106.8</v>
      </c>
      <c r="N22">
        <v>109.6</v>
      </c>
      <c r="O22">
        <v>112.6</v>
      </c>
      <c r="P22">
        <v>110.3</v>
      </c>
      <c r="Q22">
        <v>110.2</v>
      </c>
      <c r="R22">
        <v>108.8</v>
      </c>
      <c r="S22">
        <v>107.7</v>
      </c>
      <c r="T22">
        <v>109.2</v>
      </c>
      <c r="U22">
        <v>108.2</v>
      </c>
      <c r="V22">
        <v>107</v>
      </c>
      <c r="W22">
        <v>107.1</v>
      </c>
      <c r="X22">
        <v>106.1</v>
      </c>
      <c r="Y22">
        <v>109.1</v>
      </c>
      <c r="Z22">
        <v>102.8</v>
      </c>
      <c r="AA22">
        <v>106.9</v>
      </c>
      <c r="AB22">
        <f t="shared" si="0"/>
        <v>110.00416666666666</v>
      </c>
      <c r="AC22">
        <v>111</v>
      </c>
    </row>
    <row r="23" spans="1:29">
      <c r="A23" t="s">
        <v>30</v>
      </c>
      <c r="B23">
        <v>2013</v>
      </c>
      <c r="C23" t="s">
        <v>41</v>
      </c>
      <c r="D23">
        <v>114.3</v>
      </c>
      <c r="E23">
        <v>115.4</v>
      </c>
      <c r="F23">
        <v>111.1</v>
      </c>
      <c r="G23">
        <v>110</v>
      </c>
      <c r="H23">
        <v>106.4</v>
      </c>
      <c r="I23">
        <v>110.8</v>
      </c>
      <c r="J23">
        <v>138.9</v>
      </c>
      <c r="K23">
        <v>107.4</v>
      </c>
      <c r="L23">
        <v>104.1</v>
      </c>
      <c r="M23">
        <v>106.9</v>
      </c>
      <c r="N23">
        <v>109.7</v>
      </c>
      <c r="O23">
        <v>112.6</v>
      </c>
      <c r="P23">
        <v>110.7</v>
      </c>
      <c r="Q23">
        <v>111.3</v>
      </c>
      <c r="R23">
        <v>110.2</v>
      </c>
      <c r="S23" t="s">
        <v>32</v>
      </c>
      <c r="T23">
        <v>109.9</v>
      </c>
      <c r="U23">
        <v>108.7</v>
      </c>
      <c r="V23">
        <v>107.5</v>
      </c>
      <c r="W23">
        <v>107.8</v>
      </c>
      <c r="X23">
        <v>106.8</v>
      </c>
      <c r="Y23">
        <v>108.7</v>
      </c>
      <c r="Z23">
        <v>105</v>
      </c>
      <c r="AA23">
        <v>107.5</v>
      </c>
      <c r="AB23">
        <f t="shared" si="0"/>
        <v>110.50869565217393</v>
      </c>
      <c r="AC23">
        <v>112.1</v>
      </c>
    </row>
    <row r="24" spans="1:29">
      <c r="A24" t="s">
        <v>33</v>
      </c>
      <c r="B24">
        <v>2013</v>
      </c>
      <c r="C24" t="s">
        <v>41</v>
      </c>
      <c r="D24">
        <v>118.3</v>
      </c>
      <c r="E24">
        <v>120.4</v>
      </c>
      <c r="F24">
        <v>112.7</v>
      </c>
      <c r="G24">
        <v>108.9</v>
      </c>
      <c r="H24">
        <v>101.1</v>
      </c>
      <c r="I24">
        <v>108.7</v>
      </c>
      <c r="J24">
        <v>177</v>
      </c>
      <c r="K24">
        <v>104.7</v>
      </c>
      <c r="L24">
        <v>101</v>
      </c>
      <c r="M24">
        <v>108.5</v>
      </c>
      <c r="N24">
        <v>110.9</v>
      </c>
      <c r="O24">
        <v>114.3</v>
      </c>
      <c r="P24">
        <v>112.4</v>
      </c>
      <c r="Q24">
        <v>110.6</v>
      </c>
      <c r="R24">
        <v>108.3</v>
      </c>
      <c r="S24">
        <v>108.9</v>
      </c>
      <c r="T24">
        <v>109.3</v>
      </c>
      <c r="U24">
        <v>108.7</v>
      </c>
      <c r="V24">
        <v>107.6</v>
      </c>
      <c r="W24">
        <v>108.1</v>
      </c>
      <c r="X24">
        <v>106.5</v>
      </c>
      <c r="Y24">
        <v>110.8</v>
      </c>
      <c r="Z24">
        <v>106</v>
      </c>
      <c r="AA24">
        <v>108.3</v>
      </c>
      <c r="AB24">
        <f t="shared" si="0"/>
        <v>112.16666666666669</v>
      </c>
      <c r="AC24">
        <v>112.7</v>
      </c>
    </row>
    <row r="25" spans="1:29">
      <c r="A25" t="s">
        <v>34</v>
      </c>
      <c r="B25">
        <v>2013</v>
      </c>
      <c r="C25" t="s">
        <v>41</v>
      </c>
      <c r="D25">
        <v>115.6</v>
      </c>
      <c r="E25">
        <v>117.2</v>
      </c>
      <c r="F25">
        <v>111.7</v>
      </c>
      <c r="G25">
        <v>109.6</v>
      </c>
      <c r="H25">
        <v>104.5</v>
      </c>
      <c r="I25">
        <v>109.8</v>
      </c>
      <c r="J25">
        <v>151.80000000000001</v>
      </c>
      <c r="K25">
        <v>106.5</v>
      </c>
      <c r="L25">
        <v>103.1</v>
      </c>
      <c r="M25">
        <v>107.4</v>
      </c>
      <c r="N25">
        <v>110.2</v>
      </c>
      <c r="O25">
        <v>113.4</v>
      </c>
      <c r="P25">
        <v>111.2</v>
      </c>
      <c r="Q25">
        <v>111</v>
      </c>
      <c r="R25">
        <v>109.4</v>
      </c>
      <c r="S25">
        <v>108.9</v>
      </c>
      <c r="T25">
        <v>109.7</v>
      </c>
      <c r="U25">
        <v>108.7</v>
      </c>
      <c r="V25">
        <v>107.5</v>
      </c>
      <c r="W25">
        <v>108</v>
      </c>
      <c r="X25">
        <v>106.6</v>
      </c>
      <c r="Y25">
        <v>109.9</v>
      </c>
      <c r="Z25">
        <v>105.4</v>
      </c>
      <c r="AA25">
        <v>107.9</v>
      </c>
      <c r="AB25">
        <f t="shared" si="0"/>
        <v>111.0416666666667</v>
      </c>
      <c r="AC25">
        <v>112.4</v>
      </c>
    </row>
    <row r="26" spans="1:29">
      <c r="A26" t="s">
        <v>30</v>
      </c>
      <c r="B26">
        <v>2013</v>
      </c>
      <c r="C26" t="s">
        <v>42</v>
      </c>
      <c r="D26">
        <v>115.4</v>
      </c>
      <c r="E26">
        <v>115.7</v>
      </c>
      <c r="F26">
        <v>111.7</v>
      </c>
      <c r="G26">
        <v>111</v>
      </c>
      <c r="H26">
        <v>107.4</v>
      </c>
      <c r="I26">
        <v>110.9</v>
      </c>
      <c r="J26">
        <v>154</v>
      </c>
      <c r="K26">
        <v>108.1</v>
      </c>
      <c r="L26">
        <v>104.2</v>
      </c>
      <c r="M26">
        <v>107.9</v>
      </c>
      <c r="N26">
        <v>110.4</v>
      </c>
      <c r="O26">
        <v>114</v>
      </c>
      <c r="P26">
        <v>111.7</v>
      </c>
      <c r="Q26">
        <v>112.7</v>
      </c>
      <c r="R26">
        <v>111.4</v>
      </c>
      <c r="S26" t="s">
        <v>32</v>
      </c>
      <c r="T26">
        <v>111.1</v>
      </c>
      <c r="U26">
        <v>109.6</v>
      </c>
      <c r="V26">
        <v>108.3</v>
      </c>
      <c r="W26">
        <v>109.3</v>
      </c>
      <c r="X26">
        <v>107.7</v>
      </c>
      <c r="Y26">
        <v>109.8</v>
      </c>
      <c r="Z26">
        <v>106.7</v>
      </c>
      <c r="AA26">
        <v>108.7</v>
      </c>
      <c r="AB26">
        <f t="shared" si="0"/>
        <v>112.07391304347826</v>
      </c>
      <c r="AC26">
        <v>114.2</v>
      </c>
    </row>
    <row r="27" spans="1:29">
      <c r="A27" t="s">
        <v>33</v>
      </c>
      <c r="B27">
        <v>2013</v>
      </c>
      <c r="C27" t="s">
        <v>42</v>
      </c>
      <c r="D27">
        <v>118.6</v>
      </c>
      <c r="E27">
        <v>119.1</v>
      </c>
      <c r="F27">
        <v>113.2</v>
      </c>
      <c r="G27">
        <v>109.6</v>
      </c>
      <c r="H27">
        <v>101.7</v>
      </c>
      <c r="I27">
        <v>103.2</v>
      </c>
      <c r="J27">
        <v>174.3</v>
      </c>
      <c r="K27">
        <v>105.1</v>
      </c>
      <c r="L27">
        <v>100.8</v>
      </c>
      <c r="M27">
        <v>109.1</v>
      </c>
      <c r="N27">
        <v>111.1</v>
      </c>
      <c r="O27">
        <v>115.4</v>
      </c>
      <c r="P27">
        <v>112.9</v>
      </c>
      <c r="Q27">
        <v>111.4</v>
      </c>
      <c r="R27">
        <v>109</v>
      </c>
      <c r="S27">
        <v>109.7</v>
      </c>
      <c r="T27">
        <v>109.5</v>
      </c>
      <c r="U27">
        <v>109.6</v>
      </c>
      <c r="V27">
        <v>107.9</v>
      </c>
      <c r="W27">
        <v>110.4</v>
      </c>
      <c r="X27">
        <v>107.4</v>
      </c>
      <c r="Y27">
        <v>111.2</v>
      </c>
      <c r="Z27">
        <v>106.9</v>
      </c>
      <c r="AA27">
        <v>109.4</v>
      </c>
      <c r="AB27">
        <f t="shared" si="0"/>
        <v>112.35416666666669</v>
      </c>
      <c r="AC27">
        <v>113.2</v>
      </c>
    </row>
    <row r="28" spans="1:29">
      <c r="A28" t="s">
        <v>34</v>
      </c>
      <c r="B28">
        <v>2013</v>
      </c>
      <c r="C28" t="s">
        <v>42</v>
      </c>
      <c r="D28">
        <v>116.4</v>
      </c>
      <c r="E28">
        <v>116.9</v>
      </c>
      <c r="F28">
        <v>112.3</v>
      </c>
      <c r="G28">
        <v>110.5</v>
      </c>
      <c r="H28">
        <v>105.3</v>
      </c>
      <c r="I28">
        <v>107.3</v>
      </c>
      <c r="J28">
        <v>160.9</v>
      </c>
      <c r="K28">
        <v>107.1</v>
      </c>
      <c r="L28">
        <v>103.1</v>
      </c>
      <c r="M28">
        <v>108.3</v>
      </c>
      <c r="N28">
        <v>110.7</v>
      </c>
      <c r="O28">
        <v>114.6</v>
      </c>
      <c r="P28">
        <v>112</v>
      </c>
      <c r="Q28">
        <v>112.2</v>
      </c>
      <c r="R28">
        <v>110.4</v>
      </c>
      <c r="S28">
        <v>109.7</v>
      </c>
      <c r="T28">
        <v>110.5</v>
      </c>
      <c r="U28">
        <v>109.6</v>
      </c>
      <c r="V28">
        <v>108.1</v>
      </c>
      <c r="W28">
        <v>109.9</v>
      </c>
      <c r="X28">
        <v>107.5</v>
      </c>
      <c r="Y28">
        <v>110.6</v>
      </c>
      <c r="Z28">
        <v>106.8</v>
      </c>
      <c r="AA28">
        <v>109</v>
      </c>
      <c r="AB28">
        <f t="shared" si="0"/>
        <v>112.07083333333334</v>
      </c>
      <c r="AC28">
        <v>113.7</v>
      </c>
    </row>
    <row r="29" spans="1:29">
      <c r="A29" t="s">
        <v>30</v>
      </c>
      <c r="B29">
        <v>2013</v>
      </c>
      <c r="C29" t="s">
        <v>43</v>
      </c>
      <c r="D29">
        <v>116.3</v>
      </c>
      <c r="E29">
        <v>115.4</v>
      </c>
      <c r="F29">
        <v>112.6</v>
      </c>
      <c r="G29">
        <v>111.7</v>
      </c>
      <c r="H29">
        <v>107.7</v>
      </c>
      <c r="I29">
        <v>113.2</v>
      </c>
      <c r="J29">
        <v>164.9</v>
      </c>
      <c r="K29">
        <v>108.3</v>
      </c>
      <c r="L29">
        <v>103.9</v>
      </c>
      <c r="M29">
        <v>108.2</v>
      </c>
      <c r="N29">
        <v>111.1</v>
      </c>
      <c r="O29">
        <v>114.9</v>
      </c>
      <c r="P29">
        <v>112.2</v>
      </c>
      <c r="Q29">
        <v>113.6</v>
      </c>
      <c r="R29">
        <v>112.3</v>
      </c>
      <c r="S29" t="s">
        <v>32</v>
      </c>
      <c r="T29">
        <v>111.6</v>
      </c>
      <c r="U29">
        <v>110.4</v>
      </c>
      <c r="V29">
        <v>108.9</v>
      </c>
      <c r="W29">
        <v>109.3</v>
      </c>
      <c r="X29">
        <v>108.3</v>
      </c>
      <c r="Y29">
        <v>110.2</v>
      </c>
      <c r="Z29">
        <v>107.5</v>
      </c>
      <c r="AA29">
        <v>109.1</v>
      </c>
      <c r="AB29">
        <f t="shared" si="0"/>
        <v>113.11304347826086</v>
      </c>
      <c r="AC29">
        <v>115.5</v>
      </c>
    </row>
    <row r="30" spans="1:29">
      <c r="A30" t="s">
        <v>33</v>
      </c>
      <c r="B30">
        <v>2013</v>
      </c>
      <c r="C30" t="s">
        <v>43</v>
      </c>
      <c r="D30">
        <v>118.9</v>
      </c>
      <c r="E30">
        <v>118.1</v>
      </c>
      <c r="F30">
        <v>114.5</v>
      </c>
      <c r="G30">
        <v>110.4</v>
      </c>
      <c r="H30">
        <v>102.3</v>
      </c>
      <c r="I30">
        <v>106.2</v>
      </c>
      <c r="J30">
        <v>183.5</v>
      </c>
      <c r="K30">
        <v>105.3</v>
      </c>
      <c r="L30">
        <v>100.2</v>
      </c>
      <c r="M30">
        <v>109.6</v>
      </c>
      <c r="N30">
        <v>111.4</v>
      </c>
      <c r="O30">
        <v>116</v>
      </c>
      <c r="P30">
        <v>113.5</v>
      </c>
      <c r="Q30">
        <v>112.5</v>
      </c>
      <c r="R30">
        <v>109.7</v>
      </c>
      <c r="S30">
        <v>110.5</v>
      </c>
      <c r="T30">
        <v>109.7</v>
      </c>
      <c r="U30">
        <v>110.2</v>
      </c>
      <c r="V30">
        <v>108.2</v>
      </c>
      <c r="W30">
        <v>109.7</v>
      </c>
      <c r="X30">
        <v>108</v>
      </c>
      <c r="Y30">
        <v>111.3</v>
      </c>
      <c r="Z30">
        <v>107.3</v>
      </c>
      <c r="AA30">
        <v>109.4</v>
      </c>
      <c r="AB30">
        <f t="shared" si="0"/>
        <v>113.18333333333334</v>
      </c>
      <c r="AC30">
        <v>114</v>
      </c>
    </row>
    <row r="31" spans="1:29">
      <c r="A31" t="s">
        <v>34</v>
      </c>
      <c r="B31">
        <v>2013</v>
      </c>
      <c r="C31" t="s">
        <v>43</v>
      </c>
      <c r="D31">
        <v>117.1</v>
      </c>
      <c r="E31">
        <v>116.3</v>
      </c>
      <c r="F31">
        <v>113.3</v>
      </c>
      <c r="G31">
        <v>111.2</v>
      </c>
      <c r="H31">
        <v>105.7</v>
      </c>
      <c r="I31">
        <v>109.9</v>
      </c>
      <c r="J31">
        <v>171.2</v>
      </c>
      <c r="K31">
        <v>107.3</v>
      </c>
      <c r="L31">
        <v>102.7</v>
      </c>
      <c r="M31">
        <v>108.7</v>
      </c>
      <c r="N31">
        <v>111.2</v>
      </c>
      <c r="O31">
        <v>115.4</v>
      </c>
      <c r="P31">
        <v>112.5</v>
      </c>
      <c r="Q31">
        <v>113.2</v>
      </c>
      <c r="R31">
        <v>111.2</v>
      </c>
      <c r="S31">
        <v>110.5</v>
      </c>
      <c r="T31">
        <v>110.9</v>
      </c>
      <c r="U31">
        <v>110.3</v>
      </c>
      <c r="V31">
        <v>108.6</v>
      </c>
      <c r="W31">
        <v>109.5</v>
      </c>
      <c r="X31">
        <v>108.1</v>
      </c>
      <c r="Y31">
        <v>110.8</v>
      </c>
      <c r="Z31">
        <v>107.4</v>
      </c>
      <c r="AA31">
        <v>109.2</v>
      </c>
      <c r="AB31">
        <f t="shared" si="0"/>
        <v>113.00833333333334</v>
      </c>
      <c r="AC31">
        <v>114.8</v>
      </c>
    </row>
    <row r="32" spans="1:29">
      <c r="A32" t="s">
        <v>30</v>
      </c>
      <c r="B32">
        <v>2013</v>
      </c>
      <c r="C32" t="s">
        <v>44</v>
      </c>
      <c r="D32">
        <v>117.3</v>
      </c>
      <c r="E32">
        <v>114.9</v>
      </c>
      <c r="F32">
        <v>116.2</v>
      </c>
      <c r="G32">
        <v>112.8</v>
      </c>
      <c r="H32">
        <v>108.9</v>
      </c>
      <c r="I32">
        <v>116.6</v>
      </c>
      <c r="J32">
        <v>178.1</v>
      </c>
      <c r="K32">
        <v>109.1</v>
      </c>
      <c r="L32">
        <v>103.6</v>
      </c>
      <c r="M32">
        <v>109</v>
      </c>
      <c r="N32">
        <v>111.8</v>
      </c>
      <c r="O32">
        <v>116</v>
      </c>
      <c r="P32">
        <v>112.8</v>
      </c>
      <c r="Q32">
        <v>114.6</v>
      </c>
      <c r="R32">
        <v>113.1</v>
      </c>
      <c r="S32" t="s">
        <v>32</v>
      </c>
      <c r="T32">
        <v>112.6</v>
      </c>
      <c r="U32">
        <v>111.3</v>
      </c>
      <c r="V32">
        <v>109.7</v>
      </c>
      <c r="W32">
        <v>109.6</v>
      </c>
      <c r="X32">
        <v>108.7</v>
      </c>
      <c r="Y32">
        <v>111</v>
      </c>
      <c r="Z32">
        <v>108.2</v>
      </c>
      <c r="AA32">
        <v>109.8</v>
      </c>
      <c r="AB32">
        <f t="shared" si="0"/>
        <v>114.59565217391301</v>
      </c>
      <c r="AC32">
        <v>117.4</v>
      </c>
    </row>
    <row r="33" spans="1:29">
      <c r="A33" t="s">
        <v>33</v>
      </c>
      <c r="B33">
        <v>2013</v>
      </c>
      <c r="C33" t="s">
        <v>45</v>
      </c>
      <c r="D33">
        <v>119.8</v>
      </c>
      <c r="E33">
        <v>116.3</v>
      </c>
      <c r="F33">
        <v>122.6</v>
      </c>
      <c r="G33">
        <v>112</v>
      </c>
      <c r="H33">
        <v>103.2</v>
      </c>
      <c r="I33">
        <v>110</v>
      </c>
      <c r="J33">
        <v>192.8</v>
      </c>
      <c r="K33">
        <v>106.3</v>
      </c>
      <c r="L33">
        <v>99.5</v>
      </c>
      <c r="M33">
        <v>110.3</v>
      </c>
      <c r="N33">
        <v>111.8</v>
      </c>
      <c r="O33">
        <v>117.1</v>
      </c>
      <c r="P33">
        <v>114.1</v>
      </c>
      <c r="Q33">
        <v>113.5</v>
      </c>
      <c r="R33">
        <v>110.3</v>
      </c>
      <c r="S33">
        <v>111.1</v>
      </c>
      <c r="T33">
        <v>110</v>
      </c>
      <c r="U33">
        <v>110.9</v>
      </c>
      <c r="V33">
        <v>108.6</v>
      </c>
      <c r="W33">
        <v>109.5</v>
      </c>
      <c r="X33">
        <v>108.5</v>
      </c>
      <c r="Y33">
        <v>111.3</v>
      </c>
      <c r="Z33">
        <v>107.9</v>
      </c>
      <c r="AA33">
        <v>109.6</v>
      </c>
      <c r="AB33">
        <f t="shared" si="0"/>
        <v>114.45833333333331</v>
      </c>
      <c r="AC33">
        <v>115</v>
      </c>
    </row>
    <row r="34" spans="1:29">
      <c r="A34" t="s">
        <v>34</v>
      </c>
      <c r="B34">
        <v>2013</v>
      </c>
      <c r="C34" t="s">
        <v>45</v>
      </c>
      <c r="D34">
        <v>118.1</v>
      </c>
      <c r="E34">
        <v>115.4</v>
      </c>
      <c r="F34">
        <v>118.7</v>
      </c>
      <c r="G34">
        <v>112.5</v>
      </c>
      <c r="H34">
        <v>106.8</v>
      </c>
      <c r="I34">
        <v>113.5</v>
      </c>
      <c r="J34">
        <v>183.1</v>
      </c>
      <c r="K34">
        <v>108.2</v>
      </c>
      <c r="L34">
        <v>102.2</v>
      </c>
      <c r="M34">
        <v>109.4</v>
      </c>
      <c r="N34">
        <v>111.8</v>
      </c>
      <c r="O34">
        <v>116.5</v>
      </c>
      <c r="P34">
        <v>113.1</v>
      </c>
      <c r="Q34">
        <v>114.2</v>
      </c>
      <c r="R34">
        <v>111.9</v>
      </c>
      <c r="S34">
        <v>111.1</v>
      </c>
      <c r="T34">
        <v>111.6</v>
      </c>
      <c r="U34">
        <v>111.1</v>
      </c>
      <c r="V34">
        <v>109.3</v>
      </c>
      <c r="W34">
        <v>109.5</v>
      </c>
      <c r="X34">
        <v>108.6</v>
      </c>
      <c r="Y34">
        <v>111.2</v>
      </c>
      <c r="Z34">
        <v>108.1</v>
      </c>
      <c r="AA34">
        <v>109.7</v>
      </c>
      <c r="AB34">
        <f t="shared" si="0"/>
        <v>114.39999999999998</v>
      </c>
      <c r="AC34">
        <v>116.3</v>
      </c>
    </row>
    <row r="35" spans="1:29">
      <c r="A35" t="s">
        <v>30</v>
      </c>
      <c r="B35">
        <v>2013</v>
      </c>
      <c r="C35" t="s">
        <v>46</v>
      </c>
      <c r="D35">
        <v>118.4</v>
      </c>
      <c r="E35">
        <v>115.9</v>
      </c>
      <c r="F35">
        <v>120.4</v>
      </c>
      <c r="G35">
        <v>113.8</v>
      </c>
      <c r="H35">
        <v>109.5</v>
      </c>
      <c r="I35">
        <v>115.5</v>
      </c>
      <c r="J35">
        <v>145.69999999999999</v>
      </c>
      <c r="K35">
        <v>109.5</v>
      </c>
      <c r="L35">
        <v>102.9</v>
      </c>
      <c r="M35">
        <v>109.8</v>
      </c>
      <c r="N35">
        <v>112.1</v>
      </c>
      <c r="O35">
        <v>116.8</v>
      </c>
      <c r="P35">
        <v>113.6</v>
      </c>
      <c r="Q35">
        <v>115.8</v>
      </c>
      <c r="R35">
        <v>114</v>
      </c>
      <c r="S35" t="s">
        <v>32</v>
      </c>
      <c r="T35">
        <v>112.8</v>
      </c>
      <c r="U35">
        <v>112.1</v>
      </c>
      <c r="V35">
        <v>110.1</v>
      </c>
      <c r="W35">
        <v>109.9</v>
      </c>
      <c r="X35">
        <v>109.2</v>
      </c>
      <c r="Y35">
        <v>111.6</v>
      </c>
      <c r="Z35">
        <v>108.1</v>
      </c>
      <c r="AA35">
        <v>110.1</v>
      </c>
      <c r="AB35">
        <f t="shared" si="0"/>
        <v>113.8086956521739</v>
      </c>
      <c r="AC35">
        <v>115.5</v>
      </c>
    </row>
    <row r="36" spans="1:29">
      <c r="A36" t="s">
        <v>33</v>
      </c>
      <c r="B36">
        <v>2013</v>
      </c>
      <c r="C36" t="s">
        <v>46</v>
      </c>
      <c r="D36">
        <v>120.5</v>
      </c>
      <c r="E36">
        <v>118.1</v>
      </c>
      <c r="F36">
        <v>128.5</v>
      </c>
      <c r="G36">
        <v>112.8</v>
      </c>
      <c r="H36">
        <v>103.4</v>
      </c>
      <c r="I36">
        <v>110.7</v>
      </c>
      <c r="J36">
        <v>144.80000000000001</v>
      </c>
      <c r="K36">
        <v>107.1</v>
      </c>
      <c r="L36">
        <v>98.6</v>
      </c>
      <c r="M36">
        <v>111.9</v>
      </c>
      <c r="N36">
        <v>112.1</v>
      </c>
      <c r="O36">
        <v>118.1</v>
      </c>
      <c r="P36">
        <v>115</v>
      </c>
      <c r="Q36">
        <v>114.2</v>
      </c>
      <c r="R36">
        <v>110.9</v>
      </c>
      <c r="S36">
        <v>110.7</v>
      </c>
      <c r="T36">
        <v>110.4</v>
      </c>
      <c r="U36">
        <v>111.3</v>
      </c>
      <c r="V36">
        <v>109</v>
      </c>
      <c r="W36">
        <v>109.7</v>
      </c>
      <c r="X36">
        <v>108.9</v>
      </c>
      <c r="Y36">
        <v>111.4</v>
      </c>
      <c r="Z36">
        <v>107.7</v>
      </c>
      <c r="AA36">
        <v>109.8</v>
      </c>
      <c r="AB36">
        <f t="shared" si="0"/>
        <v>113.15000000000002</v>
      </c>
      <c r="AC36">
        <v>113.3</v>
      </c>
    </row>
    <row r="37" spans="1:29">
      <c r="A37" t="s">
        <v>34</v>
      </c>
      <c r="B37">
        <v>2013</v>
      </c>
      <c r="C37" t="s">
        <v>46</v>
      </c>
      <c r="D37">
        <v>119.1</v>
      </c>
      <c r="E37">
        <v>116.7</v>
      </c>
      <c r="F37">
        <v>123.5</v>
      </c>
      <c r="G37">
        <v>113.4</v>
      </c>
      <c r="H37">
        <v>107.3</v>
      </c>
      <c r="I37">
        <v>113.3</v>
      </c>
      <c r="J37">
        <v>145.4</v>
      </c>
      <c r="K37">
        <v>108.7</v>
      </c>
      <c r="L37">
        <v>101.5</v>
      </c>
      <c r="M37">
        <v>110.5</v>
      </c>
      <c r="N37">
        <v>112.1</v>
      </c>
      <c r="O37">
        <v>117.4</v>
      </c>
      <c r="P37">
        <v>114</v>
      </c>
      <c r="Q37">
        <v>115.2</v>
      </c>
      <c r="R37">
        <v>112.7</v>
      </c>
      <c r="S37">
        <v>110.7</v>
      </c>
      <c r="T37">
        <v>111.9</v>
      </c>
      <c r="U37">
        <v>111.7</v>
      </c>
      <c r="V37">
        <v>109.7</v>
      </c>
      <c r="W37">
        <v>109.8</v>
      </c>
      <c r="X37">
        <v>109</v>
      </c>
      <c r="Y37">
        <v>111.5</v>
      </c>
      <c r="Z37">
        <v>107.9</v>
      </c>
      <c r="AA37">
        <v>110</v>
      </c>
      <c r="AB37">
        <f t="shared" si="0"/>
        <v>113.45833333333336</v>
      </c>
      <c r="AC37">
        <v>114.5</v>
      </c>
    </row>
    <row r="38" spans="1:29">
      <c r="A38" t="s">
        <v>30</v>
      </c>
      <c r="B38">
        <v>2014</v>
      </c>
      <c r="C38" t="s">
        <v>31</v>
      </c>
      <c r="D38">
        <v>118.9</v>
      </c>
      <c r="E38">
        <v>117.1</v>
      </c>
      <c r="F38">
        <v>120.5</v>
      </c>
      <c r="G38">
        <v>114.4</v>
      </c>
      <c r="H38">
        <v>109</v>
      </c>
      <c r="I38">
        <v>115.5</v>
      </c>
      <c r="J38">
        <v>123.9</v>
      </c>
      <c r="K38">
        <v>109.6</v>
      </c>
      <c r="L38">
        <v>101.8</v>
      </c>
      <c r="M38">
        <v>110.2</v>
      </c>
      <c r="N38">
        <v>112.4</v>
      </c>
      <c r="O38">
        <v>117.3</v>
      </c>
      <c r="P38">
        <v>114</v>
      </c>
      <c r="Q38">
        <v>116.5</v>
      </c>
      <c r="R38">
        <v>114.5</v>
      </c>
      <c r="S38" t="s">
        <v>32</v>
      </c>
      <c r="T38">
        <v>113</v>
      </c>
      <c r="U38">
        <v>112.6</v>
      </c>
      <c r="V38">
        <v>110.6</v>
      </c>
      <c r="W38">
        <v>110.5</v>
      </c>
      <c r="X38">
        <v>109.6</v>
      </c>
      <c r="Y38">
        <v>111.8</v>
      </c>
      <c r="Z38">
        <v>108.3</v>
      </c>
      <c r="AA38">
        <v>110.6</v>
      </c>
      <c r="AB38">
        <f t="shared" si="0"/>
        <v>113.15652173913045</v>
      </c>
      <c r="AC38">
        <v>114.2</v>
      </c>
    </row>
    <row r="39" spans="1:29">
      <c r="A39" t="s">
        <v>33</v>
      </c>
      <c r="B39">
        <v>2014</v>
      </c>
      <c r="C39" t="s">
        <v>31</v>
      </c>
      <c r="D39">
        <v>121.2</v>
      </c>
      <c r="E39">
        <v>122</v>
      </c>
      <c r="F39">
        <v>129.9</v>
      </c>
      <c r="G39">
        <v>113.6</v>
      </c>
      <c r="H39">
        <v>102.9</v>
      </c>
      <c r="I39">
        <v>112.1</v>
      </c>
      <c r="J39">
        <v>118.9</v>
      </c>
      <c r="K39">
        <v>107.5</v>
      </c>
      <c r="L39">
        <v>96.9</v>
      </c>
      <c r="M39">
        <v>112.7</v>
      </c>
      <c r="N39">
        <v>112.1</v>
      </c>
      <c r="O39">
        <v>119</v>
      </c>
      <c r="P39">
        <v>115.7</v>
      </c>
      <c r="Q39">
        <v>114.8</v>
      </c>
      <c r="R39">
        <v>111.3</v>
      </c>
      <c r="S39">
        <v>111.6</v>
      </c>
      <c r="T39">
        <v>111</v>
      </c>
      <c r="U39">
        <v>111.9</v>
      </c>
      <c r="V39">
        <v>109.7</v>
      </c>
      <c r="W39">
        <v>110.8</v>
      </c>
      <c r="X39">
        <v>109.8</v>
      </c>
      <c r="Y39">
        <v>111.5</v>
      </c>
      <c r="Z39">
        <v>108</v>
      </c>
      <c r="AA39">
        <v>110.5</v>
      </c>
      <c r="AB39">
        <f t="shared" si="0"/>
        <v>112.72500000000001</v>
      </c>
      <c r="AC39">
        <v>112.9</v>
      </c>
    </row>
    <row r="40" spans="1:29">
      <c r="A40" t="s">
        <v>34</v>
      </c>
      <c r="B40">
        <v>2014</v>
      </c>
      <c r="C40" t="s">
        <v>31</v>
      </c>
      <c r="D40">
        <v>119.6</v>
      </c>
      <c r="E40">
        <v>118.8</v>
      </c>
      <c r="F40">
        <v>124.1</v>
      </c>
      <c r="G40">
        <v>114.1</v>
      </c>
      <c r="H40">
        <v>106.8</v>
      </c>
      <c r="I40">
        <v>113.9</v>
      </c>
      <c r="J40">
        <v>122.2</v>
      </c>
      <c r="K40">
        <v>108.9</v>
      </c>
      <c r="L40">
        <v>100.2</v>
      </c>
      <c r="M40">
        <v>111</v>
      </c>
      <c r="N40">
        <v>112.3</v>
      </c>
      <c r="O40">
        <v>118.1</v>
      </c>
      <c r="P40">
        <v>114.5</v>
      </c>
      <c r="Q40">
        <v>115.8</v>
      </c>
      <c r="R40">
        <v>113.2</v>
      </c>
      <c r="S40">
        <v>111.6</v>
      </c>
      <c r="T40">
        <v>112.2</v>
      </c>
      <c r="U40">
        <v>112.3</v>
      </c>
      <c r="V40">
        <v>110.3</v>
      </c>
      <c r="W40">
        <v>110.7</v>
      </c>
      <c r="X40">
        <v>109.7</v>
      </c>
      <c r="Y40">
        <v>111.6</v>
      </c>
      <c r="Z40">
        <v>108.2</v>
      </c>
      <c r="AA40">
        <v>110.6</v>
      </c>
      <c r="AB40">
        <f t="shared" si="0"/>
        <v>112.94583333333331</v>
      </c>
      <c r="AC40">
        <v>113.6</v>
      </c>
    </row>
    <row r="41" spans="1:29">
      <c r="A41" t="s">
        <v>30</v>
      </c>
      <c r="B41">
        <v>2014</v>
      </c>
      <c r="C41" t="s">
        <v>35</v>
      </c>
      <c r="D41">
        <v>119.4</v>
      </c>
      <c r="E41">
        <v>117.7</v>
      </c>
      <c r="F41">
        <v>121.2</v>
      </c>
      <c r="G41">
        <v>115</v>
      </c>
      <c r="H41">
        <v>109</v>
      </c>
      <c r="I41">
        <v>116.6</v>
      </c>
      <c r="J41">
        <v>116</v>
      </c>
      <c r="K41">
        <v>109.8</v>
      </c>
      <c r="L41">
        <v>101.1</v>
      </c>
      <c r="M41">
        <v>110.4</v>
      </c>
      <c r="N41">
        <v>112.9</v>
      </c>
      <c r="O41">
        <v>117.8</v>
      </c>
      <c r="P41">
        <v>114.2</v>
      </c>
      <c r="Q41">
        <v>117.1</v>
      </c>
      <c r="R41">
        <v>114.5</v>
      </c>
      <c r="S41" t="s">
        <v>32</v>
      </c>
      <c r="T41">
        <v>113.2</v>
      </c>
      <c r="U41">
        <v>112.9</v>
      </c>
      <c r="V41">
        <v>110.9</v>
      </c>
      <c r="W41">
        <v>110.8</v>
      </c>
      <c r="X41">
        <v>109.9</v>
      </c>
      <c r="Y41">
        <v>112</v>
      </c>
      <c r="Z41">
        <v>108.7</v>
      </c>
      <c r="AA41">
        <v>110.9</v>
      </c>
      <c r="AB41">
        <f t="shared" si="0"/>
        <v>113.13043478260872</v>
      </c>
      <c r="AC41">
        <v>114</v>
      </c>
    </row>
    <row r="42" spans="1:29">
      <c r="A42" t="s">
        <v>33</v>
      </c>
      <c r="B42">
        <v>2014</v>
      </c>
      <c r="C42" t="s">
        <v>35</v>
      </c>
      <c r="D42">
        <v>121.9</v>
      </c>
      <c r="E42">
        <v>122</v>
      </c>
      <c r="F42">
        <v>124.5</v>
      </c>
      <c r="G42">
        <v>115.2</v>
      </c>
      <c r="H42">
        <v>102.5</v>
      </c>
      <c r="I42">
        <v>114.1</v>
      </c>
      <c r="J42">
        <v>111.5</v>
      </c>
      <c r="K42">
        <v>108.2</v>
      </c>
      <c r="L42">
        <v>95.4</v>
      </c>
      <c r="M42">
        <v>113.5</v>
      </c>
      <c r="N42">
        <v>112.1</v>
      </c>
      <c r="O42">
        <v>119.9</v>
      </c>
      <c r="P42">
        <v>116.2</v>
      </c>
      <c r="Q42">
        <v>115.3</v>
      </c>
      <c r="R42">
        <v>111.7</v>
      </c>
      <c r="S42">
        <v>112.5</v>
      </c>
      <c r="T42">
        <v>111.1</v>
      </c>
      <c r="U42">
        <v>112.6</v>
      </c>
      <c r="V42">
        <v>110.4</v>
      </c>
      <c r="W42">
        <v>111.3</v>
      </c>
      <c r="X42">
        <v>110.3</v>
      </c>
      <c r="Y42">
        <v>111.6</v>
      </c>
      <c r="Z42">
        <v>108.7</v>
      </c>
      <c r="AA42">
        <v>111</v>
      </c>
      <c r="AB42">
        <f t="shared" si="0"/>
        <v>112.64583333333333</v>
      </c>
      <c r="AC42">
        <v>113.1</v>
      </c>
    </row>
    <row r="43" spans="1:29">
      <c r="A43" t="s">
        <v>34</v>
      </c>
      <c r="B43">
        <v>2014</v>
      </c>
      <c r="C43" t="s">
        <v>35</v>
      </c>
      <c r="D43">
        <v>120.2</v>
      </c>
      <c r="E43">
        <v>119.2</v>
      </c>
      <c r="F43">
        <v>122.5</v>
      </c>
      <c r="G43">
        <v>115.1</v>
      </c>
      <c r="H43">
        <v>106.6</v>
      </c>
      <c r="I43">
        <v>115.4</v>
      </c>
      <c r="J43">
        <v>114.5</v>
      </c>
      <c r="K43">
        <v>109.3</v>
      </c>
      <c r="L43">
        <v>99.2</v>
      </c>
      <c r="M43">
        <v>111.4</v>
      </c>
      <c r="N43">
        <v>112.6</v>
      </c>
      <c r="O43">
        <v>118.8</v>
      </c>
      <c r="P43">
        <v>114.7</v>
      </c>
      <c r="Q43">
        <v>116.4</v>
      </c>
      <c r="R43">
        <v>113.3</v>
      </c>
      <c r="S43">
        <v>112.5</v>
      </c>
      <c r="T43">
        <v>112.4</v>
      </c>
      <c r="U43">
        <v>112.8</v>
      </c>
      <c r="V43">
        <v>110.7</v>
      </c>
      <c r="W43">
        <v>111.1</v>
      </c>
      <c r="X43">
        <v>110.1</v>
      </c>
      <c r="Y43">
        <v>111.8</v>
      </c>
      <c r="Z43">
        <v>108.7</v>
      </c>
      <c r="AA43">
        <v>110.9</v>
      </c>
      <c r="AB43">
        <f t="shared" si="0"/>
        <v>112.925</v>
      </c>
      <c r="AC43">
        <v>113.6</v>
      </c>
    </row>
    <row r="44" spans="1:29">
      <c r="A44" t="s">
        <v>30</v>
      </c>
      <c r="B44">
        <v>2014</v>
      </c>
      <c r="C44" t="s">
        <v>36</v>
      </c>
      <c r="D44">
        <v>120.1</v>
      </c>
      <c r="E44">
        <v>118.1</v>
      </c>
      <c r="F44">
        <v>120.7</v>
      </c>
      <c r="G44">
        <v>116.1</v>
      </c>
      <c r="H44">
        <v>109.3</v>
      </c>
      <c r="I44">
        <v>119.6</v>
      </c>
      <c r="J44">
        <v>117.9</v>
      </c>
      <c r="K44">
        <v>110.2</v>
      </c>
      <c r="L44">
        <v>101.2</v>
      </c>
      <c r="M44">
        <v>110.7</v>
      </c>
      <c r="N44">
        <v>113</v>
      </c>
      <c r="O44">
        <v>118.3</v>
      </c>
      <c r="P44">
        <v>114.6</v>
      </c>
      <c r="Q44">
        <v>117.5</v>
      </c>
      <c r="R44">
        <v>114.9</v>
      </c>
      <c r="S44" t="s">
        <v>32</v>
      </c>
      <c r="T44">
        <v>113.4</v>
      </c>
      <c r="U44">
        <v>113.4</v>
      </c>
      <c r="V44">
        <v>111.4</v>
      </c>
      <c r="W44">
        <v>111.2</v>
      </c>
      <c r="X44">
        <v>110.2</v>
      </c>
      <c r="Y44">
        <v>112.4</v>
      </c>
      <c r="Z44">
        <v>108.9</v>
      </c>
      <c r="AA44">
        <v>111.3</v>
      </c>
      <c r="AB44">
        <f t="shared" si="0"/>
        <v>113.66956521739131</v>
      </c>
      <c r="AC44">
        <v>114.6</v>
      </c>
    </row>
    <row r="45" spans="1:29">
      <c r="A45" t="s">
        <v>33</v>
      </c>
      <c r="B45">
        <v>2014</v>
      </c>
      <c r="C45" t="s">
        <v>36</v>
      </c>
      <c r="D45">
        <v>122.1</v>
      </c>
      <c r="E45">
        <v>121.4</v>
      </c>
      <c r="F45">
        <v>121.5</v>
      </c>
      <c r="G45">
        <v>116.2</v>
      </c>
      <c r="H45">
        <v>102.8</v>
      </c>
      <c r="I45">
        <v>117.7</v>
      </c>
      <c r="J45">
        <v>113.3</v>
      </c>
      <c r="K45">
        <v>108.9</v>
      </c>
      <c r="L45">
        <v>96.3</v>
      </c>
      <c r="M45">
        <v>114.1</v>
      </c>
      <c r="N45">
        <v>112.2</v>
      </c>
      <c r="O45">
        <v>120.5</v>
      </c>
      <c r="P45">
        <v>116.7</v>
      </c>
      <c r="Q45">
        <v>115.8</v>
      </c>
      <c r="R45">
        <v>112.1</v>
      </c>
      <c r="S45">
        <v>113.2</v>
      </c>
      <c r="T45">
        <v>110.9</v>
      </c>
      <c r="U45">
        <v>113</v>
      </c>
      <c r="V45">
        <v>110.8</v>
      </c>
      <c r="W45">
        <v>111.6</v>
      </c>
      <c r="X45">
        <v>110.9</v>
      </c>
      <c r="Y45">
        <v>111.8</v>
      </c>
      <c r="Z45">
        <v>109.2</v>
      </c>
      <c r="AA45">
        <v>111.4</v>
      </c>
      <c r="AB45">
        <f t="shared" si="0"/>
        <v>113.10000000000001</v>
      </c>
      <c r="AC45">
        <v>113.7</v>
      </c>
    </row>
    <row r="46" spans="1:29">
      <c r="A46" t="s">
        <v>34</v>
      </c>
      <c r="B46">
        <v>2014</v>
      </c>
      <c r="C46" s="2" t="s">
        <v>36</v>
      </c>
      <c r="D46">
        <v>120.7</v>
      </c>
      <c r="E46">
        <v>119.3</v>
      </c>
      <c r="F46">
        <v>121</v>
      </c>
      <c r="G46">
        <v>116.1</v>
      </c>
      <c r="H46">
        <v>106.9</v>
      </c>
      <c r="I46">
        <v>118.7</v>
      </c>
      <c r="J46">
        <v>116.3</v>
      </c>
      <c r="K46">
        <v>109.8</v>
      </c>
      <c r="L46">
        <v>99.6</v>
      </c>
      <c r="M46">
        <v>111.8</v>
      </c>
      <c r="N46">
        <v>112.7</v>
      </c>
      <c r="O46">
        <v>119.3</v>
      </c>
      <c r="P46">
        <v>115.2</v>
      </c>
      <c r="Q46">
        <v>116.8</v>
      </c>
      <c r="R46">
        <v>113.7</v>
      </c>
      <c r="S46">
        <v>113.2</v>
      </c>
      <c r="T46">
        <v>112.5</v>
      </c>
      <c r="U46">
        <v>113.2</v>
      </c>
      <c r="V46">
        <v>111.2</v>
      </c>
      <c r="W46">
        <v>111.4</v>
      </c>
      <c r="X46">
        <v>110.6</v>
      </c>
      <c r="Y46">
        <v>112</v>
      </c>
      <c r="Z46">
        <v>109</v>
      </c>
      <c r="AA46">
        <v>111.3</v>
      </c>
      <c r="AB46">
        <f t="shared" si="0"/>
        <v>113.42916666666666</v>
      </c>
      <c r="AC46">
        <v>114.2</v>
      </c>
    </row>
    <row r="47" spans="1:29">
      <c r="A47" t="s">
        <v>30</v>
      </c>
      <c r="B47">
        <v>2014</v>
      </c>
      <c r="C47" t="s">
        <v>37</v>
      </c>
      <c r="D47">
        <v>120.2</v>
      </c>
      <c r="E47">
        <v>118.9</v>
      </c>
      <c r="F47">
        <v>118.1</v>
      </c>
      <c r="G47">
        <v>117</v>
      </c>
      <c r="H47">
        <v>109.7</v>
      </c>
      <c r="I47">
        <v>125.5</v>
      </c>
      <c r="J47">
        <v>120.5</v>
      </c>
      <c r="K47">
        <v>111</v>
      </c>
      <c r="L47">
        <v>102.6</v>
      </c>
      <c r="M47">
        <v>111.2</v>
      </c>
      <c r="N47">
        <v>113.5</v>
      </c>
      <c r="O47">
        <v>118.7</v>
      </c>
      <c r="P47">
        <v>115.4</v>
      </c>
      <c r="Q47">
        <v>118.1</v>
      </c>
      <c r="R47">
        <v>116.1</v>
      </c>
      <c r="S47" t="s">
        <v>32</v>
      </c>
      <c r="T47">
        <v>113.4</v>
      </c>
      <c r="U47">
        <v>113.7</v>
      </c>
      <c r="V47">
        <v>111.8</v>
      </c>
      <c r="W47">
        <v>111.2</v>
      </c>
      <c r="X47">
        <v>110.5</v>
      </c>
      <c r="Y47">
        <v>113</v>
      </c>
      <c r="Z47">
        <v>108.9</v>
      </c>
      <c r="AA47">
        <v>111.5</v>
      </c>
      <c r="AB47">
        <f t="shared" si="0"/>
        <v>114.3695652173913</v>
      </c>
      <c r="AC47">
        <v>115.4</v>
      </c>
    </row>
    <row r="48" spans="1:29">
      <c r="A48" t="s">
        <v>33</v>
      </c>
      <c r="B48">
        <v>2014</v>
      </c>
      <c r="C48" t="s">
        <v>37</v>
      </c>
      <c r="D48">
        <v>122.5</v>
      </c>
      <c r="E48">
        <v>121.7</v>
      </c>
      <c r="F48">
        <v>113.3</v>
      </c>
      <c r="G48">
        <v>117</v>
      </c>
      <c r="H48">
        <v>103.1</v>
      </c>
      <c r="I48">
        <v>126.7</v>
      </c>
      <c r="J48">
        <v>121.2</v>
      </c>
      <c r="K48">
        <v>111</v>
      </c>
      <c r="L48">
        <v>100.3</v>
      </c>
      <c r="M48">
        <v>115.3</v>
      </c>
      <c r="N48">
        <v>112.7</v>
      </c>
      <c r="O48">
        <v>121</v>
      </c>
      <c r="P48">
        <v>117.6</v>
      </c>
      <c r="Q48">
        <v>116.3</v>
      </c>
      <c r="R48">
        <v>112.5</v>
      </c>
      <c r="S48">
        <v>113.9</v>
      </c>
      <c r="T48">
        <v>110.9</v>
      </c>
      <c r="U48">
        <v>113.4</v>
      </c>
      <c r="V48">
        <v>111</v>
      </c>
      <c r="W48">
        <v>111.2</v>
      </c>
      <c r="X48">
        <v>111.2</v>
      </c>
      <c r="Y48">
        <v>112.5</v>
      </c>
      <c r="Z48">
        <v>109.1</v>
      </c>
      <c r="AA48">
        <v>111.4</v>
      </c>
      <c r="AB48">
        <f t="shared" si="0"/>
        <v>114.03333333333332</v>
      </c>
      <c r="AC48">
        <v>114.7</v>
      </c>
    </row>
    <row r="49" spans="1:29">
      <c r="A49" t="s">
        <v>34</v>
      </c>
      <c r="B49">
        <v>2014</v>
      </c>
      <c r="C49" t="s">
        <v>37</v>
      </c>
      <c r="D49">
        <v>120.9</v>
      </c>
      <c r="E49">
        <v>119.9</v>
      </c>
      <c r="F49">
        <v>116.2</v>
      </c>
      <c r="G49">
        <v>117</v>
      </c>
      <c r="H49">
        <v>107.3</v>
      </c>
      <c r="I49">
        <v>126.1</v>
      </c>
      <c r="J49">
        <v>120.7</v>
      </c>
      <c r="K49">
        <v>111</v>
      </c>
      <c r="L49">
        <v>101.8</v>
      </c>
      <c r="M49">
        <v>112.6</v>
      </c>
      <c r="N49">
        <v>113.2</v>
      </c>
      <c r="O49">
        <v>119.8</v>
      </c>
      <c r="P49">
        <v>116</v>
      </c>
      <c r="Q49">
        <v>117.4</v>
      </c>
      <c r="R49">
        <v>114.6</v>
      </c>
      <c r="S49">
        <v>113.9</v>
      </c>
      <c r="T49">
        <v>112.5</v>
      </c>
      <c r="U49">
        <v>113.6</v>
      </c>
      <c r="V49">
        <v>111.5</v>
      </c>
      <c r="W49">
        <v>111.2</v>
      </c>
      <c r="X49">
        <v>110.9</v>
      </c>
      <c r="Y49">
        <v>112.7</v>
      </c>
      <c r="Z49">
        <v>109</v>
      </c>
      <c r="AA49">
        <v>111.5</v>
      </c>
      <c r="AB49">
        <f t="shared" si="0"/>
        <v>114.22083333333332</v>
      </c>
      <c r="AC49">
        <v>115.1</v>
      </c>
    </row>
    <row r="50" spans="1:29">
      <c r="A50" t="s">
        <v>30</v>
      </c>
      <c r="B50">
        <v>2014</v>
      </c>
      <c r="C50" t="s">
        <v>38</v>
      </c>
      <c r="D50">
        <v>120.3</v>
      </c>
      <c r="E50">
        <v>120.2</v>
      </c>
      <c r="F50">
        <v>116.9</v>
      </c>
      <c r="G50">
        <v>118</v>
      </c>
      <c r="H50">
        <v>110.1</v>
      </c>
      <c r="I50">
        <v>126.3</v>
      </c>
      <c r="J50">
        <v>123.9</v>
      </c>
      <c r="K50">
        <v>111.5</v>
      </c>
      <c r="L50">
        <v>103.5</v>
      </c>
      <c r="M50">
        <v>111.6</v>
      </c>
      <c r="N50">
        <v>114.2</v>
      </c>
      <c r="O50">
        <v>119.2</v>
      </c>
      <c r="P50">
        <v>116.3</v>
      </c>
      <c r="Q50">
        <v>118.7</v>
      </c>
      <c r="R50">
        <v>116.8</v>
      </c>
      <c r="S50" t="s">
        <v>32</v>
      </c>
      <c r="T50">
        <v>113.4</v>
      </c>
      <c r="U50">
        <v>114.1</v>
      </c>
      <c r="V50">
        <v>112.1</v>
      </c>
      <c r="W50">
        <v>111.4</v>
      </c>
      <c r="X50">
        <v>110.9</v>
      </c>
      <c r="Y50">
        <v>113.1</v>
      </c>
      <c r="Z50">
        <v>108.9</v>
      </c>
      <c r="AA50">
        <v>111.8</v>
      </c>
      <c r="AB50">
        <f t="shared" si="0"/>
        <v>114.9217391304348</v>
      </c>
      <c r="AC50">
        <v>116</v>
      </c>
    </row>
    <row r="51" spans="1:29">
      <c r="A51" t="s">
        <v>33</v>
      </c>
      <c r="B51">
        <v>2014</v>
      </c>
      <c r="C51" t="s">
        <v>38</v>
      </c>
      <c r="D51">
        <v>122.7</v>
      </c>
      <c r="E51">
        <v>124.1</v>
      </c>
      <c r="F51">
        <v>114.2</v>
      </c>
      <c r="G51">
        <v>119.1</v>
      </c>
      <c r="H51">
        <v>103.5</v>
      </c>
      <c r="I51">
        <v>129.19999999999999</v>
      </c>
      <c r="J51">
        <v>127</v>
      </c>
      <c r="K51">
        <v>112.6</v>
      </c>
      <c r="L51">
        <v>101.3</v>
      </c>
      <c r="M51">
        <v>117</v>
      </c>
      <c r="N51">
        <v>112.9</v>
      </c>
      <c r="O51">
        <v>121.7</v>
      </c>
      <c r="P51">
        <v>118.3</v>
      </c>
      <c r="Q51">
        <v>116.8</v>
      </c>
      <c r="R51">
        <v>112.9</v>
      </c>
      <c r="S51">
        <v>114.3</v>
      </c>
      <c r="T51">
        <v>111.1</v>
      </c>
      <c r="U51">
        <v>114.1</v>
      </c>
      <c r="V51">
        <v>111.2</v>
      </c>
      <c r="W51">
        <v>111.3</v>
      </c>
      <c r="X51">
        <v>111.5</v>
      </c>
      <c r="Y51">
        <v>112.9</v>
      </c>
      <c r="Z51">
        <v>109.3</v>
      </c>
      <c r="AA51">
        <v>111.7</v>
      </c>
      <c r="AB51">
        <f t="shared" si="0"/>
        <v>115.02916666666668</v>
      </c>
      <c r="AC51">
        <v>115.6</v>
      </c>
    </row>
    <row r="52" spans="1:29">
      <c r="A52" t="s">
        <v>34</v>
      </c>
      <c r="B52">
        <v>2014</v>
      </c>
      <c r="C52" t="s">
        <v>38</v>
      </c>
      <c r="D52">
        <v>121.1</v>
      </c>
      <c r="E52">
        <v>121.6</v>
      </c>
      <c r="F52">
        <v>115.9</v>
      </c>
      <c r="G52">
        <v>118.4</v>
      </c>
      <c r="H52">
        <v>107.7</v>
      </c>
      <c r="I52">
        <v>127.7</v>
      </c>
      <c r="J52">
        <v>125</v>
      </c>
      <c r="K52">
        <v>111.9</v>
      </c>
      <c r="L52">
        <v>102.8</v>
      </c>
      <c r="M52">
        <v>113.4</v>
      </c>
      <c r="N52">
        <v>113.7</v>
      </c>
      <c r="O52">
        <v>120.4</v>
      </c>
      <c r="P52">
        <v>116.8</v>
      </c>
      <c r="Q52">
        <v>118</v>
      </c>
      <c r="R52">
        <v>115.2</v>
      </c>
      <c r="S52">
        <v>114.3</v>
      </c>
      <c r="T52">
        <v>112.5</v>
      </c>
      <c r="U52">
        <v>114.1</v>
      </c>
      <c r="V52">
        <v>111.8</v>
      </c>
      <c r="W52">
        <v>111.3</v>
      </c>
      <c r="X52">
        <v>111.2</v>
      </c>
      <c r="Y52">
        <v>113</v>
      </c>
      <c r="Z52">
        <v>109.1</v>
      </c>
      <c r="AA52">
        <v>111.8</v>
      </c>
      <c r="AB52">
        <f t="shared" si="0"/>
        <v>114.94583333333337</v>
      </c>
      <c r="AC52">
        <v>115.8</v>
      </c>
    </row>
    <row r="53" spans="1:29">
      <c r="A53" t="s">
        <v>30</v>
      </c>
      <c r="B53">
        <v>2014</v>
      </c>
      <c r="C53" t="s">
        <v>39</v>
      </c>
      <c r="D53">
        <v>120.7</v>
      </c>
      <c r="E53">
        <v>121.6</v>
      </c>
      <c r="F53">
        <v>116.1</v>
      </c>
      <c r="G53">
        <v>119.3</v>
      </c>
      <c r="H53">
        <v>110.3</v>
      </c>
      <c r="I53">
        <v>125.8</v>
      </c>
      <c r="J53">
        <v>129.30000000000001</v>
      </c>
      <c r="K53">
        <v>112.2</v>
      </c>
      <c r="L53">
        <v>103.6</v>
      </c>
      <c r="M53">
        <v>112.3</v>
      </c>
      <c r="N53">
        <v>114.9</v>
      </c>
      <c r="O53">
        <v>120.1</v>
      </c>
      <c r="P53">
        <v>117.3</v>
      </c>
      <c r="Q53">
        <v>119.7</v>
      </c>
      <c r="R53">
        <v>117.3</v>
      </c>
      <c r="S53" t="s">
        <v>32</v>
      </c>
      <c r="T53">
        <v>114.4</v>
      </c>
      <c r="U53">
        <v>114.9</v>
      </c>
      <c r="V53">
        <v>112.8</v>
      </c>
      <c r="W53">
        <v>112.2</v>
      </c>
      <c r="X53">
        <v>111.4</v>
      </c>
      <c r="Y53">
        <v>114.3</v>
      </c>
      <c r="Z53">
        <v>108</v>
      </c>
      <c r="AA53">
        <v>112.3</v>
      </c>
      <c r="AB53">
        <f t="shared" si="0"/>
        <v>115.68695652173913</v>
      </c>
      <c r="AC53">
        <v>117</v>
      </c>
    </row>
    <row r="54" spans="1:29">
      <c r="A54" t="s">
        <v>33</v>
      </c>
      <c r="B54">
        <v>2014</v>
      </c>
      <c r="C54" t="s">
        <v>39</v>
      </c>
      <c r="D54">
        <v>123.1</v>
      </c>
      <c r="E54">
        <v>125.9</v>
      </c>
      <c r="F54">
        <v>115.4</v>
      </c>
      <c r="G54">
        <v>120.4</v>
      </c>
      <c r="H54">
        <v>103.4</v>
      </c>
      <c r="I54">
        <v>131.19999999999999</v>
      </c>
      <c r="J54">
        <v>137.5</v>
      </c>
      <c r="K54">
        <v>112.8</v>
      </c>
      <c r="L54">
        <v>101.4</v>
      </c>
      <c r="M54">
        <v>118.3</v>
      </c>
      <c r="N54">
        <v>113.2</v>
      </c>
      <c r="O54">
        <v>122.4</v>
      </c>
      <c r="P54">
        <v>119</v>
      </c>
      <c r="Q54">
        <v>117.4</v>
      </c>
      <c r="R54">
        <v>113.2</v>
      </c>
      <c r="S54">
        <v>113.9</v>
      </c>
      <c r="T54">
        <v>111.2</v>
      </c>
      <c r="U54">
        <v>114.3</v>
      </c>
      <c r="V54">
        <v>111.4</v>
      </c>
      <c r="W54">
        <v>111.5</v>
      </c>
      <c r="X54">
        <v>111.8</v>
      </c>
      <c r="Y54">
        <v>115.1</v>
      </c>
      <c r="Z54">
        <v>108.7</v>
      </c>
      <c r="AA54">
        <v>112.2</v>
      </c>
      <c r="AB54">
        <f t="shared" si="0"/>
        <v>116.02916666666668</v>
      </c>
      <c r="AC54">
        <v>116.4</v>
      </c>
    </row>
    <row r="55" spans="1:29">
      <c r="A55" t="s">
        <v>34</v>
      </c>
      <c r="B55">
        <v>2014</v>
      </c>
      <c r="C55" t="s">
        <v>39</v>
      </c>
      <c r="D55">
        <v>121.5</v>
      </c>
      <c r="E55">
        <v>123.1</v>
      </c>
      <c r="F55">
        <v>115.8</v>
      </c>
      <c r="G55">
        <v>119.7</v>
      </c>
      <c r="H55">
        <v>107.8</v>
      </c>
      <c r="I55">
        <v>128.30000000000001</v>
      </c>
      <c r="J55">
        <v>132.1</v>
      </c>
      <c r="K55">
        <v>112.4</v>
      </c>
      <c r="L55">
        <v>102.9</v>
      </c>
      <c r="M55">
        <v>114.3</v>
      </c>
      <c r="N55">
        <v>114.2</v>
      </c>
      <c r="O55">
        <v>121.2</v>
      </c>
      <c r="P55">
        <v>117.8</v>
      </c>
      <c r="Q55">
        <v>118.8</v>
      </c>
      <c r="R55">
        <v>115.6</v>
      </c>
      <c r="S55">
        <v>113.9</v>
      </c>
      <c r="T55">
        <v>113.2</v>
      </c>
      <c r="U55">
        <v>114.6</v>
      </c>
      <c r="V55">
        <v>112.3</v>
      </c>
      <c r="W55">
        <v>111.8</v>
      </c>
      <c r="X55">
        <v>111.6</v>
      </c>
      <c r="Y55">
        <v>114.8</v>
      </c>
      <c r="Z55">
        <v>108.3</v>
      </c>
      <c r="AA55">
        <v>112.3</v>
      </c>
      <c r="AB55">
        <f t="shared" si="0"/>
        <v>115.76250000000005</v>
      </c>
      <c r="AC55">
        <v>116.7</v>
      </c>
    </row>
    <row r="56" spans="1:29">
      <c r="A56" t="s">
        <v>30</v>
      </c>
      <c r="B56">
        <v>2014</v>
      </c>
      <c r="C56" t="s">
        <v>40</v>
      </c>
      <c r="D56">
        <v>121.7</v>
      </c>
      <c r="E56">
        <v>122.5</v>
      </c>
      <c r="F56">
        <v>117.7</v>
      </c>
      <c r="G56">
        <v>120.6</v>
      </c>
      <c r="H56">
        <v>110.4</v>
      </c>
      <c r="I56">
        <v>129.1</v>
      </c>
      <c r="J56">
        <v>150.1</v>
      </c>
      <c r="K56">
        <v>113.2</v>
      </c>
      <c r="L56">
        <v>104.8</v>
      </c>
      <c r="M56">
        <v>113.3</v>
      </c>
      <c r="N56">
        <v>115.6</v>
      </c>
      <c r="O56">
        <v>120.9</v>
      </c>
      <c r="P56">
        <v>118</v>
      </c>
      <c r="Q56">
        <v>120.7</v>
      </c>
      <c r="R56">
        <v>118.3</v>
      </c>
      <c r="S56" t="s">
        <v>32</v>
      </c>
      <c r="T56">
        <v>115.3</v>
      </c>
      <c r="U56">
        <v>115.4</v>
      </c>
      <c r="V56">
        <v>113.4</v>
      </c>
      <c r="W56">
        <v>113.2</v>
      </c>
      <c r="X56">
        <v>111.8</v>
      </c>
      <c r="Y56">
        <v>115.5</v>
      </c>
      <c r="Z56">
        <v>108.8</v>
      </c>
      <c r="AA56">
        <v>113.1</v>
      </c>
      <c r="AB56">
        <f t="shared" si="0"/>
        <v>117.53913043478261</v>
      </c>
      <c r="AC56">
        <v>119.5</v>
      </c>
    </row>
    <row r="57" spans="1:29">
      <c r="A57" t="s">
        <v>33</v>
      </c>
      <c r="B57">
        <v>2014</v>
      </c>
      <c r="C57" t="s">
        <v>40</v>
      </c>
      <c r="D57">
        <v>123.8</v>
      </c>
      <c r="E57">
        <v>126.4</v>
      </c>
      <c r="F57">
        <v>118</v>
      </c>
      <c r="G57">
        <v>121.6</v>
      </c>
      <c r="H57">
        <v>103.5</v>
      </c>
      <c r="I57">
        <v>133.69999999999999</v>
      </c>
      <c r="J57">
        <v>172.4</v>
      </c>
      <c r="K57">
        <v>113.1</v>
      </c>
      <c r="L57">
        <v>102.7</v>
      </c>
      <c r="M57">
        <v>120</v>
      </c>
      <c r="N57">
        <v>113.8</v>
      </c>
      <c r="O57">
        <v>123.4</v>
      </c>
      <c r="P57">
        <v>121</v>
      </c>
      <c r="Q57">
        <v>118</v>
      </c>
      <c r="R57">
        <v>113.6</v>
      </c>
      <c r="S57">
        <v>114.8</v>
      </c>
      <c r="T57">
        <v>111.6</v>
      </c>
      <c r="U57">
        <v>114.9</v>
      </c>
      <c r="V57">
        <v>111.5</v>
      </c>
      <c r="W57">
        <v>113</v>
      </c>
      <c r="X57">
        <v>112.4</v>
      </c>
      <c r="Y57">
        <v>117.8</v>
      </c>
      <c r="Z57">
        <v>109.7</v>
      </c>
      <c r="AA57">
        <v>113.5</v>
      </c>
      <c r="AB57">
        <f t="shared" si="0"/>
        <v>118.50833333333334</v>
      </c>
      <c r="AC57">
        <v>118.9</v>
      </c>
    </row>
    <row r="58" spans="1:29">
      <c r="A58" t="s">
        <v>34</v>
      </c>
      <c r="B58">
        <v>2014</v>
      </c>
      <c r="C58" t="s">
        <v>40</v>
      </c>
      <c r="D58">
        <v>122.4</v>
      </c>
      <c r="E58">
        <v>123.9</v>
      </c>
      <c r="F58">
        <v>117.8</v>
      </c>
      <c r="G58">
        <v>121</v>
      </c>
      <c r="H58">
        <v>107.9</v>
      </c>
      <c r="I58">
        <v>131.19999999999999</v>
      </c>
      <c r="J58">
        <v>157.69999999999999</v>
      </c>
      <c r="K58">
        <v>113.2</v>
      </c>
      <c r="L58">
        <v>104.1</v>
      </c>
      <c r="M58">
        <v>115.5</v>
      </c>
      <c r="N58">
        <v>114.8</v>
      </c>
      <c r="O58">
        <v>122.1</v>
      </c>
      <c r="P58">
        <v>118.8</v>
      </c>
      <c r="Q58">
        <v>119.6</v>
      </c>
      <c r="R58">
        <v>116.3</v>
      </c>
      <c r="S58">
        <v>114.8</v>
      </c>
      <c r="T58">
        <v>113.9</v>
      </c>
      <c r="U58">
        <v>115.2</v>
      </c>
      <c r="V58">
        <v>112.7</v>
      </c>
      <c r="W58">
        <v>113.1</v>
      </c>
      <c r="X58">
        <v>112.1</v>
      </c>
      <c r="Y58">
        <v>116.8</v>
      </c>
      <c r="Z58">
        <v>109.2</v>
      </c>
      <c r="AA58">
        <v>113.3</v>
      </c>
      <c r="AB58">
        <f t="shared" si="0"/>
        <v>117.80833333333332</v>
      </c>
      <c r="AC58">
        <v>119.2</v>
      </c>
    </row>
    <row r="59" spans="1:29">
      <c r="A59" t="s">
        <v>30</v>
      </c>
      <c r="B59">
        <v>2014</v>
      </c>
      <c r="C59" t="s">
        <v>41</v>
      </c>
      <c r="D59">
        <v>121.8</v>
      </c>
      <c r="E59">
        <v>122.8</v>
      </c>
      <c r="F59">
        <v>117.8</v>
      </c>
      <c r="G59">
        <v>121.9</v>
      </c>
      <c r="H59">
        <v>110.6</v>
      </c>
      <c r="I59">
        <v>129.69999999999999</v>
      </c>
      <c r="J59">
        <v>161.1</v>
      </c>
      <c r="K59">
        <v>114.1</v>
      </c>
      <c r="L59">
        <v>105.1</v>
      </c>
      <c r="M59">
        <v>114.6</v>
      </c>
      <c r="N59">
        <v>115.8</v>
      </c>
      <c r="O59">
        <v>121.7</v>
      </c>
      <c r="P59">
        <v>118.8</v>
      </c>
      <c r="Q59">
        <v>120.9</v>
      </c>
      <c r="R59">
        <v>118.8</v>
      </c>
      <c r="S59" t="s">
        <v>32</v>
      </c>
      <c r="T59">
        <v>115.4</v>
      </c>
      <c r="U59">
        <v>115.9</v>
      </c>
      <c r="V59">
        <v>114</v>
      </c>
      <c r="W59">
        <v>113.2</v>
      </c>
      <c r="X59">
        <v>112.2</v>
      </c>
      <c r="Y59">
        <v>116.2</v>
      </c>
      <c r="Z59">
        <v>109.4</v>
      </c>
      <c r="AA59">
        <v>113.5</v>
      </c>
      <c r="AB59">
        <f t="shared" si="0"/>
        <v>118.49130434782607</v>
      </c>
      <c r="AC59">
        <v>120.7</v>
      </c>
    </row>
    <row r="60" spans="1:29">
      <c r="A60" t="s">
        <v>33</v>
      </c>
      <c r="B60">
        <v>2014</v>
      </c>
      <c r="C60" t="s">
        <v>41</v>
      </c>
      <c r="D60">
        <v>124.8</v>
      </c>
      <c r="E60">
        <v>127.3</v>
      </c>
      <c r="F60">
        <v>116.5</v>
      </c>
      <c r="G60">
        <v>122.2</v>
      </c>
      <c r="H60">
        <v>103.6</v>
      </c>
      <c r="I60">
        <v>132.69999999999999</v>
      </c>
      <c r="J60">
        <v>181.9</v>
      </c>
      <c r="K60">
        <v>115.2</v>
      </c>
      <c r="L60">
        <v>102.7</v>
      </c>
      <c r="M60">
        <v>122.1</v>
      </c>
      <c r="N60">
        <v>114.4</v>
      </c>
      <c r="O60">
        <v>124.7</v>
      </c>
      <c r="P60">
        <v>123</v>
      </c>
      <c r="Q60">
        <v>118.6</v>
      </c>
      <c r="R60">
        <v>114.1</v>
      </c>
      <c r="S60">
        <v>115.5</v>
      </c>
      <c r="T60">
        <v>111.8</v>
      </c>
      <c r="U60">
        <v>115.3</v>
      </c>
      <c r="V60">
        <v>112.2</v>
      </c>
      <c r="W60">
        <v>112.5</v>
      </c>
      <c r="X60">
        <v>112.9</v>
      </c>
      <c r="Y60">
        <v>119.2</v>
      </c>
      <c r="Z60">
        <v>110.5</v>
      </c>
      <c r="AA60">
        <v>113.9</v>
      </c>
      <c r="AB60">
        <f t="shared" si="0"/>
        <v>119.48333333333333</v>
      </c>
      <c r="AC60">
        <v>119.9</v>
      </c>
    </row>
    <row r="61" spans="1:29">
      <c r="A61" t="s">
        <v>34</v>
      </c>
      <c r="B61">
        <v>2014</v>
      </c>
      <c r="C61" t="s">
        <v>41</v>
      </c>
      <c r="D61">
        <v>122.7</v>
      </c>
      <c r="E61">
        <v>124.4</v>
      </c>
      <c r="F61">
        <v>117.3</v>
      </c>
      <c r="G61">
        <v>122</v>
      </c>
      <c r="H61">
        <v>108</v>
      </c>
      <c r="I61">
        <v>131.1</v>
      </c>
      <c r="J61">
        <v>168.2</v>
      </c>
      <c r="K61">
        <v>114.5</v>
      </c>
      <c r="L61">
        <v>104.3</v>
      </c>
      <c r="M61">
        <v>117.1</v>
      </c>
      <c r="N61">
        <v>115.2</v>
      </c>
      <c r="O61">
        <v>123.1</v>
      </c>
      <c r="P61">
        <v>119.9</v>
      </c>
      <c r="Q61">
        <v>120</v>
      </c>
      <c r="R61">
        <v>116.8</v>
      </c>
      <c r="S61">
        <v>115.5</v>
      </c>
      <c r="T61">
        <v>114</v>
      </c>
      <c r="U61">
        <v>115.6</v>
      </c>
      <c r="V61">
        <v>113.3</v>
      </c>
      <c r="W61">
        <v>112.8</v>
      </c>
      <c r="X61">
        <v>112.6</v>
      </c>
      <c r="Y61">
        <v>118</v>
      </c>
      <c r="Z61">
        <v>109.9</v>
      </c>
      <c r="AA61">
        <v>113.7</v>
      </c>
      <c r="AB61">
        <f t="shared" si="0"/>
        <v>118.75</v>
      </c>
      <c r="AC61">
        <v>120.3</v>
      </c>
    </row>
    <row r="62" spans="1:29">
      <c r="A62" t="s">
        <v>30</v>
      </c>
      <c r="B62">
        <v>2014</v>
      </c>
      <c r="C62" t="s">
        <v>42</v>
      </c>
      <c r="D62">
        <v>122.3</v>
      </c>
      <c r="E62">
        <v>122.4</v>
      </c>
      <c r="F62">
        <v>117.8</v>
      </c>
      <c r="G62">
        <v>122.7</v>
      </c>
      <c r="H62">
        <v>110.4</v>
      </c>
      <c r="I62">
        <v>129.80000000000001</v>
      </c>
      <c r="J62">
        <v>158.80000000000001</v>
      </c>
      <c r="K62">
        <v>115</v>
      </c>
      <c r="L62">
        <v>104.7</v>
      </c>
      <c r="M62">
        <v>114.9</v>
      </c>
      <c r="N62">
        <v>116.5</v>
      </c>
      <c r="O62">
        <v>122.6</v>
      </c>
      <c r="P62">
        <v>119.5</v>
      </c>
      <c r="Q62">
        <v>121.7</v>
      </c>
      <c r="R62">
        <v>119.2</v>
      </c>
      <c r="S62" t="s">
        <v>32</v>
      </c>
      <c r="T62">
        <v>115.8</v>
      </c>
      <c r="U62">
        <v>116.7</v>
      </c>
      <c r="V62">
        <v>114.5</v>
      </c>
      <c r="W62">
        <v>112.8</v>
      </c>
      <c r="X62">
        <v>112.6</v>
      </c>
      <c r="Y62">
        <v>116.6</v>
      </c>
      <c r="Z62">
        <v>109.1</v>
      </c>
      <c r="AA62">
        <v>113.7</v>
      </c>
      <c r="AB62">
        <f t="shared" si="0"/>
        <v>118.7</v>
      </c>
      <c r="AC62">
        <v>120.9</v>
      </c>
    </row>
    <row r="63" spans="1:29">
      <c r="A63" t="s">
        <v>33</v>
      </c>
      <c r="B63">
        <v>2014</v>
      </c>
      <c r="C63" t="s">
        <v>42</v>
      </c>
      <c r="D63">
        <v>124.2</v>
      </c>
      <c r="E63">
        <v>125.4</v>
      </c>
      <c r="F63">
        <v>116.4</v>
      </c>
      <c r="G63">
        <v>122.7</v>
      </c>
      <c r="H63">
        <v>103.5</v>
      </c>
      <c r="I63">
        <v>124.5</v>
      </c>
      <c r="J63">
        <v>168.6</v>
      </c>
      <c r="K63">
        <v>116.9</v>
      </c>
      <c r="L63">
        <v>101.9</v>
      </c>
      <c r="M63">
        <v>122.9</v>
      </c>
      <c r="N63">
        <v>114.8</v>
      </c>
      <c r="O63">
        <v>125.2</v>
      </c>
      <c r="P63">
        <v>124.3</v>
      </c>
      <c r="Q63">
        <v>119.2</v>
      </c>
      <c r="R63">
        <v>114.5</v>
      </c>
      <c r="S63">
        <v>116.1</v>
      </c>
      <c r="T63">
        <v>111.8</v>
      </c>
      <c r="U63">
        <v>115.5</v>
      </c>
      <c r="V63">
        <v>112.3</v>
      </c>
      <c r="W63">
        <v>111.2</v>
      </c>
      <c r="X63">
        <v>113.4</v>
      </c>
      <c r="Y63">
        <v>120</v>
      </c>
      <c r="Z63">
        <v>110</v>
      </c>
      <c r="AA63">
        <v>113.6</v>
      </c>
      <c r="AB63">
        <f t="shared" si="0"/>
        <v>118.70416666666667</v>
      </c>
      <c r="AC63">
        <v>119.2</v>
      </c>
    </row>
    <row r="64" spans="1:29">
      <c r="A64" t="s">
        <v>34</v>
      </c>
      <c r="B64">
        <v>2014</v>
      </c>
      <c r="C64" t="s">
        <v>42</v>
      </c>
      <c r="D64">
        <v>122.9</v>
      </c>
      <c r="E64">
        <v>123.5</v>
      </c>
      <c r="F64">
        <v>117.3</v>
      </c>
      <c r="G64">
        <v>122.7</v>
      </c>
      <c r="H64">
        <v>107.9</v>
      </c>
      <c r="I64">
        <v>127.3</v>
      </c>
      <c r="J64">
        <v>162.1</v>
      </c>
      <c r="K64">
        <v>115.6</v>
      </c>
      <c r="L64">
        <v>103.8</v>
      </c>
      <c r="M64">
        <v>117.6</v>
      </c>
      <c r="N64">
        <v>115.8</v>
      </c>
      <c r="O64">
        <v>123.8</v>
      </c>
      <c r="P64">
        <v>120.8</v>
      </c>
      <c r="Q64">
        <v>120.7</v>
      </c>
      <c r="R64">
        <v>117.2</v>
      </c>
      <c r="S64">
        <v>116.1</v>
      </c>
      <c r="T64">
        <v>114.3</v>
      </c>
      <c r="U64">
        <v>116.1</v>
      </c>
      <c r="V64">
        <v>113.7</v>
      </c>
      <c r="W64">
        <v>112</v>
      </c>
      <c r="X64">
        <v>113.1</v>
      </c>
      <c r="Y64">
        <v>118.6</v>
      </c>
      <c r="Z64">
        <v>109.5</v>
      </c>
      <c r="AA64">
        <v>113.7</v>
      </c>
      <c r="AB64">
        <f t="shared" si="0"/>
        <v>118.58749999999996</v>
      </c>
      <c r="AC64">
        <v>120.1</v>
      </c>
    </row>
    <row r="65" spans="1:29">
      <c r="A65" t="s">
        <v>30</v>
      </c>
      <c r="B65">
        <v>2014</v>
      </c>
      <c r="C65" t="s">
        <v>43</v>
      </c>
      <c r="D65">
        <v>122.6</v>
      </c>
      <c r="E65">
        <v>122.5</v>
      </c>
      <c r="F65">
        <v>118.3</v>
      </c>
      <c r="G65">
        <v>123.2</v>
      </c>
      <c r="H65">
        <v>110.5</v>
      </c>
      <c r="I65">
        <v>128.9</v>
      </c>
      <c r="J65">
        <v>155.30000000000001</v>
      </c>
      <c r="K65">
        <v>115.5</v>
      </c>
      <c r="L65">
        <v>104</v>
      </c>
      <c r="M65">
        <v>115.3</v>
      </c>
      <c r="N65">
        <v>116.8</v>
      </c>
      <c r="O65">
        <v>123.2</v>
      </c>
      <c r="P65">
        <v>120</v>
      </c>
      <c r="Q65">
        <v>122.7</v>
      </c>
      <c r="R65">
        <v>120.3</v>
      </c>
      <c r="S65" t="s">
        <v>32</v>
      </c>
      <c r="T65">
        <v>116.4</v>
      </c>
      <c r="U65">
        <v>117.5</v>
      </c>
      <c r="V65">
        <v>115.3</v>
      </c>
      <c r="W65">
        <v>112.6</v>
      </c>
      <c r="X65">
        <v>113</v>
      </c>
      <c r="Y65">
        <v>116.9</v>
      </c>
      <c r="Z65">
        <v>109.3</v>
      </c>
      <c r="AA65">
        <v>114</v>
      </c>
      <c r="AB65">
        <f t="shared" si="0"/>
        <v>118.87391304347828</v>
      </c>
      <c r="AC65">
        <v>121</v>
      </c>
    </row>
    <row r="66" spans="1:29">
      <c r="A66" t="s">
        <v>33</v>
      </c>
      <c r="B66">
        <v>2014</v>
      </c>
      <c r="C66" t="s">
        <v>43</v>
      </c>
      <c r="D66">
        <v>124.6</v>
      </c>
      <c r="E66">
        <v>126.1</v>
      </c>
      <c r="F66">
        <v>117.8</v>
      </c>
      <c r="G66">
        <v>123.1</v>
      </c>
      <c r="H66">
        <v>103.5</v>
      </c>
      <c r="I66">
        <v>123.5</v>
      </c>
      <c r="J66">
        <v>159.6</v>
      </c>
      <c r="K66">
        <v>117.4</v>
      </c>
      <c r="L66">
        <v>101.2</v>
      </c>
      <c r="M66">
        <v>123.8</v>
      </c>
      <c r="N66">
        <v>115.2</v>
      </c>
      <c r="O66">
        <v>125.9</v>
      </c>
      <c r="P66">
        <v>124.3</v>
      </c>
      <c r="Q66">
        <v>119.6</v>
      </c>
      <c r="R66">
        <v>114.9</v>
      </c>
      <c r="S66">
        <v>116.7</v>
      </c>
      <c r="T66">
        <v>112</v>
      </c>
      <c r="U66">
        <v>115.8</v>
      </c>
      <c r="V66">
        <v>112.6</v>
      </c>
      <c r="W66">
        <v>111</v>
      </c>
      <c r="X66">
        <v>113.6</v>
      </c>
      <c r="Y66">
        <v>120.2</v>
      </c>
      <c r="Z66">
        <v>110.1</v>
      </c>
      <c r="AA66">
        <v>113.7</v>
      </c>
      <c r="AB66">
        <f t="shared" si="0"/>
        <v>118.59166666666664</v>
      </c>
      <c r="AC66">
        <v>119.1</v>
      </c>
    </row>
    <row r="67" spans="1:29">
      <c r="A67" t="s">
        <v>34</v>
      </c>
      <c r="B67">
        <v>2014</v>
      </c>
      <c r="C67" t="s">
        <v>43</v>
      </c>
      <c r="D67">
        <v>123.2</v>
      </c>
      <c r="E67">
        <v>123.8</v>
      </c>
      <c r="F67">
        <v>118.1</v>
      </c>
      <c r="G67">
        <v>123.2</v>
      </c>
      <c r="H67">
        <v>107.9</v>
      </c>
      <c r="I67">
        <v>126.4</v>
      </c>
      <c r="J67">
        <v>156.80000000000001</v>
      </c>
      <c r="K67">
        <v>116.1</v>
      </c>
      <c r="L67">
        <v>103.1</v>
      </c>
      <c r="M67">
        <v>118.1</v>
      </c>
      <c r="N67">
        <v>116.1</v>
      </c>
      <c r="O67">
        <v>124.5</v>
      </c>
      <c r="P67">
        <v>121.1</v>
      </c>
      <c r="Q67">
        <v>121.5</v>
      </c>
      <c r="R67">
        <v>118.1</v>
      </c>
      <c r="S67">
        <v>116.7</v>
      </c>
      <c r="T67">
        <v>114.7</v>
      </c>
      <c r="U67">
        <v>116.7</v>
      </c>
      <c r="V67">
        <v>114.3</v>
      </c>
      <c r="W67">
        <v>111.8</v>
      </c>
      <c r="X67">
        <v>113.3</v>
      </c>
      <c r="Y67">
        <v>118.8</v>
      </c>
      <c r="Z67">
        <v>109.6</v>
      </c>
      <c r="AA67">
        <v>113.9</v>
      </c>
      <c r="AB67">
        <f t="shared" ref="AB67:AB130" si="1">AVERAGE(D67:AA67)</f>
        <v>118.65833333333335</v>
      </c>
      <c r="AC67">
        <v>120.1</v>
      </c>
    </row>
    <row r="68" spans="1:29">
      <c r="A68" t="s">
        <v>30</v>
      </c>
      <c r="B68">
        <v>2014</v>
      </c>
      <c r="C68" t="s">
        <v>45</v>
      </c>
      <c r="D68">
        <v>122.7</v>
      </c>
      <c r="E68">
        <v>122.6</v>
      </c>
      <c r="F68">
        <v>119.9</v>
      </c>
      <c r="G68">
        <v>124</v>
      </c>
      <c r="H68">
        <v>110.5</v>
      </c>
      <c r="I68">
        <v>128.80000000000001</v>
      </c>
      <c r="J68">
        <v>152</v>
      </c>
      <c r="K68">
        <v>116.2</v>
      </c>
      <c r="L68">
        <v>103.3</v>
      </c>
      <c r="M68">
        <v>115.8</v>
      </c>
      <c r="N68">
        <v>116.8</v>
      </c>
      <c r="O68">
        <v>124.5</v>
      </c>
      <c r="P68">
        <v>120.8</v>
      </c>
      <c r="Q68">
        <v>123.3</v>
      </c>
      <c r="R68">
        <v>120.5</v>
      </c>
      <c r="S68" t="s">
        <v>32</v>
      </c>
      <c r="T68">
        <v>117.3</v>
      </c>
      <c r="U68">
        <v>118.1</v>
      </c>
      <c r="V68">
        <v>115.9</v>
      </c>
      <c r="W68">
        <v>112</v>
      </c>
      <c r="X68">
        <v>113.3</v>
      </c>
      <c r="Y68">
        <v>117.2</v>
      </c>
      <c r="Z68">
        <v>108.8</v>
      </c>
      <c r="AA68">
        <v>114.1</v>
      </c>
      <c r="AB68">
        <f t="shared" si="1"/>
        <v>119.0608695652174</v>
      </c>
      <c r="AC68">
        <v>121.1</v>
      </c>
    </row>
    <row r="69" spans="1:29">
      <c r="A69" t="s">
        <v>33</v>
      </c>
      <c r="B69">
        <v>2014</v>
      </c>
      <c r="C69" t="s">
        <v>45</v>
      </c>
      <c r="D69">
        <v>124.5</v>
      </c>
      <c r="E69">
        <v>125.6</v>
      </c>
      <c r="F69">
        <v>122.7</v>
      </c>
      <c r="G69">
        <v>124.6</v>
      </c>
      <c r="H69">
        <v>103.2</v>
      </c>
      <c r="I69">
        <v>122.2</v>
      </c>
      <c r="J69">
        <v>153.19999999999999</v>
      </c>
      <c r="K69">
        <v>119.3</v>
      </c>
      <c r="L69">
        <v>99.8</v>
      </c>
      <c r="M69">
        <v>124.6</v>
      </c>
      <c r="N69">
        <v>115.8</v>
      </c>
      <c r="O69">
        <v>126.9</v>
      </c>
      <c r="P69">
        <v>125.8</v>
      </c>
      <c r="Q69">
        <v>120.3</v>
      </c>
      <c r="R69">
        <v>115.4</v>
      </c>
      <c r="S69">
        <v>117.1</v>
      </c>
      <c r="T69">
        <v>112.6</v>
      </c>
      <c r="U69">
        <v>116.4</v>
      </c>
      <c r="V69">
        <v>113</v>
      </c>
      <c r="W69">
        <v>109.7</v>
      </c>
      <c r="X69">
        <v>114</v>
      </c>
      <c r="Y69">
        <v>120.3</v>
      </c>
      <c r="Z69">
        <v>109.6</v>
      </c>
      <c r="AA69">
        <v>113.4</v>
      </c>
      <c r="AB69">
        <f t="shared" si="1"/>
        <v>118.75</v>
      </c>
      <c r="AC69">
        <v>119</v>
      </c>
    </row>
    <row r="70" spans="1:29">
      <c r="A70" t="s">
        <v>34</v>
      </c>
      <c r="B70">
        <v>2014</v>
      </c>
      <c r="C70" t="s">
        <v>45</v>
      </c>
      <c r="D70">
        <v>123.3</v>
      </c>
      <c r="E70">
        <v>123.7</v>
      </c>
      <c r="F70">
        <v>121</v>
      </c>
      <c r="G70">
        <v>124.2</v>
      </c>
      <c r="H70">
        <v>107.8</v>
      </c>
      <c r="I70">
        <v>125.7</v>
      </c>
      <c r="J70">
        <v>152.4</v>
      </c>
      <c r="K70">
        <v>117.2</v>
      </c>
      <c r="L70">
        <v>102.1</v>
      </c>
      <c r="M70">
        <v>118.7</v>
      </c>
      <c r="N70">
        <v>116.4</v>
      </c>
      <c r="O70">
        <v>125.6</v>
      </c>
      <c r="P70">
        <v>122.1</v>
      </c>
      <c r="Q70">
        <v>122.1</v>
      </c>
      <c r="R70">
        <v>118.4</v>
      </c>
      <c r="S70">
        <v>117.1</v>
      </c>
      <c r="T70">
        <v>115.5</v>
      </c>
      <c r="U70">
        <v>117.3</v>
      </c>
      <c r="V70">
        <v>114.8</v>
      </c>
      <c r="W70">
        <v>110.8</v>
      </c>
      <c r="X70">
        <v>113.7</v>
      </c>
      <c r="Y70">
        <v>119</v>
      </c>
      <c r="Z70">
        <v>109.1</v>
      </c>
      <c r="AA70">
        <v>113.8</v>
      </c>
      <c r="AB70">
        <f t="shared" si="1"/>
        <v>118.82500000000003</v>
      </c>
      <c r="AC70">
        <v>120.1</v>
      </c>
    </row>
    <row r="71" spans="1:29">
      <c r="A71" t="s">
        <v>30</v>
      </c>
      <c r="B71">
        <v>2014</v>
      </c>
      <c r="C71" t="s">
        <v>46</v>
      </c>
      <c r="D71">
        <v>122.4</v>
      </c>
      <c r="E71">
        <v>122.4</v>
      </c>
      <c r="F71">
        <v>121.8</v>
      </c>
      <c r="G71">
        <v>124.2</v>
      </c>
      <c r="H71">
        <v>110.2</v>
      </c>
      <c r="I71">
        <v>128.6</v>
      </c>
      <c r="J71">
        <v>140.30000000000001</v>
      </c>
      <c r="K71">
        <v>116.3</v>
      </c>
      <c r="L71">
        <v>102</v>
      </c>
      <c r="M71">
        <v>116</v>
      </c>
      <c r="N71">
        <v>117.3</v>
      </c>
      <c r="O71">
        <v>124.8</v>
      </c>
      <c r="P71">
        <v>121.7</v>
      </c>
      <c r="Q71">
        <v>123.8</v>
      </c>
      <c r="R71">
        <v>120.6</v>
      </c>
      <c r="S71" t="s">
        <v>32</v>
      </c>
      <c r="T71">
        <v>117.4</v>
      </c>
      <c r="U71">
        <v>118.2</v>
      </c>
      <c r="V71">
        <v>116.2</v>
      </c>
      <c r="W71">
        <v>111.5</v>
      </c>
      <c r="X71">
        <v>113.3</v>
      </c>
      <c r="Y71">
        <v>117.7</v>
      </c>
      <c r="Z71">
        <v>109.4</v>
      </c>
      <c r="AA71">
        <v>114.2</v>
      </c>
      <c r="AB71">
        <f t="shared" si="1"/>
        <v>118.7086956521739</v>
      </c>
      <c r="AC71">
        <v>120.3</v>
      </c>
    </row>
    <row r="72" spans="1:29">
      <c r="A72" t="s">
        <v>33</v>
      </c>
      <c r="B72">
        <v>2014</v>
      </c>
      <c r="C72" t="s">
        <v>46</v>
      </c>
      <c r="D72">
        <v>124</v>
      </c>
      <c r="E72">
        <v>124.7</v>
      </c>
      <c r="F72">
        <v>126.3</v>
      </c>
      <c r="G72">
        <v>124.9</v>
      </c>
      <c r="H72">
        <v>103</v>
      </c>
      <c r="I72">
        <v>122.3</v>
      </c>
      <c r="J72">
        <v>141</v>
      </c>
      <c r="K72">
        <v>120.1</v>
      </c>
      <c r="L72">
        <v>97.8</v>
      </c>
      <c r="M72">
        <v>125.4</v>
      </c>
      <c r="N72">
        <v>116.1</v>
      </c>
      <c r="O72">
        <v>127.6</v>
      </c>
      <c r="P72">
        <v>126.4</v>
      </c>
      <c r="Q72">
        <v>120.7</v>
      </c>
      <c r="R72">
        <v>115.8</v>
      </c>
      <c r="S72">
        <v>116.5</v>
      </c>
      <c r="T72">
        <v>113</v>
      </c>
      <c r="U72">
        <v>116.8</v>
      </c>
      <c r="V72">
        <v>113.2</v>
      </c>
      <c r="W72">
        <v>108.8</v>
      </c>
      <c r="X72">
        <v>114.3</v>
      </c>
      <c r="Y72">
        <v>120.7</v>
      </c>
      <c r="Z72">
        <v>110.4</v>
      </c>
      <c r="AA72">
        <v>113.4</v>
      </c>
      <c r="AB72">
        <f t="shared" si="1"/>
        <v>118.46666666666668</v>
      </c>
      <c r="AC72">
        <v>118.4</v>
      </c>
    </row>
    <row r="73" spans="1:29">
      <c r="A73" t="s">
        <v>34</v>
      </c>
      <c r="B73">
        <v>2014</v>
      </c>
      <c r="C73" t="s">
        <v>46</v>
      </c>
      <c r="D73">
        <v>122.9</v>
      </c>
      <c r="E73">
        <v>123.2</v>
      </c>
      <c r="F73">
        <v>123.5</v>
      </c>
      <c r="G73">
        <v>124.5</v>
      </c>
      <c r="H73">
        <v>107.6</v>
      </c>
      <c r="I73">
        <v>125.7</v>
      </c>
      <c r="J73">
        <v>140.5</v>
      </c>
      <c r="K73">
        <v>117.6</v>
      </c>
      <c r="L73">
        <v>100.6</v>
      </c>
      <c r="M73">
        <v>119.1</v>
      </c>
      <c r="N73">
        <v>116.8</v>
      </c>
      <c r="O73">
        <v>126.1</v>
      </c>
      <c r="P73">
        <v>123</v>
      </c>
      <c r="Q73">
        <v>122.6</v>
      </c>
      <c r="R73">
        <v>118.6</v>
      </c>
      <c r="S73">
        <v>116.5</v>
      </c>
      <c r="T73">
        <v>115.7</v>
      </c>
      <c r="U73">
        <v>117.5</v>
      </c>
      <c r="V73">
        <v>115.1</v>
      </c>
      <c r="W73">
        <v>110.1</v>
      </c>
      <c r="X73">
        <v>113.9</v>
      </c>
      <c r="Y73">
        <v>119.5</v>
      </c>
      <c r="Z73">
        <v>109.8</v>
      </c>
      <c r="AA73">
        <v>113.8</v>
      </c>
      <c r="AB73">
        <f t="shared" si="1"/>
        <v>118.50833333333334</v>
      </c>
      <c r="AC73">
        <v>119.4</v>
      </c>
    </row>
    <row r="74" spans="1:29">
      <c r="A74" t="s">
        <v>30</v>
      </c>
      <c r="B74">
        <v>2015</v>
      </c>
      <c r="C74" t="s">
        <v>31</v>
      </c>
      <c r="D74">
        <v>123.1</v>
      </c>
      <c r="E74">
        <v>123.1</v>
      </c>
      <c r="F74">
        <v>122.1</v>
      </c>
      <c r="G74">
        <v>124.9</v>
      </c>
      <c r="H74">
        <v>111</v>
      </c>
      <c r="I74">
        <v>130.4</v>
      </c>
      <c r="J74">
        <v>132.30000000000001</v>
      </c>
      <c r="K74">
        <v>117.2</v>
      </c>
      <c r="L74">
        <v>100.5</v>
      </c>
      <c r="M74">
        <v>117.2</v>
      </c>
      <c r="N74">
        <v>117.9</v>
      </c>
      <c r="O74">
        <v>125.6</v>
      </c>
      <c r="P74">
        <v>122.7</v>
      </c>
      <c r="Q74">
        <v>124.4</v>
      </c>
      <c r="R74">
        <v>121.6</v>
      </c>
      <c r="S74" t="s">
        <v>32</v>
      </c>
      <c r="T74">
        <v>118.4</v>
      </c>
      <c r="U74">
        <v>118.9</v>
      </c>
      <c r="V74">
        <v>116.6</v>
      </c>
      <c r="W74">
        <v>111</v>
      </c>
      <c r="X74">
        <v>114</v>
      </c>
      <c r="Y74">
        <v>118.2</v>
      </c>
      <c r="Z74">
        <v>110.2</v>
      </c>
      <c r="AA74">
        <v>114.5</v>
      </c>
      <c r="AB74">
        <f t="shared" si="1"/>
        <v>118.94782608695651</v>
      </c>
      <c r="AC74">
        <v>120.3</v>
      </c>
    </row>
    <row r="75" spans="1:29">
      <c r="A75" t="s">
        <v>33</v>
      </c>
      <c r="B75">
        <v>2015</v>
      </c>
      <c r="C75" t="s">
        <v>31</v>
      </c>
      <c r="D75">
        <v>124</v>
      </c>
      <c r="E75">
        <v>125.5</v>
      </c>
      <c r="F75">
        <v>126.6</v>
      </c>
      <c r="G75">
        <v>125.2</v>
      </c>
      <c r="H75">
        <v>104.3</v>
      </c>
      <c r="I75">
        <v>121.3</v>
      </c>
      <c r="J75">
        <v>134.4</v>
      </c>
      <c r="K75">
        <v>122.9</v>
      </c>
      <c r="L75">
        <v>96.1</v>
      </c>
      <c r="M75">
        <v>126.6</v>
      </c>
      <c r="N75">
        <v>116.5</v>
      </c>
      <c r="O75">
        <v>128</v>
      </c>
      <c r="P75">
        <v>127.4</v>
      </c>
      <c r="Q75">
        <v>121</v>
      </c>
      <c r="R75">
        <v>116.1</v>
      </c>
      <c r="S75">
        <v>117.3</v>
      </c>
      <c r="T75">
        <v>113.4</v>
      </c>
      <c r="U75">
        <v>117.2</v>
      </c>
      <c r="V75">
        <v>113.7</v>
      </c>
      <c r="W75">
        <v>107.9</v>
      </c>
      <c r="X75">
        <v>114.6</v>
      </c>
      <c r="Y75">
        <v>120.8</v>
      </c>
      <c r="Z75">
        <v>111.4</v>
      </c>
      <c r="AA75">
        <v>113.4</v>
      </c>
      <c r="AB75">
        <f t="shared" si="1"/>
        <v>118.56666666666666</v>
      </c>
      <c r="AC75">
        <v>118.5</v>
      </c>
    </row>
    <row r="76" spans="1:29">
      <c r="A76" t="s">
        <v>34</v>
      </c>
      <c r="B76">
        <v>2015</v>
      </c>
      <c r="C76" t="s">
        <v>31</v>
      </c>
      <c r="D76">
        <v>123.4</v>
      </c>
      <c r="E76">
        <v>123.9</v>
      </c>
      <c r="F76">
        <v>123.8</v>
      </c>
      <c r="G76">
        <v>125</v>
      </c>
      <c r="H76">
        <v>108.5</v>
      </c>
      <c r="I76">
        <v>126.2</v>
      </c>
      <c r="J76">
        <v>133</v>
      </c>
      <c r="K76">
        <v>119.1</v>
      </c>
      <c r="L76">
        <v>99</v>
      </c>
      <c r="M76">
        <v>120.3</v>
      </c>
      <c r="N76">
        <v>117.3</v>
      </c>
      <c r="O76">
        <v>126.7</v>
      </c>
      <c r="P76">
        <v>124</v>
      </c>
      <c r="Q76">
        <v>123.1</v>
      </c>
      <c r="R76">
        <v>119.3</v>
      </c>
      <c r="S76">
        <v>117.3</v>
      </c>
      <c r="T76">
        <v>116.5</v>
      </c>
      <c r="U76">
        <v>118.1</v>
      </c>
      <c r="V76">
        <v>115.5</v>
      </c>
      <c r="W76">
        <v>109.4</v>
      </c>
      <c r="X76">
        <v>114.3</v>
      </c>
      <c r="Y76">
        <v>119.7</v>
      </c>
      <c r="Z76">
        <v>110.7</v>
      </c>
      <c r="AA76">
        <v>114</v>
      </c>
      <c r="AB76">
        <f t="shared" si="1"/>
        <v>118.67083333333333</v>
      </c>
      <c r="AC76">
        <v>119.5</v>
      </c>
    </row>
    <row r="77" spans="1:29">
      <c r="A77" t="s">
        <v>30</v>
      </c>
      <c r="B77">
        <v>2015</v>
      </c>
      <c r="C77" t="s">
        <v>35</v>
      </c>
      <c r="D77">
        <v>123.4</v>
      </c>
      <c r="E77">
        <v>124.4</v>
      </c>
      <c r="F77">
        <v>122.1</v>
      </c>
      <c r="G77">
        <v>125.8</v>
      </c>
      <c r="H77">
        <v>111.5</v>
      </c>
      <c r="I77">
        <v>129.4</v>
      </c>
      <c r="J77">
        <v>128.19999999999999</v>
      </c>
      <c r="K77">
        <v>118.8</v>
      </c>
      <c r="L77">
        <v>100</v>
      </c>
      <c r="M77">
        <v>118.6</v>
      </c>
      <c r="N77">
        <v>118.8</v>
      </c>
      <c r="O77">
        <v>126.8</v>
      </c>
      <c r="P77">
        <v>124.2</v>
      </c>
      <c r="Q77">
        <v>125.4</v>
      </c>
      <c r="R77">
        <v>122.7</v>
      </c>
      <c r="S77" t="s">
        <v>32</v>
      </c>
      <c r="T77">
        <v>120</v>
      </c>
      <c r="U77">
        <v>119.6</v>
      </c>
      <c r="V77">
        <v>117.7</v>
      </c>
      <c r="W77">
        <v>110.9</v>
      </c>
      <c r="X77">
        <v>114.8</v>
      </c>
      <c r="Y77">
        <v>118.7</v>
      </c>
      <c r="Z77">
        <v>110.8</v>
      </c>
      <c r="AA77">
        <v>115</v>
      </c>
      <c r="AB77">
        <f t="shared" si="1"/>
        <v>119.46086956521739</v>
      </c>
      <c r="AC77">
        <v>120.6</v>
      </c>
    </row>
    <row r="78" spans="1:29">
      <c r="A78" t="s">
        <v>33</v>
      </c>
      <c r="B78">
        <v>2015</v>
      </c>
      <c r="C78" t="s">
        <v>35</v>
      </c>
      <c r="D78">
        <v>124.3</v>
      </c>
      <c r="E78">
        <v>126.5</v>
      </c>
      <c r="F78">
        <v>119.5</v>
      </c>
      <c r="G78">
        <v>125.6</v>
      </c>
      <c r="H78">
        <v>104.9</v>
      </c>
      <c r="I78">
        <v>121.6</v>
      </c>
      <c r="J78">
        <v>131.80000000000001</v>
      </c>
      <c r="K78">
        <v>125.1</v>
      </c>
      <c r="L78">
        <v>95</v>
      </c>
      <c r="M78">
        <v>127.7</v>
      </c>
      <c r="N78">
        <v>116.8</v>
      </c>
      <c r="O78">
        <v>128.6</v>
      </c>
      <c r="P78">
        <v>128.1</v>
      </c>
      <c r="Q78">
        <v>121.3</v>
      </c>
      <c r="R78">
        <v>116.5</v>
      </c>
      <c r="S78">
        <v>118.1</v>
      </c>
      <c r="T78">
        <v>114</v>
      </c>
      <c r="U78">
        <v>117.7</v>
      </c>
      <c r="V78">
        <v>114.1</v>
      </c>
      <c r="W78">
        <v>106.8</v>
      </c>
      <c r="X78">
        <v>114.9</v>
      </c>
      <c r="Y78">
        <v>120.4</v>
      </c>
      <c r="Z78">
        <v>111.7</v>
      </c>
      <c r="AA78">
        <v>113.2</v>
      </c>
      <c r="AB78">
        <f t="shared" si="1"/>
        <v>118.50833333333333</v>
      </c>
      <c r="AC78">
        <v>118.7</v>
      </c>
    </row>
    <row r="79" spans="1:29">
      <c r="A79" t="s">
        <v>34</v>
      </c>
      <c r="B79">
        <v>2015</v>
      </c>
      <c r="C79" t="s">
        <v>35</v>
      </c>
      <c r="D79">
        <v>123.7</v>
      </c>
      <c r="E79">
        <v>125.1</v>
      </c>
      <c r="F79">
        <v>121.1</v>
      </c>
      <c r="G79">
        <v>125.7</v>
      </c>
      <c r="H79">
        <v>109.1</v>
      </c>
      <c r="I79">
        <v>125.8</v>
      </c>
      <c r="J79">
        <v>129.4</v>
      </c>
      <c r="K79">
        <v>120.9</v>
      </c>
      <c r="L79">
        <v>98.3</v>
      </c>
      <c r="M79">
        <v>121.6</v>
      </c>
      <c r="N79">
        <v>118</v>
      </c>
      <c r="O79">
        <v>127.6</v>
      </c>
      <c r="P79">
        <v>125.2</v>
      </c>
      <c r="Q79">
        <v>123.8</v>
      </c>
      <c r="R79">
        <v>120.1</v>
      </c>
      <c r="S79">
        <v>118.1</v>
      </c>
      <c r="T79">
        <v>117.7</v>
      </c>
      <c r="U79">
        <v>118.7</v>
      </c>
      <c r="V79">
        <v>116.3</v>
      </c>
      <c r="W79">
        <v>108.7</v>
      </c>
      <c r="X79">
        <v>114.9</v>
      </c>
      <c r="Y79">
        <v>119.7</v>
      </c>
      <c r="Z79">
        <v>111.2</v>
      </c>
      <c r="AA79">
        <v>114.1</v>
      </c>
      <c r="AB79">
        <f t="shared" si="1"/>
        <v>118.94999999999995</v>
      </c>
      <c r="AC79">
        <v>119.7</v>
      </c>
    </row>
    <row r="80" spans="1:29">
      <c r="A80" t="s">
        <v>30</v>
      </c>
      <c r="B80">
        <v>2015</v>
      </c>
      <c r="C80" t="s">
        <v>36</v>
      </c>
      <c r="D80">
        <v>123.3</v>
      </c>
      <c r="E80">
        <v>124.7</v>
      </c>
      <c r="F80">
        <v>118.9</v>
      </c>
      <c r="G80">
        <v>126</v>
      </c>
      <c r="H80">
        <v>111.8</v>
      </c>
      <c r="I80">
        <v>130.9</v>
      </c>
      <c r="J80">
        <v>128</v>
      </c>
      <c r="K80">
        <v>119.9</v>
      </c>
      <c r="L80">
        <v>98.9</v>
      </c>
      <c r="M80">
        <v>119.4</v>
      </c>
      <c r="N80">
        <v>118.9</v>
      </c>
      <c r="O80">
        <v>127.7</v>
      </c>
      <c r="P80">
        <v>124.7</v>
      </c>
      <c r="Q80">
        <v>126</v>
      </c>
      <c r="R80">
        <v>122.9</v>
      </c>
      <c r="S80" t="s">
        <v>32</v>
      </c>
      <c r="T80">
        <v>120.6</v>
      </c>
      <c r="U80">
        <v>120.2</v>
      </c>
      <c r="V80">
        <v>118.2</v>
      </c>
      <c r="W80">
        <v>111.6</v>
      </c>
      <c r="X80">
        <v>115.5</v>
      </c>
      <c r="Y80">
        <v>119.4</v>
      </c>
      <c r="Z80">
        <v>110.8</v>
      </c>
      <c r="AA80">
        <v>115.5</v>
      </c>
      <c r="AB80">
        <f t="shared" si="1"/>
        <v>119.7304347826087</v>
      </c>
      <c r="AC80">
        <v>121.1</v>
      </c>
    </row>
    <row r="81" spans="1:29">
      <c r="A81" t="s">
        <v>33</v>
      </c>
      <c r="B81">
        <v>2015</v>
      </c>
      <c r="C81" t="s">
        <v>36</v>
      </c>
      <c r="D81">
        <v>124</v>
      </c>
      <c r="E81">
        <v>126.7</v>
      </c>
      <c r="F81">
        <v>113.5</v>
      </c>
      <c r="G81">
        <v>125.9</v>
      </c>
      <c r="H81">
        <v>104.8</v>
      </c>
      <c r="I81">
        <v>123.8</v>
      </c>
      <c r="J81">
        <v>131.4</v>
      </c>
      <c r="K81">
        <v>127.2</v>
      </c>
      <c r="L81">
        <v>93.2</v>
      </c>
      <c r="M81">
        <v>127.4</v>
      </c>
      <c r="N81">
        <v>117</v>
      </c>
      <c r="O81">
        <v>129.19999999999999</v>
      </c>
      <c r="P81">
        <v>128.80000000000001</v>
      </c>
      <c r="Q81">
        <v>121.7</v>
      </c>
      <c r="R81">
        <v>116.9</v>
      </c>
      <c r="S81">
        <v>118.6</v>
      </c>
      <c r="T81">
        <v>114.4</v>
      </c>
      <c r="U81">
        <v>118</v>
      </c>
      <c r="V81">
        <v>114.3</v>
      </c>
      <c r="W81">
        <v>108.4</v>
      </c>
      <c r="X81">
        <v>115.4</v>
      </c>
      <c r="Y81">
        <v>120.6</v>
      </c>
      <c r="Z81">
        <v>111.3</v>
      </c>
      <c r="AA81">
        <v>113.8</v>
      </c>
      <c r="AB81">
        <f t="shared" si="1"/>
        <v>118.59583333333336</v>
      </c>
      <c r="AC81">
        <v>119.1</v>
      </c>
    </row>
    <row r="82" spans="1:29">
      <c r="A82" t="s">
        <v>34</v>
      </c>
      <c r="B82">
        <v>2015</v>
      </c>
      <c r="C82" t="s">
        <v>36</v>
      </c>
      <c r="D82">
        <v>123.5</v>
      </c>
      <c r="E82">
        <v>125.4</v>
      </c>
      <c r="F82">
        <v>116.8</v>
      </c>
      <c r="G82">
        <v>126</v>
      </c>
      <c r="H82">
        <v>109.2</v>
      </c>
      <c r="I82">
        <v>127.6</v>
      </c>
      <c r="J82">
        <v>129.19999999999999</v>
      </c>
      <c r="K82">
        <v>122.4</v>
      </c>
      <c r="L82">
        <v>97</v>
      </c>
      <c r="M82">
        <v>122.1</v>
      </c>
      <c r="N82">
        <v>118.1</v>
      </c>
      <c r="O82">
        <v>128.4</v>
      </c>
      <c r="P82">
        <v>125.8</v>
      </c>
      <c r="Q82">
        <v>124.3</v>
      </c>
      <c r="R82">
        <v>120.4</v>
      </c>
      <c r="S82">
        <v>118.6</v>
      </c>
      <c r="T82">
        <v>118.3</v>
      </c>
      <c r="U82">
        <v>119.2</v>
      </c>
      <c r="V82">
        <v>116.7</v>
      </c>
      <c r="W82">
        <v>109.9</v>
      </c>
      <c r="X82">
        <v>115.4</v>
      </c>
      <c r="Y82">
        <v>120.1</v>
      </c>
      <c r="Z82">
        <v>111</v>
      </c>
      <c r="AA82">
        <v>114.7</v>
      </c>
      <c r="AB82">
        <f t="shared" si="1"/>
        <v>119.17083333333331</v>
      </c>
      <c r="AC82">
        <v>120.2</v>
      </c>
    </row>
    <row r="83" spans="1:29">
      <c r="A83" t="s">
        <v>30</v>
      </c>
      <c r="B83">
        <v>2015</v>
      </c>
      <c r="C83" t="s">
        <v>37</v>
      </c>
      <c r="D83">
        <v>123.3</v>
      </c>
      <c r="E83">
        <v>125.5</v>
      </c>
      <c r="F83">
        <v>117.2</v>
      </c>
      <c r="G83">
        <v>126.8</v>
      </c>
      <c r="H83">
        <v>111.9</v>
      </c>
      <c r="I83">
        <v>134.19999999999999</v>
      </c>
      <c r="J83">
        <v>127.5</v>
      </c>
      <c r="K83">
        <v>121.5</v>
      </c>
      <c r="L83">
        <v>97.8</v>
      </c>
      <c r="M83">
        <v>119.8</v>
      </c>
      <c r="N83">
        <v>119.4</v>
      </c>
      <c r="O83">
        <v>128.69999999999999</v>
      </c>
      <c r="P83">
        <v>125.7</v>
      </c>
      <c r="Q83">
        <v>126.4</v>
      </c>
      <c r="R83">
        <v>123.3</v>
      </c>
      <c r="S83" t="s">
        <v>32</v>
      </c>
      <c r="T83">
        <v>121.2</v>
      </c>
      <c r="U83">
        <v>120.9</v>
      </c>
      <c r="V83">
        <v>118.6</v>
      </c>
      <c r="W83">
        <v>111.9</v>
      </c>
      <c r="X83">
        <v>116.2</v>
      </c>
      <c r="Y83">
        <v>119.9</v>
      </c>
      <c r="Z83">
        <v>111.6</v>
      </c>
      <c r="AA83">
        <v>116</v>
      </c>
      <c r="AB83">
        <f t="shared" si="1"/>
        <v>120.2304347826087</v>
      </c>
      <c r="AC83">
        <v>121.5</v>
      </c>
    </row>
    <row r="84" spans="1:29">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130.1</v>
      </c>
      <c r="Q84">
        <v>122.1</v>
      </c>
      <c r="R84">
        <v>117.2</v>
      </c>
      <c r="S84">
        <v>119.2</v>
      </c>
      <c r="T84">
        <v>114.7</v>
      </c>
      <c r="U84">
        <v>118.4</v>
      </c>
      <c r="V84">
        <v>114.6</v>
      </c>
      <c r="W84">
        <v>108.4</v>
      </c>
      <c r="X84">
        <v>115.6</v>
      </c>
      <c r="Y84">
        <v>121.7</v>
      </c>
      <c r="Z84">
        <v>111.8</v>
      </c>
      <c r="AA84">
        <v>114.2</v>
      </c>
      <c r="AB84">
        <f t="shared" si="1"/>
        <v>119.14583333333331</v>
      </c>
      <c r="AC84">
        <v>119.7</v>
      </c>
    </row>
    <row r="85" spans="1:29">
      <c r="A85" t="s">
        <v>34</v>
      </c>
      <c r="B85">
        <v>2015</v>
      </c>
      <c r="C85" t="s">
        <v>37</v>
      </c>
      <c r="D85">
        <v>123.5</v>
      </c>
      <c r="E85">
        <v>126.4</v>
      </c>
      <c r="F85">
        <v>114.4</v>
      </c>
      <c r="G85">
        <v>126.6</v>
      </c>
      <c r="H85">
        <v>109.2</v>
      </c>
      <c r="I85">
        <v>132.5</v>
      </c>
      <c r="J85">
        <v>128.6</v>
      </c>
      <c r="K85">
        <v>124.8</v>
      </c>
      <c r="L85">
        <v>95.7</v>
      </c>
      <c r="M85">
        <v>122.4</v>
      </c>
      <c r="N85">
        <v>118.5</v>
      </c>
      <c r="O85">
        <v>129.1</v>
      </c>
      <c r="P85">
        <v>126.9</v>
      </c>
      <c r="Q85">
        <v>124.7</v>
      </c>
      <c r="R85">
        <v>120.8</v>
      </c>
      <c r="S85">
        <v>119.2</v>
      </c>
      <c r="T85">
        <v>118.7</v>
      </c>
      <c r="U85">
        <v>119.7</v>
      </c>
      <c r="V85">
        <v>117.1</v>
      </c>
      <c r="W85">
        <v>110.1</v>
      </c>
      <c r="X85">
        <v>115.9</v>
      </c>
      <c r="Y85">
        <v>121</v>
      </c>
      <c r="Z85">
        <v>111.7</v>
      </c>
      <c r="AA85">
        <v>115.1</v>
      </c>
      <c r="AB85">
        <f t="shared" si="1"/>
        <v>119.69166666666665</v>
      </c>
      <c r="AC85">
        <v>120.7</v>
      </c>
    </row>
    <row r="86" spans="1:29">
      <c r="A86" t="s">
        <v>30</v>
      </c>
      <c r="B86">
        <v>2015</v>
      </c>
      <c r="C86" t="s">
        <v>38</v>
      </c>
      <c r="D86">
        <v>123.5</v>
      </c>
      <c r="E86">
        <v>127.1</v>
      </c>
      <c r="F86">
        <v>117.3</v>
      </c>
      <c r="G86">
        <v>127.7</v>
      </c>
      <c r="H86">
        <v>112.5</v>
      </c>
      <c r="I86">
        <v>134.1</v>
      </c>
      <c r="J86">
        <v>128.5</v>
      </c>
      <c r="K86">
        <v>124.3</v>
      </c>
      <c r="L86">
        <v>97.6</v>
      </c>
      <c r="M86">
        <v>120.7</v>
      </c>
      <c r="N86">
        <v>120.2</v>
      </c>
      <c r="O86">
        <v>129.80000000000001</v>
      </c>
      <c r="P86">
        <v>126.7</v>
      </c>
      <c r="Q86">
        <v>127.3</v>
      </c>
      <c r="R86">
        <v>124.1</v>
      </c>
      <c r="S86" t="s">
        <v>32</v>
      </c>
      <c r="T86">
        <v>121.9</v>
      </c>
      <c r="U86">
        <v>121.5</v>
      </c>
      <c r="V86">
        <v>119.4</v>
      </c>
      <c r="W86">
        <v>113.3</v>
      </c>
      <c r="X86">
        <v>116.7</v>
      </c>
      <c r="Y86">
        <v>120.5</v>
      </c>
      <c r="Z86">
        <v>112.3</v>
      </c>
      <c r="AA86">
        <v>116.9</v>
      </c>
      <c r="AB86">
        <f t="shared" si="1"/>
        <v>121.03913043478263</v>
      </c>
      <c r="AC86">
        <v>122.4</v>
      </c>
    </row>
    <row r="87" spans="1:29">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131.30000000000001</v>
      </c>
      <c r="Q87">
        <v>122.4</v>
      </c>
      <c r="R87">
        <v>117.4</v>
      </c>
      <c r="S87">
        <v>119.6</v>
      </c>
      <c r="T87">
        <v>114.9</v>
      </c>
      <c r="U87">
        <v>118.7</v>
      </c>
      <c r="V87">
        <v>114.9</v>
      </c>
      <c r="W87">
        <v>110.8</v>
      </c>
      <c r="X87">
        <v>116</v>
      </c>
      <c r="Y87">
        <v>122</v>
      </c>
      <c r="Z87">
        <v>112.4</v>
      </c>
      <c r="AA87">
        <v>115.2</v>
      </c>
      <c r="AB87">
        <f t="shared" si="1"/>
        <v>120.35000000000001</v>
      </c>
      <c r="AC87">
        <v>120.7</v>
      </c>
    </row>
    <row r="88" spans="1:29">
      <c r="A88" t="s">
        <v>34</v>
      </c>
      <c r="B88">
        <v>2015</v>
      </c>
      <c r="C88" t="s">
        <v>38</v>
      </c>
      <c r="D88">
        <v>123.6</v>
      </c>
      <c r="E88">
        <v>128</v>
      </c>
      <c r="F88">
        <v>115</v>
      </c>
      <c r="G88">
        <v>127.3</v>
      </c>
      <c r="H88">
        <v>109.8</v>
      </c>
      <c r="I88">
        <v>132.6</v>
      </c>
      <c r="J88">
        <v>130.9</v>
      </c>
      <c r="K88">
        <v>130.5</v>
      </c>
      <c r="L88">
        <v>95.3</v>
      </c>
      <c r="M88">
        <v>123.4</v>
      </c>
      <c r="N88">
        <v>119.2</v>
      </c>
      <c r="O88">
        <v>129.80000000000001</v>
      </c>
      <c r="P88">
        <v>127.9</v>
      </c>
      <c r="Q88">
        <v>125.4</v>
      </c>
      <c r="R88">
        <v>121.3</v>
      </c>
      <c r="S88">
        <v>119.6</v>
      </c>
      <c r="T88">
        <v>119.2</v>
      </c>
      <c r="U88">
        <v>120.2</v>
      </c>
      <c r="V88">
        <v>117.7</v>
      </c>
      <c r="W88">
        <v>112</v>
      </c>
      <c r="X88">
        <v>116.3</v>
      </c>
      <c r="Y88">
        <v>121.4</v>
      </c>
      <c r="Z88">
        <v>112.3</v>
      </c>
      <c r="AA88">
        <v>116.1</v>
      </c>
      <c r="AB88">
        <f t="shared" si="1"/>
        <v>120.61666666666667</v>
      </c>
      <c r="AC88">
        <v>121.6</v>
      </c>
    </row>
    <row r="89" spans="1:29">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128.19999999999999</v>
      </c>
      <c r="Q89">
        <v>128.4</v>
      </c>
      <c r="R89">
        <v>125.1</v>
      </c>
      <c r="S89" t="s">
        <v>32</v>
      </c>
      <c r="T89">
        <v>122.6</v>
      </c>
      <c r="U89">
        <v>122.8</v>
      </c>
      <c r="V89">
        <v>120.4</v>
      </c>
      <c r="W89">
        <v>114.2</v>
      </c>
      <c r="X89">
        <v>117.9</v>
      </c>
      <c r="Y89">
        <v>122</v>
      </c>
      <c r="Z89">
        <v>113</v>
      </c>
      <c r="AA89">
        <v>117.9</v>
      </c>
      <c r="AB89">
        <f t="shared" si="1"/>
        <v>122.77391304347827</v>
      </c>
      <c r="AC89">
        <v>124.1</v>
      </c>
    </row>
    <row r="90" spans="1:29">
      <c r="A90" t="s">
        <v>33</v>
      </c>
      <c r="B90">
        <v>2015</v>
      </c>
      <c r="C90" t="s">
        <v>39</v>
      </c>
      <c r="D90">
        <v>123.6</v>
      </c>
      <c r="E90">
        <v>134.4</v>
      </c>
      <c r="F90">
        <v>120.9</v>
      </c>
      <c r="G90">
        <v>127.3</v>
      </c>
      <c r="H90">
        <v>106</v>
      </c>
      <c r="I90">
        <v>132.30000000000001</v>
      </c>
      <c r="J90">
        <v>146.69999999999999</v>
      </c>
      <c r="K90">
        <v>148.1</v>
      </c>
      <c r="L90">
        <v>89.8</v>
      </c>
      <c r="M90">
        <v>130.5</v>
      </c>
      <c r="N90">
        <v>118</v>
      </c>
      <c r="O90">
        <v>130.5</v>
      </c>
      <c r="P90">
        <v>132.1</v>
      </c>
      <c r="Q90">
        <v>123.2</v>
      </c>
      <c r="R90">
        <v>117.6</v>
      </c>
      <c r="S90">
        <v>119</v>
      </c>
      <c r="T90">
        <v>115.1</v>
      </c>
      <c r="U90">
        <v>119.2</v>
      </c>
      <c r="V90">
        <v>115.4</v>
      </c>
      <c r="W90">
        <v>111.7</v>
      </c>
      <c r="X90">
        <v>116.2</v>
      </c>
      <c r="Y90">
        <v>123.8</v>
      </c>
      <c r="Z90">
        <v>112.5</v>
      </c>
      <c r="AA90">
        <v>116</v>
      </c>
      <c r="AB90">
        <f t="shared" si="1"/>
        <v>122.07916666666665</v>
      </c>
      <c r="AC90">
        <v>121.7</v>
      </c>
    </row>
    <row r="91" spans="1:29">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129.19999999999999</v>
      </c>
      <c r="Q91">
        <v>126.4</v>
      </c>
      <c r="R91">
        <v>122</v>
      </c>
      <c r="S91">
        <v>119</v>
      </c>
      <c r="T91">
        <v>119.8</v>
      </c>
      <c r="U91">
        <v>121.1</v>
      </c>
      <c r="V91">
        <v>118.5</v>
      </c>
      <c r="W91">
        <v>112.9</v>
      </c>
      <c r="X91">
        <v>116.9</v>
      </c>
      <c r="Y91">
        <v>123.1</v>
      </c>
      <c r="Z91">
        <v>112.8</v>
      </c>
      <c r="AA91">
        <v>117</v>
      </c>
      <c r="AB91">
        <f t="shared" si="1"/>
        <v>122.28750000000002</v>
      </c>
      <c r="AC91">
        <v>123</v>
      </c>
    </row>
    <row r="92" spans="1:29">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129.4</v>
      </c>
      <c r="Q92">
        <v>128.80000000000001</v>
      </c>
      <c r="R92">
        <v>125.5</v>
      </c>
      <c r="S92" t="s">
        <v>32</v>
      </c>
      <c r="T92">
        <v>123</v>
      </c>
      <c r="U92">
        <v>123</v>
      </c>
      <c r="V92">
        <v>120.8</v>
      </c>
      <c r="W92">
        <v>114.1</v>
      </c>
      <c r="X92">
        <v>118</v>
      </c>
      <c r="Y92">
        <v>122.9</v>
      </c>
      <c r="Z92">
        <v>112.7</v>
      </c>
      <c r="AA92">
        <v>118.1</v>
      </c>
      <c r="AB92">
        <f t="shared" si="1"/>
        <v>123.22173913043478</v>
      </c>
      <c r="AC92">
        <v>124.7</v>
      </c>
    </row>
    <row r="93" spans="1:29">
      <c r="A93" t="s">
        <v>33</v>
      </c>
      <c r="B93">
        <v>2015</v>
      </c>
      <c r="C93" t="s">
        <v>40</v>
      </c>
      <c r="D93">
        <v>123.2</v>
      </c>
      <c r="E93">
        <v>134.30000000000001</v>
      </c>
      <c r="F93">
        <v>119.5</v>
      </c>
      <c r="G93">
        <v>127.7</v>
      </c>
      <c r="H93">
        <v>106.3</v>
      </c>
      <c r="I93">
        <v>132.80000000000001</v>
      </c>
      <c r="J93">
        <v>153.5</v>
      </c>
      <c r="K93">
        <v>149.5</v>
      </c>
      <c r="L93">
        <v>85.7</v>
      </c>
      <c r="M93">
        <v>131.5</v>
      </c>
      <c r="N93">
        <v>118.3</v>
      </c>
      <c r="O93">
        <v>131.1</v>
      </c>
      <c r="P93">
        <v>133.1</v>
      </c>
      <c r="Q93">
        <v>123.5</v>
      </c>
      <c r="R93">
        <v>117.9</v>
      </c>
      <c r="S93">
        <v>119.9</v>
      </c>
      <c r="T93">
        <v>115.3</v>
      </c>
      <c r="U93">
        <v>119.5</v>
      </c>
      <c r="V93">
        <v>116</v>
      </c>
      <c r="W93">
        <v>111.5</v>
      </c>
      <c r="X93">
        <v>116.6</v>
      </c>
      <c r="Y93">
        <v>125.4</v>
      </c>
      <c r="Z93">
        <v>111.7</v>
      </c>
      <c r="AA93">
        <v>116.3</v>
      </c>
      <c r="AB93">
        <f t="shared" si="1"/>
        <v>122.50416666666666</v>
      </c>
      <c r="AC93">
        <v>122.4</v>
      </c>
    </row>
    <row r="94" spans="1:29">
      <c r="A94" t="s">
        <v>34</v>
      </c>
      <c r="B94">
        <v>2015</v>
      </c>
      <c r="C94" t="s">
        <v>40</v>
      </c>
      <c r="D94">
        <v>123.7</v>
      </c>
      <c r="E94">
        <v>132.5</v>
      </c>
      <c r="F94">
        <v>121</v>
      </c>
      <c r="G94">
        <v>128.30000000000001</v>
      </c>
      <c r="H94">
        <v>110.9</v>
      </c>
      <c r="I94">
        <v>133.1</v>
      </c>
      <c r="J94">
        <v>145.1</v>
      </c>
      <c r="K94">
        <v>139.1</v>
      </c>
      <c r="L94">
        <v>91.3</v>
      </c>
      <c r="M94">
        <v>126.1</v>
      </c>
      <c r="N94">
        <v>119.9</v>
      </c>
      <c r="O94">
        <v>131.4</v>
      </c>
      <c r="P94">
        <v>130.4</v>
      </c>
      <c r="Q94">
        <v>126.7</v>
      </c>
      <c r="R94">
        <v>122.3</v>
      </c>
      <c r="S94">
        <v>119.9</v>
      </c>
      <c r="T94">
        <v>120.1</v>
      </c>
      <c r="U94">
        <v>121.3</v>
      </c>
      <c r="V94">
        <v>119</v>
      </c>
      <c r="W94">
        <v>112.7</v>
      </c>
      <c r="X94">
        <v>117.2</v>
      </c>
      <c r="Y94">
        <v>124.4</v>
      </c>
      <c r="Z94">
        <v>112.3</v>
      </c>
      <c r="AA94">
        <v>117.2</v>
      </c>
      <c r="AB94">
        <f t="shared" si="1"/>
        <v>122.74583333333334</v>
      </c>
      <c r="AC94">
        <v>123.6</v>
      </c>
    </row>
    <row r="95" spans="1:29">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130.1</v>
      </c>
      <c r="Q95">
        <v>129.5</v>
      </c>
      <c r="R95">
        <v>126.3</v>
      </c>
      <c r="S95" t="s">
        <v>32</v>
      </c>
      <c r="T95">
        <v>123.8</v>
      </c>
      <c r="U95">
        <v>123.7</v>
      </c>
      <c r="V95">
        <v>121.1</v>
      </c>
      <c r="W95">
        <v>113.6</v>
      </c>
      <c r="X95">
        <v>118.5</v>
      </c>
      <c r="Y95">
        <v>123.6</v>
      </c>
      <c r="Z95">
        <v>112.5</v>
      </c>
      <c r="AA95">
        <v>118.2</v>
      </c>
      <c r="AB95">
        <f t="shared" si="1"/>
        <v>124.24782608695649</v>
      </c>
      <c r="AC95">
        <v>126.1</v>
      </c>
    </row>
    <row r="96" spans="1:29">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134.19999999999999</v>
      </c>
      <c r="Q96">
        <v>123.7</v>
      </c>
      <c r="R96">
        <v>118.2</v>
      </c>
      <c r="S96">
        <v>120.9</v>
      </c>
      <c r="T96">
        <v>115.3</v>
      </c>
      <c r="U96">
        <v>120</v>
      </c>
      <c r="V96">
        <v>116.6</v>
      </c>
      <c r="W96">
        <v>109.9</v>
      </c>
      <c r="X96">
        <v>117.2</v>
      </c>
      <c r="Y96">
        <v>126.2</v>
      </c>
      <c r="Z96">
        <v>112</v>
      </c>
      <c r="AA96">
        <v>116.2</v>
      </c>
      <c r="AB96">
        <f t="shared" si="1"/>
        <v>123.25833333333333</v>
      </c>
      <c r="AC96">
        <v>123.2</v>
      </c>
    </row>
    <row r="97" spans="1:29">
      <c r="A97" t="s">
        <v>34</v>
      </c>
      <c r="B97">
        <v>2015</v>
      </c>
      <c r="C97" t="s">
        <v>41</v>
      </c>
      <c r="D97">
        <v>124.2</v>
      </c>
      <c r="E97">
        <v>131.4</v>
      </c>
      <c r="F97">
        <v>120.1</v>
      </c>
      <c r="G97">
        <v>128.5</v>
      </c>
      <c r="H97">
        <v>111.4</v>
      </c>
      <c r="I97">
        <v>132.30000000000001</v>
      </c>
      <c r="J97">
        <v>157.6</v>
      </c>
      <c r="K97">
        <v>144</v>
      </c>
      <c r="L97">
        <v>90.5</v>
      </c>
      <c r="M97">
        <v>126.8</v>
      </c>
      <c r="N97">
        <v>120.4</v>
      </c>
      <c r="O97">
        <v>132.1</v>
      </c>
      <c r="P97">
        <v>131.19999999999999</v>
      </c>
      <c r="Q97">
        <v>127.2</v>
      </c>
      <c r="R97">
        <v>122.9</v>
      </c>
      <c r="S97">
        <v>120.9</v>
      </c>
      <c r="T97">
        <v>120.6</v>
      </c>
      <c r="U97">
        <v>122</v>
      </c>
      <c r="V97">
        <v>119.4</v>
      </c>
      <c r="W97">
        <v>111.7</v>
      </c>
      <c r="X97">
        <v>117.8</v>
      </c>
      <c r="Y97">
        <v>125.1</v>
      </c>
      <c r="Z97">
        <v>112.3</v>
      </c>
      <c r="AA97">
        <v>117.2</v>
      </c>
      <c r="AB97">
        <f t="shared" si="1"/>
        <v>123.65000000000002</v>
      </c>
      <c r="AC97">
        <v>124.8</v>
      </c>
    </row>
    <row r="98" spans="1:29">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130.4</v>
      </c>
      <c r="R98">
        <v>126.8</v>
      </c>
      <c r="S98" t="s">
        <v>32</v>
      </c>
      <c r="T98">
        <v>123.7</v>
      </c>
      <c r="U98">
        <v>124.5</v>
      </c>
      <c r="V98">
        <v>121.4</v>
      </c>
      <c r="W98">
        <v>113.8</v>
      </c>
      <c r="X98">
        <v>119.6</v>
      </c>
      <c r="Y98">
        <v>124.5</v>
      </c>
      <c r="Z98">
        <v>113.7</v>
      </c>
      <c r="AA98">
        <v>118.8</v>
      </c>
      <c r="AB98">
        <f t="shared" si="1"/>
        <v>124.9913043478261</v>
      </c>
      <c r="AC98">
        <v>127</v>
      </c>
    </row>
    <row r="99" spans="1:29">
      <c r="A99" t="s">
        <v>33</v>
      </c>
      <c r="B99">
        <v>2015</v>
      </c>
      <c r="C99" t="s">
        <v>42</v>
      </c>
      <c r="D99">
        <v>123.4</v>
      </c>
      <c r="E99">
        <v>129</v>
      </c>
      <c r="F99">
        <v>115.6</v>
      </c>
      <c r="G99">
        <v>128.30000000000001</v>
      </c>
      <c r="H99">
        <v>107</v>
      </c>
      <c r="I99">
        <v>124</v>
      </c>
      <c r="J99">
        <v>168.5</v>
      </c>
      <c r="K99">
        <v>165.4</v>
      </c>
      <c r="L99">
        <v>86.3</v>
      </c>
      <c r="M99">
        <v>134.4</v>
      </c>
      <c r="N99">
        <v>119.1</v>
      </c>
      <c r="O99">
        <v>132.30000000000001</v>
      </c>
      <c r="P99">
        <v>134.69999999999999</v>
      </c>
      <c r="Q99">
        <v>124</v>
      </c>
      <c r="R99">
        <v>118.6</v>
      </c>
      <c r="S99">
        <v>121.6</v>
      </c>
      <c r="T99">
        <v>115.1</v>
      </c>
      <c r="U99">
        <v>120.4</v>
      </c>
      <c r="V99">
        <v>117.1</v>
      </c>
      <c r="W99">
        <v>109.1</v>
      </c>
      <c r="X99">
        <v>117.3</v>
      </c>
      <c r="Y99">
        <v>126.5</v>
      </c>
      <c r="Z99">
        <v>112.9</v>
      </c>
      <c r="AA99">
        <v>116.2</v>
      </c>
      <c r="AB99">
        <f t="shared" si="1"/>
        <v>123.61666666666666</v>
      </c>
      <c r="AC99">
        <v>123.5</v>
      </c>
    </row>
    <row r="100" spans="1:29">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132</v>
      </c>
      <c r="Q100">
        <v>127.9</v>
      </c>
      <c r="R100">
        <v>123.4</v>
      </c>
      <c r="S100">
        <v>121.6</v>
      </c>
      <c r="T100">
        <v>120.4</v>
      </c>
      <c r="U100">
        <v>122.6</v>
      </c>
      <c r="V100">
        <v>119.8</v>
      </c>
      <c r="W100">
        <v>111.3</v>
      </c>
      <c r="X100">
        <v>118.3</v>
      </c>
      <c r="Y100">
        <v>125.7</v>
      </c>
      <c r="Z100">
        <v>113.4</v>
      </c>
      <c r="AA100">
        <v>117.5</v>
      </c>
      <c r="AB100">
        <f t="shared" si="1"/>
        <v>124.20833333333336</v>
      </c>
      <c r="AC100">
        <v>125.4</v>
      </c>
    </row>
    <row r="101" spans="1:29">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131.5</v>
      </c>
      <c r="Q101">
        <v>131.1</v>
      </c>
      <c r="R101">
        <v>127.3</v>
      </c>
      <c r="S101" t="s">
        <v>32</v>
      </c>
      <c r="T101">
        <v>124.4</v>
      </c>
      <c r="U101">
        <v>125.1</v>
      </c>
      <c r="V101">
        <v>122</v>
      </c>
      <c r="W101">
        <v>113.8</v>
      </c>
      <c r="X101">
        <v>120.1</v>
      </c>
      <c r="Y101">
        <v>125.1</v>
      </c>
      <c r="Z101">
        <v>114.2</v>
      </c>
      <c r="AA101">
        <v>119.2</v>
      </c>
      <c r="AB101">
        <f t="shared" si="1"/>
        <v>125.93913043478258</v>
      </c>
      <c r="AC101">
        <v>127.7</v>
      </c>
    </row>
    <row r="102" spans="1:29">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135.30000000000001</v>
      </c>
      <c r="Q102">
        <v>124.4</v>
      </c>
      <c r="R102">
        <v>118.8</v>
      </c>
      <c r="S102">
        <v>122.4</v>
      </c>
      <c r="T102">
        <v>114.9</v>
      </c>
      <c r="U102">
        <v>120.7</v>
      </c>
      <c r="V102">
        <v>117.7</v>
      </c>
      <c r="W102">
        <v>109.3</v>
      </c>
      <c r="X102">
        <v>117.7</v>
      </c>
      <c r="Y102">
        <v>126.5</v>
      </c>
      <c r="Z102">
        <v>113.5</v>
      </c>
      <c r="AA102">
        <v>116.5</v>
      </c>
      <c r="AB102">
        <f t="shared" si="1"/>
        <v>124.91250000000001</v>
      </c>
      <c r="AC102">
        <v>124.2</v>
      </c>
    </row>
    <row r="103" spans="1:29">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132.5</v>
      </c>
      <c r="Q103">
        <v>128.5</v>
      </c>
      <c r="R103">
        <v>123.8</v>
      </c>
      <c r="S103">
        <v>122.4</v>
      </c>
      <c r="T103">
        <v>120.8</v>
      </c>
      <c r="U103">
        <v>123</v>
      </c>
      <c r="V103">
        <v>120.4</v>
      </c>
      <c r="W103">
        <v>111.4</v>
      </c>
      <c r="X103">
        <v>118.7</v>
      </c>
      <c r="Y103">
        <v>125.9</v>
      </c>
      <c r="Z103">
        <v>113.9</v>
      </c>
      <c r="AA103">
        <v>117.9</v>
      </c>
      <c r="AB103">
        <f t="shared" si="1"/>
        <v>125.25416666666668</v>
      </c>
      <c r="AC103">
        <v>126.1</v>
      </c>
    </row>
    <row r="104" spans="1:29">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132.19999999999999</v>
      </c>
      <c r="Q104">
        <v>132.1</v>
      </c>
      <c r="R104">
        <v>128.19999999999999</v>
      </c>
      <c r="S104" t="s">
        <v>32</v>
      </c>
      <c r="T104">
        <v>125.6</v>
      </c>
      <c r="U104">
        <v>125.6</v>
      </c>
      <c r="V104">
        <v>122.6</v>
      </c>
      <c r="W104">
        <v>114</v>
      </c>
      <c r="X104">
        <v>120.9</v>
      </c>
      <c r="Y104">
        <v>125.8</v>
      </c>
      <c r="Z104">
        <v>114.2</v>
      </c>
      <c r="AA104">
        <v>119.6</v>
      </c>
      <c r="AB104">
        <f t="shared" si="1"/>
        <v>126.72608695652173</v>
      </c>
      <c r="AC104">
        <v>128.30000000000001</v>
      </c>
    </row>
    <row r="105" spans="1:29">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137.6</v>
      </c>
      <c r="Q105">
        <v>125</v>
      </c>
      <c r="R105">
        <v>119.3</v>
      </c>
      <c r="S105">
        <v>122.9</v>
      </c>
      <c r="T105">
        <v>115.1</v>
      </c>
      <c r="U105">
        <v>121</v>
      </c>
      <c r="V105">
        <v>118.1</v>
      </c>
      <c r="W105">
        <v>109.3</v>
      </c>
      <c r="X105">
        <v>117.9</v>
      </c>
      <c r="Y105">
        <v>126.6</v>
      </c>
      <c r="Z105">
        <v>113.3</v>
      </c>
      <c r="AA105">
        <v>116.6</v>
      </c>
      <c r="AB105">
        <f t="shared" si="1"/>
        <v>125.74583333333332</v>
      </c>
      <c r="AC105">
        <v>124.6</v>
      </c>
    </row>
    <row r="106" spans="1:29">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133.6</v>
      </c>
      <c r="Q106">
        <v>129.30000000000001</v>
      </c>
      <c r="R106">
        <v>124.5</v>
      </c>
      <c r="S106">
        <v>122.9</v>
      </c>
      <c r="T106">
        <v>121.6</v>
      </c>
      <c r="U106">
        <v>123.4</v>
      </c>
      <c r="V106">
        <v>120.9</v>
      </c>
      <c r="W106">
        <v>111.5</v>
      </c>
      <c r="X106">
        <v>119.2</v>
      </c>
      <c r="Y106">
        <v>126.3</v>
      </c>
      <c r="Z106">
        <v>113.8</v>
      </c>
      <c r="AA106">
        <v>118.1</v>
      </c>
      <c r="AB106">
        <f t="shared" si="1"/>
        <v>126.02083333333333</v>
      </c>
      <c r="AC106">
        <v>126.6</v>
      </c>
    </row>
    <row r="107" spans="1:29">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133.1</v>
      </c>
      <c r="Q107">
        <v>132.5</v>
      </c>
      <c r="R107">
        <v>128.5</v>
      </c>
      <c r="S107" t="s">
        <v>32</v>
      </c>
      <c r="T107">
        <v>125.7</v>
      </c>
      <c r="U107">
        <v>126</v>
      </c>
      <c r="V107">
        <v>123.1</v>
      </c>
      <c r="W107">
        <v>114</v>
      </c>
      <c r="X107">
        <v>121.6</v>
      </c>
      <c r="Y107">
        <v>125.6</v>
      </c>
      <c r="Z107">
        <v>114.1</v>
      </c>
      <c r="AA107">
        <v>119.8</v>
      </c>
      <c r="AB107">
        <f t="shared" si="1"/>
        <v>126.73478260869564</v>
      </c>
      <c r="AC107">
        <v>127.9</v>
      </c>
    </row>
    <row r="108" spans="1:29">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138.19999999999999</v>
      </c>
      <c r="Q108">
        <v>125.4</v>
      </c>
      <c r="R108">
        <v>119.5</v>
      </c>
      <c r="S108">
        <v>122.4</v>
      </c>
      <c r="T108">
        <v>116</v>
      </c>
      <c r="U108">
        <v>121</v>
      </c>
      <c r="V108">
        <v>118.6</v>
      </c>
      <c r="W108">
        <v>109.3</v>
      </c>
      <c r="X108">
        <v>118.1</v>
      </c>
      <c r="Y108">
        <v>126.6</v>
      </c>
      <c r="Z108">
        <v>113.2</v>
      </c>
      <c r="AA108">
        <v>116.7</v>
      </c>
      <c r="AB108">
        <f t="shared" si="1"/>
        <v>125.51249999999999</v>
      </c>
      <c r="AC108">
        <v>124</v>
      </c>
    </row>
    <row r="109" spans="1:29">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134.5</v>
      </c>
      <c r="Q109">
        <v>129.69999999999999</v>
      </c>
      <c r="R109">
        <v>124.8</v>
      </c>
      <c r="S109">
        <v>122.4</v>
      </c>
      <c r="T109">
        <v>122</v>
      </c>
      <c r="U109">
        <v>123.6</v>
      </c>
      <c r="V109">
        <v>121.4</v>
      </c>
      <c r="W109">
        <v>111.5</v>
      </c>
      <c r="X109">
        <v>119.6</v>
      </c>
      <c r="Y109">
        <v>126.2</v>
      </c>
      <c r="Z109">
        <v>113.7</v>
      </c>
      <c r="AA109">
        <v>118.3</v>
      </c>
      <c r="AB109">
        <f t="shared" si="1"/>
        <v>125.93333333333332</v>
      </c>
      <c r="AC109">
        <v>126.1</v>
      </c>
    </row>
    <row r="110" spans="1:29">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133.6</v>
      </c>
      <c r="Q110">
        <v>133.19999999999999</v>
      </c>
      <c r="R110">
        <v>128.9</v>
      </c>
      <c r="S110" t="s">
        <v>32</v>
      </c>
      <c r="T110">
        <v>126.2</v>
      </c>
      <c r="U110">
        <v>126.6</v>
      </c>
      <c r="V110">
        <v>123.7</v>
      </c>
      <c r="W110">
        <v>113.6</v>
      </c>
      <c r="X110">
        <v>121.4</v>
      </c>
      <c r="Y110">
        <v>126.2</v>
      </c>
      <c r="Z110">
        <v>114.9</v>
      </c>
      <c r="AA110">
        <v>120.1</v>
      </c>
      <c r="AB110">
        <f t="shared" si="1"/>
        <v>127.26521739130432</v>
      </c>
      <c r="AC110">
        <v>128.1</v>
      </c>
    </row>
    <row r="111" spans="1:29">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139.5</v>
      </c>
      <c r="Q111">
        <v>125.8</v>
      </c>
      <c r="R111">
        <v>119.8</v>
      </c>
      <c r="S111">
        <v>123.4</v>
      </c>
      <c r="T111">
        <v>116.9</v>
      </c>
      <c r="U111">
        <v>121.6</v>
      </c>
      <c r="V111">
        <v>119.1</v>
      </c>
      <c r="W111">
        <v>108.9</v>
      </c>
      <c r="X111">
        <v>118.5</v>
      </c>
      <c r="Y111">
        <v>126.4</v>
      </c>
      <c r="Z111">
        <v>114</v>
      </c>
      <c r="AA111">
        <v>116.8</v>
      </c>
      <c r="AB111">
        <f t="shared" si="1"/>
        <v>125.87083333333334</v>
      </c>
      <c r="AC111">
        <v>124.2</v>
      </c>
    </row>
    <row r="112" spans="1:29">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135.19999999999999</v>
      </c>
      <c r="Q112">
        <v>130.30000000000001</v>
      </c>
      <c r="R112">
        <v>125.1</v>
      </c>
      <c r="S112">
        <v>123.4</v>
      </c>
      <c r="T112">
        <v>122.7</v>
      </c>
      <c r="U112">
        <v>124.2</v>
      </c>
      <c r="V112">
        <v>122</v>
      </c>
      <c r="W112">
        <v>111.1</v>
      </c>
      <c r="X112">
        <v>119.8</v>
      </c>
      <c r="Y112">
        <v>126.3</v>
      </c>
      <c r="Z112">
        <v>114.5</v>
      </c>
      <c r="AA112">
        <v>118.5</v>
      </c>
      <c r="AB112">
        <f t="shared" si="1"/>
        <v>126.39583333333333</v>
      </c>
      <c r="AC112">
        <v>126.3</v>
      </c>
    </row>
    <row r="113" spans="1:29">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134.4</v>
      </c>
      <c r="Q113">
        <v>133.9</v>
      </c>
      <c r="R113">
        <v>129.80000000000001</v>
      </c>
      <c r="S113" t="s">
        <v>32</v>
      </c>
      <c r="T113">
        <v>127.5</v>
      </c>
      <c r="U113">
        <v>127.1</v>
      </c>
      <c r="V113">
        <v>124.3</v>
      </c>
      <c r="W113">
        <v>113.9</v>
      </c>
      <c r="X113">
        <v>122.3</v>
      </c>
      <c r="Y113">
        <v>127.1</v>
      </c>
      <c r="Z113">
        <v>116.8</v>
      </c>
      <c r="AA113">
        <v>120.9</v>
      </c>
      <c r="AB113">
        <f t="shared" si="1"/>
        <v>127.40434782608699</v>
      </c>
      <c r="AC113">
        <v>127.9</v>
      </c>
    </row>
    <row r="114" spans="1:29">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140</v>
      </c>
      <c r="Q114">
        <v>126.2</v>
      </c>
      <c r="R114">
        <v>120.1</v>
      </c>
      <c r="S114">
        <v>124.4</v>
      </c>
      <c r="T114">
        <v>116</v>
      </c>
      <c r="U114">
        <v>121.8</v>
      </c>
      <c r="V114">
        <v>119.5</v>
      </c>
      <c r="W114">
        <v>109.1</v>
      </c>
      <c r="X114">
        <v>118.8</v>
      </c>
      <c r="Y114">
        <v>126.3</v>
      </c>
      <c r="Z114">
        <v>116.2</v>
      </c>
      <c r="AA114">
        <v>117.2</v>
      </c>
      <c r="AB114">
        <f t="shared" si="1"/>
        <v>125.10833333333333</v>
      </c>
      <c r="AC114">
        <v>123.8</v>
      </c>
    </row>
    <row r="115" spans="1:29">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135.9</v>
      </c>
      <c r="Q115">
        <v>130.9</v>
      </c>
      <c r="R115">
        <v>125.8</v>
      </c>
      <c r="S115">
        <v>124.4</v>
      </c>
      <c r="T115">
        <v>123.1</v>
      </c>
      <c r="U115">
        <v>124.6</v>
      </c>
      <c r="V115">
        <v>122.5</v>
      </c>
      <c r="W115">
        <v>111.4</v>
      </c>
      <c r="X115">
        <v>120.3</v>
      </c>
      <c r="Y115">
        <v>126.6</v>
      </c>
      <c r="Z115">
        <v>116.6</v>
      </c>
      <c r="AA115">
        <v>119.1</v>
      </c>
      <c r="AB115">
        <f t="shared" si="1"/>
        <v>126.22499999999998</v>
      </c>
      <c r="AC115">
        <v>126</v>
      </c>
    </row>
    <row r="116" spans="1:29">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135</v>
      </c>
      <c r="Q116">
        <v>134.4</v>
      </c>
      <c r="R116">
        <v>130.19999999999999</v>
      </c>
      <c r="S116" t="s">
        <v>32</v>
      </c>
      <c r="T116">
        <v>127</v>
      </c>
      <c r="U116">
        <v>127.7</v>
      </c>
      <c r="V116">
        <v>124.8</v>
      </c>
      <c r="W116">
        <v>113.6</v>
      </c>
      <c r="X116">
        <v>122.5</v>
      </c>
      <c r="Y116">
        <v>127.5</v>
      </c>
      <c r="Z116">
        <v>117.4</v>
      </c>
      <c r="AA116">
        <v>121.1</v>
      </c>
      <c r="AB116">
        <f t="shared" si="1"/>
        <v>127.54347826086959</v>
      </c>
      <c r="AC116">
        <v>128</v>
      </c>
    </row>
    <row r="117" spans="1:29">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140.6</v>
      </c>
      <c r="Q117">
        <v>126.4</v>
      </c>
      <c r="R117">
        <v>120.3</v>
      </c>
      <c r="S117">
        <v>124.9</v>
      </c>
      <c r="T117">
        <v>114.8</v>
      </c>
      <c r="U117">
        <v>122.3</v>
      </c>
      <c r="V117">
        <v>119.7</v>
      </c>
      <c r="W117">
        <v>108.5</v>
      </c>
      <c r="X117">
        <v>119.1</v>
      </c>
      <c r="Y117">
        <v>126.4</v>
      </c>
      <c r="Z117">
        <v>117.1</v>
      </c>
      <c r="AA117">
        <v>117.3</v>
      </c>
      <c r="AB117">
        <f t="shared" si="1"/>
        <v>124.83750000000002</v>
      </c>
      <c r="AC117">
        <v>123.8</v>
      </c>
    </row>
    <row r="118" spans="1:29">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136.5</v>
      </c>
      <c r="Q118">
        <v>131.30000000000001</v>
      </c>
      <c r="R118">
        <v>126.1</v>
      </c>
      <c r="S118">
        <v>124.9</v>
      </c>
      <c r="T118">
        <v>122.4</v>
      </c>
      <c r="U118">
        <v>125.1</v>
      </c>
      <c r="V118">
        <v>122.9</v>
      </c>
      <c r="W118">
        <v>110.9</v>
      </c>
      <c r="X118">
        <v>120.6</v>
      </c>
      <c r="Y118">
        <v>126.9</v>
      </c>
      <c r="Z118">
        <v>117.3</v>
      </c>
      <c r="AA118">
        <v>119.3</v>
      </c>
      <c r="AB118">
        <f t="shared" si="1"/>
        <v>126.23333333333335</v>
      </c>
      <c r="AC118">
        <v>126</v>
      </c>
    </row>
    <row r="119" spans="1:29">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135.5</v>
      </c>
      <c r="Q119">
        <v>135</v>
      </c>
      <c r="R119">
        <v>130.6</v>
      </c>
      <c r="S119" t="s">
        <v>32</v>
      </c>
      <c r="T119">
        <v>127</v>
      </c>
      <c r="U119">
        <v>128</v>
      </c>
      <c r="V119">
        <v>125.2</v>
      </c>
      <c r="W119">
        <v>114.4</v>
      </c>
      <c r="X119">
        <v>123.2</v>
      </c>
      <c r="Y119">
        <v>127.9</v>
      </c>
      <c r="Z119">
        <v>118.4</v>
      </c>
      <c r="AA119">
        <v>121.7</v>
      </c>
      <c r="AB119">
        <f t="shared" si="1"/>
        <v>128.5521739130435</v>
      </c>
      <c r="AC119">
        <v>129</v>
      </c>
    </row>
    <row r="120" spans="1:29">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141.5</v>
      </c>
      <c r="Q120">
        <v>126.8</v>
      </c>
      <c r="R120">
        <v>120.5</v>
      </c>
      <c r="S120">
        <v>125.6</v>
      </c>
      <c r="T120">
        <v>114.6</v>
      </c>
      <c r="U120">
        <v>122.8</v>
      </c>
      <c r="V120">
        <v>120</v>
      </c>
      <c r="W120">
        <v>110</v>
      </c>
      <c r="X120">
        <v>119.5</v>
      </c>
      <c r="Y120">
        <v>127.6</v>
      </c>
      <c r="Z120">
        <v>117.6</v>
      </c>
      <c r="AA120">
        <v>118.2</v>
      </c>
      <c r="AB120">
        <f t="shared" si="1"/>
        <v>126.63333333333333</v>
      </c>
      <c r="AC120">
        <v>125.3</v>
      </c>
    </row>
    <row r="121" spans="1:29">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137.1</v>
      </c>
      <c r="Q121">
        <v>131.80000000000001</v>
      </c>
      <c r="R121">
        <v>126.4</v>
      </c>
      <c r="S121">
        <v>125.6</v>
      </c>
      <c r="T121">
        <v>122.3</v>
      </c>
      <c r="U121">
        <v>125.5</v>
      </c>
      <c r="V121">
        <v>123.2</v>
      </c>
      <c r="W121">
        <v>112.1</v>
      </c>
      <c r="X121">
        <v>121.1</v>
      </c>
      <c r="Y121">
        <v>127.7</v>
      </c>
      <c r="Z121">
        <v>118.1</v>
      </c>
      <c r="AA121">
        <v>120</v>
      </c>
      <c r="AB121">
        <f t="shared" si="1"/>
        <v>127.51666666666665</v>
      </c>
      <c r="AC121">
        <v>127.3</v>
      </c>
    </row>
    <row r="122" spans="1:29">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136</v>
      </c>
      <c r="Q122">
        <v>135.4</v>
      </c>
      <c r="R122">
        <v>131.1</v>
      </c>
      <c r="S122" t="s">
        <v>32</v>
      </c>
      <c r="T122">
        <v>127.4</v>
      </c>
      <c r="U122">
        <v>128.5</v>
      </c>
      <c r="V122">
        <v>125.8</v>
      </c>
      <c r="W122">
        <v>115.1</v>
      </c>
      <c r="X122">
        <v>123.6</v>
      </c>
      <c r="Y122">
        <v>129.1</v>
      </c>
      <c r="Z122">
        <v>119.7</v>
      </c>
      <c r="AA122">
        <v>122.5</v>
      </c>
      <c r="AB122">
        <f t="shared" si="1"/>
        <v>129.75217391304346</v>
      </c>
      <c r="AC122">
        <v>130.30000000000001</v>
      </c>
    </row>
    <row r="123" spans="1:29">
      <c r="A123" t="s">
        <v>33</v>
      </c>
      <c r="B123">
        <v>2016</v>
      </c>
      <c r="C123" t="s">
        <v>38</v>
      </c>
      <c r="D123">
        <v>125</v>
      </c>
      <c r="E123">
        <v>142.1</v>
      </c>
      <c r="F123">
        <v>127</v>
      </c>
      <c r="G123">
        <v>130.4</v>
      </c>
      <c r="H123">
        <v>109.6</v>
      </c>
      <c r="I123">
        <v>133.5</v>
      </c>
      <c r="J123">
        <v>151.4</v>
      </c>
      <c r="K123">
        <v>182.8</v>
      </c>
      <c r="L123">
        <v>111.1</v>
      </c>
      <c r="M123">
        <v>141.5</v>
      </c>
      <c r="N123">
        <v>121.5</v>
      </c>
      <c r="O123">
        <v>136.30000000000001</v>
      </c>
      <c r="P123">
        <v>142.19999999999999</v>
      </c>
      <c r="Q123">
        <v>127.2</v>
      </c>
      <c r="R123">
        <v>120.7</v>
      </c>
      <c r="S123">
        <v>126</v>
      </c>
      <c r="T123">
        <v>115</v>
      </c>
      <c r="U123">
        <v>123.2</v>
      </c>
      <c r="V123">
        <v>120.3</v>
      </c>
      <c r="W123">
        <v>110.7</v>
      </c>
      <c r="X123">
        <v>119.8</v>
      </c>
      <c r="Y123">
        <v>128</v>
      </c>
      <c r="Z123">
        <v>118.5</v>
      </c>
      <c r="AA123">
        <v>118.7</v>
      </c>
      <c r="AB123">
        <f t="shared" si="1"/>
        <v>128.4375</v>
      </c>
      <c r="AC123">
        <v>126.6</v>
      </c>
    </row>
    <row r="124" spans="1:29">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137.69999999999999</v>
      </c>
      <c r="Q124">
        <v>132.19999999999999</v>
      </c>
      <c r="R124">
        <v>126.8</v>
      </c>
      <c r="S124">
        <v>126</v>
      </c>
      <c r="T124">
        <v>122.7</v>
      </c>
      <c r="U124">
        <v>126</v>
      </c>
      <c r="V124">
        <v>123.7</v>
      </c>
      <c r="W124">
        <v>112.8</v>
      </c>
      <c r="X124">
        <v>121.5</v>
      </c>
      <c r="Y124">
        <v>128.5</v>
      </c>
      <c r="Z124">
        <v>119.2</v>
      </c>
      <c r="AA124">
        <v>120.7</v>
      </c>
      <c r="AB124">
        <f t="shared" si="1"/>
        <v>128.92499999999998</v>
      </c>
      <c r="AC124">
        <v>128.6</v>
      </c>
    </row>
    <row r="125" spans="1:29">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137.19999999999999</v>
      </c>
      <c r="Q125">
        <v>136.30000000000001</v>
      </c>
      <c r="R125">
        <v>131.6</v>
      </c>
      <c r="S125" t="s">
        <v>32</v>
      </c>
      <c r="T125">
        <v>128</v>
      </c>
      <c r="U125">
        <v>129.30000000000001</v>
      </c>
      <c r="V125">
        <v>126.2</v>
      </c>
      <c r="W125">
        <v>116.3</v>
      </c>
      <c r="X125">
        <v>124.1</v>
      </c>
      <c r="Y125">
        <v>130.19999999999999</v>
      </c>
      <c r="Z125">
        <v>119.9</v>
      </c>
      <c r="AA125">
        <v>123.3</v>
      </c>
      <c r="AB125">
        <f t="shared" si="1"/>
        <v>131.08695652173913</v>
      </c>
      <c r="AC125">
        <v>131.9</v>
      </c>
    </row>
    <row r="126" spans="1:29">
      <c r="A126" t="s">
        <v>33</v>
      </c>
      <c r="B126">
        <v>2016</v>
      </c>
      <c r="C126" t="s">
        <v>39</v>
      </c>
      <c r="D126">
        <v>125.9</v>
      </c>
      <c r="E126">
        <v>143.9</v>
      </c>
      <c r="F126">
        <v>130.9</v>
      </c>
      <c r="G126">
        <v>131</v>
      </c>
      <c r="H126">
        <v>110.2</v>
      </c>
      <c r="I126">
        <v>135.5</v>
      </c>
      <c r="J126">
        <v>173.7</v>
      </c>
      <c r="K126">
        <v>184.4</v>
      </c>
      <c r="L126">
        <v>112</v>
      </c>
      <c r="M126">
        <v>142.80000000000001</v>
      </c>
      <c r="N126">
        <v>121.6</v>
      </c>
      <c r="O126">
        <v>136.9</v>
      </c>
      <c r="P126">
        <v>142.69999999999999</v>
      </c>
      <c r="Q126">
        <v>127.6</v>
      </c>
      <c r="R126">
        <v>121.1</v>
      </c>
      <c r="S126">
        <v>125.5</v>
      </c>
      <c r="T126">
        <v>115.5</v>
      </c>
      <c r="U126">
        <v>123.2</v>
      </c>
      <c r="V126">
        <v>120.6</v>
      </c>
      <c r="W126">
        <v>112.3</v>
      </c>
      <c r="X126">
        <v>119.9</v>
      </c>
      <c r="Y126">
        <v>129.30000000000001</v>
      </c>
      <c r="Z126">
        <v>118.8</v>
      </c>
      <c r="AA126">
        <v>119.6</v>
      </c>
      <c r="AB126">
        <f t="shared" si="1"/>
        <v>130.20416666666668</v>
      </c>
      <c r="AC126">
        <v>128.1</v>
      </c>
    </row>
    <row r="127" spans="1:29">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138.69999999999999</v>
      </c>
      <c r="Q127">
        <v>132.9</v>
      </c>
      <c r="R127">
        <v>127.2</v>
      </c>
      <c r="S127">
        <v>125.5</v>
      </c>
      <c r="T127">
        <v>123.3</v>
      </c>
      <c r="U127">
        <v>126.4</v>
      </c>
      <c r="V127">
        <v>124.1</v>
      </c>
      <c r="W127">
        <v>114.2</v>
      </c>
      <c r="X127">
        <v>121.7</v>
      </c>
      <c r="Y127">
        <v>129.69999999999999</v>
      </c>
      <c r="Z127">
        <v>119.4</v>
      </c>
      <c r="AA127">
        <v>121.5</v>
      </c>
      <c r="AB127">
        <f t="shared" si="1"/>
        <v>130.35</v>
      </c>
      <c r="AC127">
        <v>130.1</v>
      </c>
    </row>
    <row r="128" spans="1:29">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138</v>
      </c>
      <c r="Q128">
        <v>137.19999999999999</v>
      </c>
      <c r="R128">
        <v>132.19999999999999</v>
      </c>
      <c r="S128" t="s">
        <v>32</v>
      </c>
      <c r="T128">
        <v>128.19999999999999</v>
      </c>
      <c r="U128">
        <v>130</v>
      </c>
      <c r="V128">
        <v>126.7</v>
      </c>
      <c r="W128">
        <v>116.4</v>
      </c>
      <c r="X128">
        <v>125.2</v>
      </c>
      <c r="Y128">
        <v>130.80000000000001</v>
      </c>
      <c r="Z128">
        <v>120.9</v>
      </c>
      <c r="AA128">
        <v>123.8</v>
      </c>
      <c r="AB128">
        <f t="shared" si="1"/>
        <v>132.26521739130433</v>
      </c>
      <c r="AC128">
        <v>133</v>
      </c>
    </row>
    <row r="129" spans="1:29">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142.9</v>
      </c>
      <c r="Q129">
        <v>127.9</v>
      </c>
      <c r="R129">
        <v>121.1</v>
      </c>
      <c r="S129">
        <v>126.4</v>
      </c>
      <c r="T129">
        <v>115.5</v>
      </c>
      <c r="U129">
        <v>123.5</v>
      </c>
      <c r="V129">
        <v>120.9</v>
      </c>
      <c r="W129">
        <v>111.7</v>
      </c>
      <c r="X129">
        <v>120.3</v>
      </c>
      <c r="Y129">
        <v>130.80000000000001</v>
      </c>
      <c r="Z129">
        <v>120</v>
      </c>
      <c r="AA129">
        <v>119.9</v>
      </c>
      <c r="AB129">
        <f t="shared" si="1"/>
        <v>131.35833333333338</v>
      </c>
      <c r="AC129">
        <v>129</v>
      </c>
    </row>
    <row r="130" spans="1:29">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139.30000000000001</v>
      </c>
      <c r="Q130">
        <v>133.5</v>
      </c>
      <c r="R130">
        <v>127.6</v>
      </c>
      <c r="S130">
        <v>126.4</v>
      </c>
      <c r="T130">
        <v>123.4</v>
      </c>
      <c r="U130">
        <v>126.9</v>
      </c>
      <c r="V130">
        <v>124.5</v>
      </c>
      <c r="W130">
        <v>113.9</v>
      </c>
      <c r="X130">
        <v>122.4</v>
      </c>
      <c r="Y130">
        <v>130.80000000000001</v>
      </c>
      <c r="Z130">
        <v>120.5</v>
      </c>
      <c r="AA130">
        <v>121.9</v>
      </c>
      <c r="AB130">
        <f t="shared" si="1"/>
        <v>131.50833333333335</v>
      </c>
      <c r="AC130">
        <v>131.1</v>
      </c>
    </row>
    <row r="131" spans="1:29">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138.9</v>
      </c>
      <c r="Q131">
        <v>137.80000000000001</v>
      </c>
      <c r="R131">
        <v>133</v>
      </c>
      <c r="S131" t="s">
        <v>32</v>
      </c>
      <c r="T131">
        <v>129.1</v>
      </c>
      <c r="U131">
        <v>130.6</v>
      </c>
      <c r="V131">
        <v>127</v>
      </c>
      <c r="W131">
        <v>116</v>
      </c>
      <c r="X131">
        <v>125.5</v>
      </c>
      <c r="Y131">
        <v>131.9</v>
      </c>
      <c r="Z131">
        <v>122</v>
      </c>
      <c r="AA131">
        <v>124.2</v>
      </c>
      <c r="AB131">
        <f t="shared" ref="AB131:AB194" si="2">AVERAGE(D131:AA131)</f>
        <v>132.8478260869565</v>
      </c>
      <c r="AC131">
        <v>133.5</v>
      </c>
    </row>
    <row r="132" spans="1:29">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143.6</v>
      </c>
      <c r="Q132">
        <v>128.30000000000001</v>
      </c>
      <c r="R132">
        <v>121.4</v>
      </c>
      <c r="S132">
        <v>127.3</v>
      </c>
      <c r="T132">
        <v>114.7</v>
      </c>
      <c r="U132">
        <v>123.9</v>
      </c>
      <c r="V132">
        <v>121.2</v>
      </c>
      <c r="W132">
        <v>110.4</v>
      </c>
      <c r="X132">
        <v>120.6</v>
      </c>
      <c r="Y132">
        <v>131.5</v>
      </c>
      <c r="Z132">
        <v>120.9</v>
      </c>
      <c r="AA132">
        <v>119.9</v>
      </c>
      <c r="AB132">
        <f t="shared" si="2"/>
        <v>130.42083333333332</v>
      </c>
      <c r="AC132">
        <v>128.4</v>
      </c>
    </row>
    <row r="133" spans="1:29">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140.19999999999999</v>
      </c>
      <c r="Q133">
        <v>134.1</v>
      </c>
      <c r="R133">
        <v>128.19999999999999</v>
      </c>
      <c r="S133">
        <v>127.3</v>
      </c>
      <c r="T133">
        <v>123.6</v>
      </c>
      <c r="U133">
        <v>127.4</v>
      </c>
      <c r="V133">
        <v>124.8</v>
      </c>
      <c r="W133">
        <v>113.1</v>
      </c>
      <c r="X133">
        <v>122.7</v>
      </c>
      <c r="Y133">
        <v>131.69999999999999</v>
      </c>
      <c r="Z133">
        <v>121.5</v>
      </c>
      <c r="AA133">
        <v>122.1</v>
      </c>
      <c r="AB133">
        <f t="shared" si="2"/>
        <v>131.52916666666667</v>
      </c>
      <c r="AC133">
        <v>131.1</v>
      </c>
    </row>
    <row r="134" spans="1:29">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139.9</v>
      </c>
      <c r="Q134">
        <v>138.5</v>
      </c>
      <c r="R134">
        <v>133.5</v>
      </c>
      <c r="S134" t="s">
        <v>32</v>
      </c>
      <c r="T134">
        <v>129.69999999999999</v>
      </c>
      <c r="U134">
        <v>131.1</v>
      </c>
      <c r="V134">
        <v>127.8</v>
      </c>
      <c r="W134">
        <v>117</v>
      </c>
      <c r="X134">
        <v>125.7</v>
      </c>
      <c r="Y134">
        <v>132.19999999999999</v>
      </c>
      <c r="Z134">
        <v>122.8</v>
      </c>
      <c r="AA134">
        <v>124.9</v>
      </c>
      <c r="AB134">
        <f t="shared" si="2"/>
        <v>132.89565217391305</v>
      </c>
      <c r="AC134">
        <v>133.4</v>
      </c>
    </row>
    <row r="135" spans="1:29">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143.9</v>
      </c>
      <c r="Q135">
        <v>128.69999999999999</v>
      </c>
      <c r="R135">
        <v>121.6</v>
      </c>
      <c r="S135">
        <v>127.9</v>
      </c>
      <c r="T135">
        <v>114.8</v>
      </c>
      <c r="U135">
        <v>124.3</v>
      </c>
      <c r="V135">
        <v>121.4</v>
      </c>
      <c r="W135">
        <v>111.8</v>
      </c>
      <c r="X135">
        <v>120.8</v>
      </c>
      <c r="Y135">
        <v>131.6</v>
      </c>
      <c r="Z135">
        <v>121.2</v>
      </c>
      <c r="AA135">
        <v>120.5</v>
      </c>
      <c r="AB135">
        <f t="shared" si="2"/>
        <v>129.55000000000001</v>
      </c>
      <c r="AC135">
        <v>128</v>
      </c>
    </row>
    <row r="136" spans="1:29">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141</v>
      </c>
      <c r="Q136">
        <v>134.6</v>
      </c>
      <c r="R136">
        <v>128.6</v>
      </c>
      <c r="S136">
        <v>127.9</v>
      </c>
      <c r="T136">
        <v>124.1</v>
      </c>
      <c r="U136">
        <v>127.9</v>
      </c>
      <c r="V136">
        <v>125.4</v>
      </c>
      <c r="W136">
        <v>114.3</v>
      </c>
      <c r="X136">
        <v>122.9</v>
      </c>
      <c r="Y136">
        <v>131.80000000000001</v>
      </c>
      <c r="Z136">
        <v>122.1</v>
      </c>
      <c r="AA136">
        <v>122.8</v>
      </c>
      <c r="AB136">
        <f t="shared" si="2"/>
        <v>131.27083333333334</v>
      </c>
      <c r="AC136">
        <v>130.9</v>
      </c>
    </row>
    <row r="137" spans="1:29">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140.9</v>
      </c>
      <c r="Q137">
        <v>139.6</v>
      </c>
      <c r="R137">
        <v>134.30000000000001</v>
      </c>
      <c r="S137" t="s">
        <v>32</v>
      </c>
      <c r="T137">
        <v>129.80000000000001</v>
      </c>
      <c r="U137">
        <v>131.80000000000001</v>
      </c>
      <c r="V137">
        <v>128.69999999999999</v>
      </c>
      <c r="W137">
        <v>117.8</v>
      </c>
      <c r="X137">
        <v>126.5</v>
      </c>
      <c r="Y137">
        <v>133</v>
      </c>
      <c r="Z137">
        <v>123</v>
      </c>
      <c r="AA137">
        <v>125.7</v>
      </c>
      <c r="AB137">
        <f t="shared" si="2"/>
        <v>133.28260869565219</v>
      </c>
      <c r="AC137">
        <v>133.80000000000001</v>
      </c>
    </row>
    <row r="138" spans="1:29">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144.30000000000001</v>
      </c>
      <c r="Q138">
        <v>129.1</v>
      </c>
      <c r="R138">
        <v>121.9</v>
      </c>
      <c r="S138">
        <v>128.69999999999999</v>
      </c>
      <c r="T138">
        <v>115.2</v>
      </c>
      <c r="U138">
        <v>124.5</v>
      </c>
      <c r="V138">
        <v>121.8</v>
      </c>
      <c r="W138">
        <v>112.8</v>
      </c>
      <c r="X138">
        <v>121.2</v>
      </c>
      <c r="Y138">
        <v>131.9</v>
      </c>
      <c r="Z138">
        <v>120.8</v>
      </c>
      <c r="AA138">
        <v>120.9</v>
      </c>
      <c r="AB138">
        <f t="shared" si="2"/>
        <v>129.98750000000001</v>
      </c>
      <c r="AC138">
        <v>128.6</v>
      </c>
    </row>
    <row r="139" spans="1:29">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141.80000000000001</v>
      </c>
      <c r="Q139">
        <v>135.5</v>
      </c>
      <c r="R139">
        <v>129.1</v>
      </c>
      <c r="S139">
        <v>128.69999999999999</v>
      </c>
      <c r="T139">
        <v>124.3</v>
      </c>
      <c r="U139">
        <v>128.4</v>
      </c>
      <c r="V139">
        <v>126.1</v>
      </c>
      <c r="W139">
        <v>115.2</v>
      </c>
      <c r="X139">
        <v>123.5</v>
      </c>
      <c r="Y139">
        <v>132.4</v>
      </c>
      <c r="Z139">
        <v>122.1</v>
      </c>
      <c r="AA139">
        <v>123.4</v>
      </c>
      <c r="AB139">
        <f t="shared" si="2"/>
        <v>131.67916666666665</v>
      </c>
      <c r="AC139">
        <v>131.4</v>
      </c>
    </row>
    <row r="140" spans="1:29">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141.19999999999999</v>
      </c>
      <c r="Q140">
        <v>139.9</v>
      </c>
      <c r="R140">
        <v>134.5</v>
      </c>
      <c r="S140" t="s">
        <v>32</v>
      </c>
      <c r="T140">
        <v>130.30000000000001</v>
      </c>
      <c r="U140">
        <v>132.1</v>
      </c>
      <c r="V140">
        <v>129.1</v>
      </c>
      <c r="W140">
        <v>118.2</v>
      </c>
      <c r="X140">
        <v>126.9</v>
      </c>
      <c r="Y140">
        <v>133.69999999999999</v>
      </c>
      <c r="Z140">
        <v>123.5</v>
      </c>
      <c r="AA140">
        <v>126.1</v>
      </c>
      <c r="AB140">
        <f t="shared" si="2"/>
        <v>133.19565217391303</v>
      </c>
      <c r="AC140">
        <v>133.6</v>
      </c>
    </row>
    <row r="141" spans="1:29">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144.30000000000001</v>
      </c>
      <c r="Q141">
        <v>129.6</v>
      </c>
      <c r="R141">
        <v>122.1</v>
      </c>
      <c r="S141">
        <v>129.1</v>
      </c>
      <c r="T141">
        <v>116.2</v>
      </c>
      <c r="U141">
        <v>124.7</v>
      </c>
      <c r="V141">
        <v>122.1</v>
      </c>
      <c r="W141">
        <v>113.4</v>
      </c>
      <c r="X141">
        <v>121.7</v>
      </c>
      <c r="Y141">
        <v>132.1</v>
      </c>
      <c r="Z141">
        <v>121.3</v>
      </c>
      <c r="AA141">
        <v>121.3</v>
      </c>
      <c r="AB141">
        <f t="shared" si="2"/>
        <v>129.91249999999999</v>
      </c>
      <c r="AC141">
        <v>128.5</v>
      </c>
    </row>
    <row r="142" spans="1:29">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142</v>
      </c>
      <c r="Q142">
        <v>135.80000000000001</v>
      </c>
      <c r="R142">
        <v>129.30000000000001</v>
      </c>
      <c r="S142">
        <v>129.1</v>
      </c>
      <c r="T142">
        <v>125</v>
      </c>
      <c r="U142">
        <v>128.6</v>
      </c>
      <c r="V142">
        <v>126.4</v>
      </c>
      <c r="W142">
        <v>115.7</v>
      </c>
      <c r="X142">
        <v>124</v>
      </c>
      <c r="Y142">
        <v>132.80000000000001</v>
      </c>
      <c r="Z142">
        <v>122.6</v>
      </c>
      <c r="AA142">
        <v>123.8</v>
      </c>
      <c r="AB142">
        <f t="shared" si="2"/>
        <v>131.61666666666667</v>
      </c>
      <c r="AC142">
        <v>131.19999999999999</v>
      </c>
    </row>
    <row r="143" spans="1:29">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142.4</v>
      </c>
      <c r="Q143">
        <v>140.4</v>
      </c>
      <c r="R143">
        <v>135.19999999999999</v>
      </c>
      <c r="S143" t="s">
        <v>32</v>
      </c>
      <c r="T143">
        <v>132</v>
      </c>
      <c r="U143">
        <v>132.9</v>
      </c>
      <c r="V143">
        <v>129.69999999999999</v>
      </c>
      <c r="W143">
        <v>118.6</v>
      </c>
      <c r="X143">
        <v>127.3</v>
      </c>
      <c r="Y143">
        <v>134.19999999999999</v>
      </c>
      <c r="Z143">
        <v>121.9</v>
      </c>
      <c r="AA143">
        <v>126.3</v>
      </c>
      <c r="AB143">
        <f t="shared" si="2"/>
        <v>132.83913043478262</v>
      </c>
      <c r="AC143">
        <v>132.80000000000001</v>
      </c>
    </row>
    <row r="144" spans="1:29">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145</v>
      </c>
      <c r="Q144">
        <v>130</v>
      </c>
      <c r="R144">
        <v>122.2</v>
      </c>
      <c r="S144">
        <v>128.5</v>
      </c>
      <c r="T144">
        <v>117.8</v>
      </c>
      <c r="U144">
        <v>125</v>
      </c>
      <c r="V144">
        <v>122.3</v>
      </c>
      <c r="W144">
        <v>113.7</v>
      </c>
      <c r="X144">
        <v>121.8</v>
      </c>
      <c r="Y144">
        <v>132.30000000000001</v>
      </c>
      <c r="Z144">
        <v>119.9</v>
      </c>
      <c r="AA144">
        <v>121.4</v>
      </c>
      <c r="AB144">
        <f t="shared" si="2"/>
        <v>129.03750000000002</v>
      </c>
      <c r="AC144">
        <v>127.6</v>
      </c>
    </row>
    <row r="145" spans="1:29">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143.1</v>
      </c>
      <c r="Q145">
        <v>136.30000000000001</v>
      </c>
      <c r="R145">
        <v>129.80000000000001</v>
      </c>
      <c r="S145">
        <v>128.5</v>
      </c>
      <c r="T145">
        <v>126.6</v>
      </c>
      <c r="U145">
        <v>129.19999999999999</v>
      </c>
      <c r="V145">
        <v>126.9</v>
      </c>
      <c r="W145">
        <v>116</v>
      </c>
      <c r="X145">
        <v>124.2</v>
      </c>
      <c r="Y145">
        <v>133.1</v>
      </c>
      <c r="Z145">
        <v>121.1</v>
      </c>
      <c r="AA145">
        <v>123.9</v>
      </c>
      <c r="AB145">
        <f t="shared" si="2"/>
        <v>131.05833333333331</v>
      </c>
      <c r="AC145">
        <v>130.4</v>
      </c>
    </row>
    <row r="146" spans="1:29">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143.1</v>
      </c>
      <c r="Q146">
        <v>140.69999999999999</v>
      </c>
      <c r="R146">
        <v>135.80000000000001</v>
      </c>
      <c r="S146" t="s">
        <v>32</v>
      </c>
      <c r="T146">
        <v>132.1</v>
      </c>
      <c r="U146">
        <v>133.19999999999999</v>
      </c>
      <c r="V146">
        <v>129.9</v>
      </c>
      <c r="W146">
        <v>119.1</v>
      </c>
      <c r="X146">
        <v>127</v>
      </c>
      <c r="Y146">
        <v>134.6</v>
      </c>
      <c r="Z146">
        <v>122.3</v>
      </c>
      <c r="AA146">
        <v>126.6</v>
      </c>
      <c r="AB146">
        <f t="shared" si="2"/>
        <v>132.52173913043478</v>
      </c>
      <c r="AC146">
        <v>132.4</v>
      </c>
    </row>
    <row r="147" spans="1:29">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145.6</v>
      </c>
      <c r="Q147">
        <v>130.19999999999999</v>
      </c>
      <c r="R147">
        <v>122.3</v>
      </c>
      <c r="S147">
        <v>129.6</v>
      </c>
      <c r="T147">
        <v>118</v>
      </c>
      <c r="U147">
        <v>125.1</v>
      </c>
      <c r="V147">
        <v>122.6</v>
      </c>
      <c r="W147">
        <v>115.2</v>
      </c>
      <c r="X147">
        <v>122</v>
      </c>
      <c r="Y147">
        <v>132.4</v>
      </c>
      <c r="Z147">
        <v>120.9</v>
      </c>
      <c r="AA147">
        <v>122.1</v>
      </c>
      <c r="AB147">
        <f t="shared" si="2"/>
        <v>128.63333333333333</v>
      </c>
      <c r="AC147">
        <v>127.8</v>
      </c>
    </row>
    <row r="148" spans="1:29">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143.80000000000001</v>
      </c>
      <c r="Q148">
        <v>136.6</v>
      </c>
      <c r="R148">
        <v>130.19999999999999</v>
      </c>
      <c r="S148">
        <v>129.6</v>
      </c>
      <c r="T148">
        <v>126.8</v>
      </c>
      <c r="U148">
        <v>129.4</v>
      </c>
      <c r="V148">
        <v>127.1</v>
      </c>
      <c r="W148">
        <v>117</v>
      </c>
      <c r="X148">
        <v>124.2</v>
      </c>
      <c r="Y148">
        <v>133.30000000000001</v>
      </c>
      <c r="Z148">
        <v>121.7</v>
      </c>
      <c r="AA148">
        <v>124.4</v>
      </c>
      <c r="AB148">
        <f t="shared" si="2"/>
        <v>130.76249999999999</v>
      </c>
      <c r="AC148">
        <v>130.30000000000001</v>
      </c>
    </row>
    <row r="149" spans="1:29">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143.69999999999999</v>
      </c>
      <c r="Q149">
        <v>140.9</v>
      </c>
      <c r="R149">
        <v>135.80000000000001</v>
      </c>
      <c r="S149" t="s">
        <v>32</v>
      </c>
      <c r="T149">
        <v>133.19999999999999</v>
      </c>
      <c r="U149">
        <v>133.6</v>
      </c>
      <c r="V149">
        <v>130.1</v>
      </c>
      <c r="W149">
        <v>119.5</v>
      </c>
      <c r="X149">
        <v>127.7</v>
      </c>
      <c r="Y149">
        <v>134.9</v>
      </c>
      <c r="Z149">
        <v>123.2</v>
      </c>
      <c r="AA149">
        <v>127</v>
      </c>
      <c r="AB149">
        <f t="shared" si="2"/>
        <v>132.63043478260869</v>
      </c>
      <c r="AC149">
        <v>132.6</v>
      </c>
    </row>
    <row r="150" spans="1:29">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146.30000000000001</v>
      </c>
      <c r="Q150">
        <v>130.5</v>
      </c>
      <c r="R150">
        <v>122.5</v>
      </c>
      <c r="S150">
        <v>130.5</v>
      </c>
      <c r="T150">
        <v>119.2</v>
      </c>
      <c r="U150">
        <v>125.3</v>
      </c>
      <c r="V150">
        <v>122.9</v>
      </c>
      <c r="W150">
        <v>115.5</v>
      </c>
      <c r="X150">
        <v>122.2</v>
      </c>
      <c r="Y150">
        <v>132.4</v>
      </c>
      <c r="Z150">
        <v>121.7</v>
      </c>
      <c r="AA150">
        <v>122.4</v>
      </c>
      <c r="AB150">
        <f t="shared" si="2"/>
        <v>128.52500000000001</v>
      </c>
      <c r="AC150">
        <v>128.19999999999999</v>
      </c>
    </row>
    <row r="151" spans="1:29">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144.4</v>
      </c>
      <c r="Q151">
        <v>136.80000000000001</v>
      </c>
      <c r="R151">
        <v>130.30000000000001</v>
      </c>
      <c r="S151">
        <v>130.5</v>
      </c>
      <c r="T151">
        <v>127.9</v>
      </c>
      <c r="U151">
        <v>129.69999999999999</v>
      </c>
      <c r="V151">
        <v>127.4</v>
      </c>
      <c r="W151">
        <v>117.4</v>
      </c>
      <c r="X151">
        <v>124.6</v>
      </c>
      <c r="Y151">
        <v>133.4</v>
      </c>
      <c r="Z151">
        <v>122.6</v>
      </c>
      <c r="AA151">
        <v>124.8</v>
      </c>
      <c r="AB151">
        <f t="shared" si="2"/>
        <v>130.79583333333335</v>
      </c>
      <c r="AC151">
        <v>130.6</v>
      </c>
    </row>
    <row r="152" spans="1:29">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144.19999999999999</v>
      </c>
      <c r="Q152">
        <v>141.6</v>
      </c>
      <c r="R152">
        <v>136.19999999999999</v>
      </c>
      <c r="S152" t="s">
        <v>32</v>
      </c>
      <c r="T152">
        <v>134.19999999999999</v>
      </c>
      <c r="U152">
        <v>134.1</v>
      </c>
      <c r="V152">
        <v>130.6</v>
      </c>
      <c r="W152">
        <v>119.8</v>
      </c>
      <c r="X152">
        <v>128.30000000000001</v>
      </c>
      <c r="Y152">
        <v>135.19999999999999</v>
      </c>
      <c r="Z152">
        <v>123.3</v>
      </c>
      <c r="AA152">
        <v>127.4</v>
      </c>
      <c r="AB152">
        <f t="shared" si="2"/>
        <v>132.60869565217394</v>
      </c>
      <c r="AC152">
        <v>132.80000000000001</v>
      </c>
    </row>
    <row r="153" spans="1:29">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147.5</v>
      </c>
      <c r="Q153">
        <v>130.80000000000001</v>
      </c>
      <c r="R153">
        <v>122.8</v>
      </c>
      <c r="S153">
        <v>131.1</v>
      </c>
      <c r="T153">
        <v>120.8</v>
      </c>
      <c r="U153">
        <v>125.6</v>
      </c>
      <c r="V153">
        <v>123.1</v>
      </c>
      <c r="W153">
        <v>115.6</v>
      </c>
      <c r="X153">
        <v>122.4</v>
      </c>
      <c r="Y153">
        <v>132.80000000000001</v>
      </c>
      <c r="Z153">
        <v>121.7</v>
      </c>
      <c r="AA153">
        <v>122.6</v>
      </c>
      <c r="AB153">
        <f t="shared" si="2"/>
        <v>128.74583333333331</v>
      </c>
      <c r="AC153">
        <v>128.69999999999999</v>
      </c>
    </row>
    <row r="154" spans="1:29">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145.1</v>
      </c>
      <c r="Q154">
        <v>137.30000000000001</v>
      </c>
      <c r="R154">
        <v>130.6</v>
      </c>
      <c r="S154">
        <v>131.1</v>
      </c>
      <c r="T154">
        <v>129.1</v>
      </c>
      <c r="U154">
        <v>130.1</v>
      </c>
      <c r="V154">
        <v>127.8</v>
      </c>
      <c r="W154">
        <v>117.6</v>
      </c>
      <c r="X154">
        <v>125</v>
      </c>
      <c r="Y154">
        <v>133.80000000000001</v>
      </c>
      <c r="Z154">
        <v>122.6</v>
      </c>
      <c r="AA154">
        <v>125.1</v>
      </c>
      <c r="AB154">
        <f t="shared" si="2"/>
        <v>130.875</v>
      </c>
      <c r="AC154">
        <v>130.9</v>
      </c>
    </row>
    <row r="155" spans="1:29">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144.4</v>
      </c>
      <c r="Q155">
        <v>142.4</v>
      </c>
      <c r="R155">
        <v>136.80000000000001</v>
      </c>
      <c r="S155" t="s">
        <v>32</v>
      </c>
      <c r="T155">
        <v>135</v>
      </c>
      <c r="U155">
        <v>134.30000000000001</v>
      </c>
      <c r="V155">
        <v>131</v>
      </c>
      <c r="W155">
        <v>119.2</v>
      </c>
      <c r="X155">
        <v>128.30000000000001</v>
      </c>
      <c r="Y155">
        <v>135.69999999999999</v>
      </c>
      <c r="Z155">
        <v>123.7</v>
      </c>
      <c r="AA155">
        <v>127.5</v>
      </c>
      <c r="AB155">
        <f t="shared" si="2"/>
        <v>132.65652173913043</v>
      </c>
      <c r="AC155">
        <v>132.9</v>
      </c>
    </row>
    <row r="156" spans="1:29">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148</v>
      </c>
      <c r="Q156">
        <v>131.19999999999999</v>
      </c>
      <c r="R156">
        <v>123</v>
      </c>
      <c r="S156">
        <v>131.69999999999999</v>
      </c>
      <c r="T156">
        <v>121.4</v>
      </c>
      <c r="U156">
        <v>126</v>
      </c>
      <c r="V156">
        <v>123.4</v>
      </c>
      <c r="W156">
        <v>114.3</v>
      </c>
      <c r="X156">
        <v>122.6</v>
      </c>
      <c r="Y156">
        <v>133.6</v>
      </c>
      <c r="Z156">
        <v>122.2</v>
      </c>
      <c r="AA156">
        <v>122.5</v>
      </c>
      <c r="AB156">
        <f t="shared" si="2"/>
        <v>128.94166666666666</v>
      </c>
      <c r="AC156">
        <v>129.1</v>
      </c>
    </row>
    <row r="157" spans="1:29">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145.4</v>
      </c>
      <c r="Q157">
        <v>138</v>
      </c>
      <c r="R157">
        <v>131.1</v>
      </c>
      <c r="S157">
        <v>131.69999999999999</v>
      </c>
      <c r="T157">
        <v>129.80000000000001</v>
      </c>
      <c r="U157">
        <v>130.4</v>
      </c>
      <c r="V157">
        <v>128.1</v>
      </c>
      <c r="W157">
        <v>116.6</v>
      </c>
      <c r="X157">
        <v>125.1</v>
      </c>
      <c r="Y157">
        <v>134.5</v>
      </c>
      <c r="Z157">
        <v>123.1</v>
      </c>
      <c r="AA157">
        <v>125.1</v>
      </c>
      <c r="AB157">
        <f t="shared" si="2"/>
        <v>130.99166666666665</v>
      </c>
      <c r="AC157">
        <v>131.1</v>
      </c>
    </row>
    <row r="158" spans="1:29">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145.5</v>
      </c>
      <c r="Q158">
        <v>142.5</v>
      </c>
      <c r="R158">
        <v>137.30000000000001</v>
      </c>
      <c r="S158" t="s">
        <v>32</v>
      </c>
      <c r="T158">
        <v>135</v>
      </c>
      <c r="U158">
        <v>134.9</v>
      </c>
      <c r="V158">
        <v>131.4</v>
      </c>
      <c r="W158">
        <v>119.4</v>
      </c>
      <c r="X158">
        <v>129.4</v>
      </c>
      <c r="Y158">
        <v>136.30000000000001</v>
      </c>
      <c r="Z158">
        <v>123.7</v>
      </c>
      <c r="AA158">
        <v>127.9</v>
      </c>
      <c r="AB158">
        <f t="shared" si="2"/>
        <v>132.91304347826087</v>
      </c>
      <c r="AC158">
        <v>133.30000000000001</v>
      </c>
    </row>
    <row r="159" spans="1:29">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148.30000000000001</v>
      </c>
      <c r="Q159">
        <v>131.5</v>
      </c>
      <c r="R159">
        <v>123.2</v>
      </c>
      <c r="S159">
        <v>132.1</v>
      </c>
      <c r="T159">
        <v>120.1</v>
      </c>
      <c r="U159">
        <v>126.5</v>
      </c>
      <c r="V159">
        <v>123.6</v>
      </c>
      <c r="W159">
        <v>114.3</v>
      </c>
      <c r="X159">
        <v>122.8</v>
      </c>
      <c r="Y159">
        <v>133.80000000000001</v>
      </c>
      <c r="Z159">
        <v>122</v>
      </c>
      <c r="AA159">
        <v>122.6</v>
      </c>
      <c r="AB159">
        <f t="shared" si="2"/>
        <v>129.03333333333333</v>
      </c>
      <c r="AC159">
        <v>129.30000000000001</v>
      </c>
    </row>
    <row r="160" spans="1:29">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146.19999999999999</v>
      </c>
      <c r="Q160">
        <v>138.19999999999999</v>
      </c>
      <c r="R160">
        <v>131.4</v>
      </c>
      <c r="S160">
        <v>132.1</v>
      </c>
      <c r="T160">
        <v>129.4</v>
      </c>
      <c r="U160">
        <v>130.9</v>
      </c>
      <c r="V160">
        <v>128.4</v>
      </c>
      <c r="W160">
        <v>116.7</v>
      </c>
      <c r="X160">
        <v>125.7</v>
      </c>
      <c r="Y160">
        <v>134.80000000000001</v>
      </c>
      <c r="Z160">
        <v>123</v>
      </c>
      <c r="AA160">
        <v>125.3</v>
      </c>
      <c r="AB160">
        <f t="shared" si="2"/>
        <v>131.16666666666669</v>
      </c>
      <c r="AC160">
        <v>131.4</v>
      </c>
    </row>
    <row r="161" spans="1:29">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145.80000000000001</v>
      </c>
      <c r="Q161">
        <v>143.1</v>
      </c>
      <c r="R161">
        <v>137.69999999999999</v>
      </c>
      <c r="S161" t="s">
        <v>32</v>
      </c>
      <c r="T161">
        <v>134.80000000000001</v>
      </c>
      <c r="U161">
        <v>135.19999999999999</v>
      </c>
      <c r="V161">
        <v>131.30000000000001</v>
      </c>
      <c r="W161">
        <v>119.4</v>
      </c>
      <c r="X161">
        <v>129.80000000000001</v>
      </c>
      <c r="Y161">
        <v>136.9</v>
      </c>
      <c r="Z161">
        <v>124.1</v>
      </c>
      <c r="AA161">
        <v>128.1</v>
      </c>
      <c r="AB161">
        <f t="shared" si="2"/>
        <v>133.4826086956522</v>
      </c>
      <c r="AC161">
        <v>133.9</v>
      </c>
    </row>
    <row r="162" spans="1:29">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148.6</v>
      </c>
      <c r="Q162">
        <v>131.5</v>
      </c>
      <c r="R162">
        <v>123.2</v>
      </c>
      <c r="S162">
        <v>131.4</v>
      </c>
      <c r="T162">
        <v>119</v>
      </c>
      <c r="U162">
        <v>126.8</v>
      </c>
      <c r="V162">
        <v>123.8</v>
      </c>
      <c r="W162">
        <v>113.9</v>
      </c>
      <c r="X162">
        <v>122.9</v>
      </c>
      <c r="Y162">
        <v>134.30000000000001</v>
      </c>
      <c r="Z162">
        <v>122.5</v>
      </c>
      <c r="AA162">
        <v>122.7</v>
      </c>
      <c r="AB162">
        <f t="shared" si="2"/>
        <v>129.82916666666668</v>
      </c>
      <c r="AC162">
        <v>129.9</v>
      </c>
    </row>
    <row r="163" spans="1:29">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146.5</v>
      </c>
      <c r="Q163">
        <v>138.5</v>
      </c>
      <c r="R163">
        <v>131.69999999999999</v>
      </c>
      <c r="S163">
        <v>131.4</v>
      </c>
      <c r="T163">
        <v>128.80000000000001</v>
      </c>
      <c r="U163">
        <v>131.19999999999999</v>
      </c>
      <c r="V163">
        <v>128.5</v>
      </c>
      <c r="W163">
        <v>116.5</v>
      </c>
      <c r="X163">
        <v>125.9</v>
      </c>
      <c r="Y163">
        <v>135.4</v>
      </c>
      <c r="Z163">
        <v>123.4</v>
      </c>
      <c r="AA163">
        <v>125.5</v>
      </c>
      <c r="AB163">
        <f t="shared" si="2"/>
        <v>131.78333333333333</v>
      </c>
      <c r="AC163">
        <v>132</v>
      </c>
    </row>
    <row r="164" spans="1:29">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147.4</v>
      </c>
      <c r="Q164">
        <v>144.30000000000001</v>
      </c>
      <c r="R164">
        <v>138.1</v>
      </c>
      <c r="S164" t="s">
        <v>32</v>
      </c>
      <c r="T164">
        <v>135.30000000000001</v>
      </c>
      <c r="U164">
        <v>136.1</v>
      </c>
      <c r="V164">
        <v>132.1</v>
      </c>
      <c r="W164">
        <v>119.1</v>
      </c>
      <c r="X164">
        <v>130.6</v>
      </c>
      <c r="Y164">
        <v>138.6</v>
      </c>
      <c r="Z164">
        <v>124.4</v>
      </c>
      <c r="AA164">
        <v>128.6</v>
      </c>
      <c r="AB164">
        <f t="shared" si="2"/>
        <v>135.17391304347825</v>
      </c>
      <c r="AC164">
        <v>136.19999999999999</v>
      </c>
    </row>
    <row r="165" spans="1:29">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150.5</v>
      </c>
      <c r="Q165">
        <v>131.6</v>
      </c>
      <c r="R165">
        <v>123.7</v>
      </c>
      <c r="S165">
        <v>132.6</v>
      </c>
      <c r="T165">
        <v>119.7</v>
      </c>
      <c r="U165">
        <v>127.2</v>
      </c>
      <c r="V165">
        <v>125</v>
      </c>
      <c r="W165">
        <v>113.2</v>
      </c>
      <c r="X165">
        <v>123.5</v>
      </c>
      <c r="Y165">
        <v>135.5</v>
      </c>
      <c r="Z165">
        <v>122.4</v>
      </c>
      <c r="AA165">
        <v>123</v>
      </c>
      <c r="AB165">
        <f t="shared" si="2"/>
        <v>131.5083333333333</v>
      </c>
      <c r="AC165">
        <v>131.80000000000001</v>
      </c>
    </row>
    <row r="166" spans="1:29">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148.19999999999999</v>
      </c>
      <c r="Q166">
        <v>139.30000000000001</v>
      </c>
      <c r="R166">
        <v>132.1</v>
      </c>
      <c r="S166">
        <v>132.6</v>
      </c>
      <c r="T166">
        <v>129.4</v>
      </c>
      <c r="U166">
        <v>131.9</v>
      </c>
      <c r="V166">
        <v>129.4</v>
      </c>
      <c r="W166">
        <v>116</v>
      </c>
      <c r="X166">
        <v>126.6</v>
      </c>
      <c r="Y166">
        <v>136.80000000000001</v>
      </c>
      <c r="Z166">
        <v>123.6</v>
      </c>
      <c r="AA166">
        <v>125.9</v>
      </c>
      <c r="AB166">
        <f t="shared" si="2"/>
        <v>133.42500000000001</v>
      </c>
      <c r="AC166">
        <v>134.19999999999999</v>
      </c>
    </row>
    <row r="167" spans="1:29">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149</v>
      </c>
      <c r="Q167">
        <v>145.30000000000001</v>
      </c>
      <c r="R167">
        <v>139.19999999999999</v>
      </c>
      <c r="S167" t="s">
        <v>32</v>
      </c>
      <c r="T167">
        <v>136.4</v>
      </c>
      <c r="U167">
        <v>137.30000000000001</v>
      </c>
      <c r="V167">
        <v>133</v>
      </c>
      <c r="W167">
        <v>120.3</v>
      </c>
      <c r="X167">
        <v>131.5</v>
      </c>
      <c r="Y167">
        <v>140.19999999999999</v>
      </c>
      <c r="Z167">
        <v>125.4</v>
      </c>
      <c r="AA167">
        <v>129.69999999999999</v>
      </c>
      <c r="AB167">
        <f t="shared" si="2"/>
        <v>136.48695652173913</v>
      </c>
      <c r="AC167">
        <v>137.80000000000001</v>
      </c>
    </row>
    <row r="168" spans="1:29">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152.1</v>
      </c>
      <c r="Q168">
        <v>132.69999999999999</v>
      </c>
      <c r="R168">
        <v>124.3</v>
      </c>
      <c r="S168">
        <v>134.4</v>
      </c>
      <c r="T168">
        <v>118.9</v>
      </c>
      <c r="U168">
        <v>127.7</v>
      </c>
      <c r="V168">
        <v>125.7</v>
      </c>
      <c r="W168">
        <v>114.6</v>
      </c>
      <c r="X168">
        <v>124.1</v>
      </c>
      <c r="Y168">
        <v>135.69999999999999</v>
      </c>
      <c r="Z168">
        <v>123.3</v>
      </c>
      <c r="AA168">
        <v>123.8</v>
      </c>
      <c r="AB168">
        <f t="shared" si="2"/>
        <v>132.07499999999996</v>
      </c>
      <c r="AC168">
        <v>132.69999999999999</v>
      </c>
    </row>
    <row r="169" spans="1:29">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149.80000000000001</v>
      </c>
      <c r="Q169">
        <v>140.30000000000001</v>
      </c>
      <c r="R169">
        <v>133</v>
      </c>
      <c r="S169">
        <v>134.4</v>
      </c>
      <c r="T169">
        <v>129.80000000000001</v>
      </c>
      <c r="U169">
        <v>132.80000000000001</v>
      </c>
      <c r="V169">
        <v>130.19999999999999</v>
      </c>
      <c r="W169">
        <v>117.3</v>
      </c>
      <c r="X169">
        <v>127.3</v>
      </c>
      <c r="Y169">
        <v>137.6</v>
      </c>
      <c r="Z169">
        <v>124.5</v>
      </c>
      <c r="AA169">
        <v>126.8</v>
      </c>
      <c r="AB169">
        <f t="shared" si="2"/>
        <v>134.45833333333337</v>
      </c>
      <c r="AC169">
        <v>135.4</v>
      </c>
    </row>
    <row r="170" spans="1:29">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149.80000000000001</v>
      </c>
      <c r="Q170">
        <v>146.1</v>
      </c>
      <c r="R170">
        <v>139.69999999999999</v>
      </c>
      <c r="S170" t="s">
        <v>32</v>
      </c>
      <c r="T170">
        <v>137.4</v>
      </c>
      <c r="U170">
        <v>137.9</v>
      </c>
      <c r="V170">
        <v>133.4</v>
      </c>
      <c r="W170">
        <v>121.2</v>
      </c>
      <c r="X170">
        <v>132.30000000000001</v>
      </c>
      <c r="Y170">
        <v>139.6</v>
      </c>
      <c r="Z170">
        <v>126.7</v>
      </c>
      <c r="AA170">
        <v>130.30000000000001</v>
      </c>
      <c r="AB170">
        <f t="shared" si="2"/>
        <v>136.48260869565217</v>
      </c>
      <c r="AC170">
        <v>137.6</v>
      </c>
    </row>
    <row r="171" spans="1:29">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153.6</v>
      </c>
      <c r="Q171">
        <v>133.30000000000001</v>
      </c>
      <c r="R171">
        <v>124.6</v>
      </c>
      <c r="S171">
        <v>135.69999999999999</v>
      </c>
      <c r="T171">
        <v>120.6</v>
      </c>
      <c r="U171">
        <v>128.1</v>
      </c>
      <c r="V171">
        <v>126.1</v>
      </c>
      <c r="W171">
        <v>115.7</v>
      </c>
      <c r="X171">
        <v>124.5</v>
      </c>
      <c r="Y171">
        <v>135.9</v>
      </c>
      <c r="Z171">
        <v>124.4</v>
      </c>
      <c r="AA171">
        <v>124.5</v>
      </c>
      <c r="AB171">
        <f t="shared" si="2"/>
        <v>131.61249999999998</v>
      </c>
      <c r="AC171">
        <v>132.4</v>
      </c>
    </row>
    <row r="172" spans="1:29">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150.80000000000001</v>
      </c>
      <c r="Q172">
        <v>141.1</v>
      </c>
      <c r="R172">
        <v>133.4</v>
      </c>
      <c r="S172">
        <v>135.69999999999999</v>
      </c>
      <c r="T172">
        <v>131</v>
      </c>
      <c r="U172">
        <v>133.30000000000001</v>
      </c>
      <c r="V172">
        <v>130.6</v>
      </c>
      <c r="W172">
        <v>118.3</v>
      </c>
      <c r="X172">
        <v>127.9</v>
      </c>
      <c r="Y172">
        <v>137.4</v>
      </c>
      <c r="Z172">
        <v>125.7</v>
      </c>
      <c r="AA172">
        <v>127.5</v>
      </c>
      <c r="AB172">
        <f t="shared" si="2"/>
        <v>134.32083333333333</v>
      </c>
      <c r="AC172">
        <v>135.19999999999999</v>
      </c>
    </row>
    <row r="173" spans="1:29">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150.5</v>
      </c>
      <c r="Q173">
        <v>147.19999999999999</v>
      </c>
      <c r="R173">
        <v>140.6</v>
      </c>
      <c r="S173" t="s">
        <v>32</v>
      </c>
      <c r="T173">
        <v>138.1</v>
      </c>
      <c r="U173">
        <v>138.4</v>
      </c>
      <c r="V173">
        <v>134.19999999999999</v>
      </c>
      <c r="W173">
        <v>121</v>
      </c>
      <c r="X173">
        <v>133</v>
      </c>
      <c r="Y173">
        <v>140.1</v>
      </c>
      <c r="Z173">
        <v>127.4</v>
      </c>
      <c r="AA173">
        <v>130.69999999999999</v>
      </c>
      <c r="AB173">
        <f t="shared" si="2"/>
        <v>137.03043478260867</v>
      </c>
      <c r="AC173">
        <v>138.30000000000001</v>
      </c>
    </row>
    <row r="174" spans="1:29">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154.6</v>
      </c>
      <c r="Q174">
        <v>134</v>
      </c>
      <c r="R174">
        <v>124.9</v>
      </c>
      <c r="S174">
        <v>137.30000000000001</v>
      </c>
      <c r="T174">
        <v>122.6</v>
      </c>
      <c r="U174">
        <v>128.30000000000001</v>
      </c>
      <c r="V174">
        <v>126.6</v>
      </c>
      <c r="W174">
        <v>115</v>
      </c>
      <c r="X174">
        <v>124.8</v>
      </c>
      <c r="Y174">
        <v>136.30000000000001</v>
      </c>
      <c r="Z174">
        <v>124.6</v>
      </c>
      <c r="AA174">
        <v>124.5</v>
      </c>
      <c r="AB174">
        <f t="shared" si="2"/>
        <v>132.47916666666666</v>
      </c>
      <c r="AC174">
        <v>133.5</v>
      </c>
    </row>
    <row r="175" spans="1:29">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151.6</v>
      </c>
      <c r="Q175">
        <v>142</v>
      </c>
      <c r="R175">
        <v>134.1</v>
      </c>
      <c r="S175">
        <v>137.30000000000001</v>
      </c>
      <c r="T175">
        <v>132.19999999999999</v>
      </c>
      <c r="U175">
        <v>133.6</v>
      </c>
      <c r="V175">
        <v>131.30000000000001</v>
      </c>
      <c r="W175">
        <v>117.8</v>
      </c>
      <c r="X175">
        <v>128.4</v>
      </c>
      <c r="Y175">
        <v>137.9</v>
      </c>
      <c r="Z175">
        <v>126.2</v>
      </c>
      <c r="AA175">
        <v>127.7</v>
      </c>
      <c r="AB175">
        <f t="shared" si="2"/>
        <v>134.98749999999998</v>
      </c>
      <c r="AC175">
        <v>136.1</v>
      </c>
    </row>
    <row r="176" spans="1:29">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152.1</v>
      </c>
      <c r="Q176">
        <v>148.19999999999999</v>
      </c>
      <c r="R176">
        <v>141.5</v>
      </c>
      <c r="S176" t="s">
        <v>32</v>
      </c>
      <c r="T176">
        <v>141.1</v>
      </c>
      <c r="U176">
        <v>139.4</v>
      </c>
      <c r="V176">
        <v>135.80000000000001</v>
      </c>
      <c r="W176">
        <v>121.6</v>
      </c>
      <c r="X176">
        <v>133.69999999999999</v>
      </c>
      <c r="Y176">
        <v>141.5</v>
      </c>
      <c r="Z176">
        <v>128.1</v>
      </c>
      <c r="AA176">
        <v>131.69999999999999</v>
      </c>
      <c r="AB176">
        <f t="shared" si="2"/>
        <v>138.69565217391303</v>
      </c>
      <c r="AC176">
        <v>140</v>
      </c>
    </row>
    <row r="177" spans="1:29">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156.19999999999999</v>
      </c>
      <c r="Q177">
        <v>135</v>
      </c>
      <c r="R177">
        <v>125.4</v>
      </c>
      <c r="S177">
        <v>138.6</v>
      </c>
      <c r="T177">
        <v>125.7</v>
      </c>
      <c r="U177">
        <v>128.80000000000001</v>
      </c>
      <c r="V177">
        <v>127.4</v>
      </c>
      <c r="W177">
        <v>115.3</v>
      </c>
      <c r="X177">
        <v>125.1</v>
      </c>
      <c r="Y177">
        <v>136.6</v>
      </c>
      <c r="Z177">
        <v>124.9</v>
      </c>
      <c r="AA177">
        <v>124.9</v>
      </c>
      <c r="AB177">
        <f t="shared" si="2"/>
        <v>134.12916666666669</v>
      </c>
      <c r="AC177">
        <v>134.80000000000001</v>
      </c>
    </row>
    <row r="178" spans="1:29">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153.19999999999999</v>
      </c>
      <c r="Q178">
        <v>143</v>
      </c>
      <c r="R178">
        <v>134.80000000000001</v>
      </c>
      <c r="S178">
        <v>138.6</v>
      </c>
      <c r="T178">
        <v>135.30000000000001</v>
      </c>
      <c r="U178">
        <v>134.4</v>
      </c>
      <c r="V178">
        <v>132.6</v>
      </c>
      <c r="W178">
        <v>118.3</v>
      </c>
      <c r="X178">
        <v>128.9</v>
      </c>
      <c r="Y178">
        <v>138.6</v>
      </c>
      <c r="Z178">
        <v>126.8</v>
      </c>
      <c r="AA178">
        <v>128.4</v>
      </c>
      <c r="AB178">
        <f t="shared" si="2"/>
        <v>136.62500000000003</v>
      </c>
      <c r="AC178">
        <v>137.6</v>
      </c>
    </row>
    <row r="179" spans="1:29">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153.19999999999999</v>
      </c>
      <c r="Q179">
        <v>148</v>
      </c>
      <c r="R179">
        <v>141.9</v>
      </c>
      <c r="S179" t="s">
        <v>32</v>
      </c>
      <c r="T179">
        <v>142.6</v>
      </c>
      <c r="U179">
        <v>139.5</v>
      </c>
      <c r="V179">
        <v>136.1</v>
      </c>
      <c r="W179">
        <v>122</v>
      </c>
      <c r="X179">
        <v>133.4</v>
      </c>
      <c r="Y179">
        <v>141.1</v>
      </c>
      <c r="Z179">
        <v>127.8</v>
      </c>
      <c r="AA179">
        <v>131.9</v>
      </c>
      <c r="AB179">
        <f t="shared" si="2"/>
        <v>138.67826086956524</v>
      </c>
      <c r="AC179">
        <v>139.80000000000001</v>
      </c>
    </row>
    <row r="180" spans="1:29">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157</v>
      </c>
      <c r="Q180">
        <v>135.6</v>
      </c>
      <c r="R180">
        <v>125.6</v>
      </c>
      <c r="S180">
        <v>139.1</v>
      </c>
      <c r="T180">
        <v>126.8</v>
      </c>
      <c r="U180">
        <v>129.30000000000001</v>
      </c>
      <c r="V180">
        <v>128.19999999999999</v>
      </c>
      <c r="W180">
        <v>115.3</v>
      </c>
      <c r="X180">
        <v>125.6</v>
      </c>
      <c r="Y180">
        <v>136.69999999999999</v>
      </c>
      <c r="Z180">
        <v>124.6</v>
      </c>
      <c r="AA180">
        <v>125.1</v>
      </c>
      <c r="AB180">
        <f t="shared" si="2"/>
        <v>133.23333333333332</v>
      </c>
      <c r="AC180">
        <v>134.1</v>
      </c>
    </row>
    <row r="181" spans="1:29">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154.19999999999999</v>
      </c>
      <c r="Q181">
        <v>143.1</v>
      </c>
      <c r="R181">
        <v>135.1</v>
      </c>
      <c r="S181">
        <v>139.1</v>
      </c>
      <c r="T181">
        <v>136.6</v>
      </c>
      <c r="U181">
        <v>134.69999999999999</v>
      </c>
      <c r="V181">
        <v>133.1</v>
      </c>
      <c r="W181">
        <v>118.5</v>
      </c>
      <c r="X181">
        <v>129</v>
      </c>
      <c r="Y181">
        <v>138.5</v>
      </c>
      <c r="Z181">
        <v>126.5</v>
      </c>
      <c r="AA181">
        <v>128.6</v>
      </c>
      <c r="AB181">
        <f t="shared" si="2"/>
        <v>136.31249999999997</v>
      </c>
      <c r="AC181">
        <v>137.19999999999999</v>
      </c>
    </row>
    <row r="182" spans="1:29">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153.6</v>
      </c>
      <c r="Q182">
        <v>148.30000000000001</v>
      </c>
      <c r="R182">
        <v>142.30000000000001</v>
      </c>
      <c r="S182" t="s">
        <v>32</v>
      </c>
      <c r="T182">
        <v>142.30000000000001</v>
      </c>
      <c r="U182">
        <v>139.80000000000001</v>
      </c>
      <c r="V182">
        <v>136</v>
      </c>
      <c r="W182">
        <v>122.7</v>
      </c>
      <c r="X182">
        <v>134.30000000000001</v>
      </c>
      <c r="Y182">
        <v>141.6</v>
      </c>
      <c r="Z182">
        <v>128.6</v>
      </c>
      <c r="AA182">
        <v>132.30000000000001</v>
      </c>
      <c r="AB182">
        <f t="shared" si="2"/>
        <v>138.35217391304349</v>
      </c>
      <c r="AC182">
        <v>139.30000000000001</v>
      </c>
    </row>
    <row r="183" spans="1:29">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157.69999999999999</v>
      </c>
      <c r="Q183">
        <v>136</v>
      </c>
      <c r="R183">
        <v>125.9</v>
      </c>
      <c r="S183">
        <v>140.4</v>
      </c>
      <c r="T183">
        <v>127.3</v>
      </c>
      <c r="U183">
        <v>129.5</v>
      </c>
      <c r="V183">
        <v>129</v>
      </c>
      <c r="W183">
        <v>116.3</v>
      </c>
      <c r="X183">
        <v>126.2</v>
      </c>
      <c r="Y183">
        <v>137.1</v>
      </c>
      <c r="Z183">
        <v>125.5</v>
      </c>
      <c r="AA183">
        <v>125.8</v>
      </c>
      <c r="AB183">
        <f t="shared" si="2"/>
        <v>132.82500000000002</v>
      </c>
      <c r="AC183">
        <v>134.1</v>
      </c>
    </row>
    <row r="184" spans="1:29">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154.69999999999999</v>
      </c>
      <c r="Q184">
        <v>143.5</v>
      </c>
      <c r="R184">
        <v>135.5</v>
      </c>
      <c r="S184">
        <v>140.4</v>
      </c>
      <c r="T184">
        <v>136.6</v>
      </c>
      <c r="U184">
        <v>134.9</v>
      </c>
      <c r="V184">
        <v>133.30000000000001</v>
      </c>
      <c r="W184">
        <v>119.3</v>
      </c>
      <c r="X184">
        <v>129.69999999999999</v>
      </c>
      <c r="Y184">
        <v>139</v>
      </c>
      <c r="Z184">
        <v>127.3</v>
      </c>
      <c r="AA184">
        <v>129.1</v>
      </c>
      <c r="AB184">
        <f t="shared" si="2"/>
        <v>136.00000000000003</v>
      </c>
      <c r="AC184">
        <v>136.9</v>
      </c>
    </row>
    <row r="185" spans="1:29">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153.30000000000001</v>
      </c>
      <c r="Q185">
        <v>148.69999999999999</v>
      </c>
      <c r="R185">
        <v>142.4</v>
      </c>
      <c r="S185" t="s">
        <v>32</v>
      </c>
      <c r="T185">
        <v>142.4</v>
      </c>
      <c r="U185">
        <v>139.9</v>
      </c>
      <c r="V185">
        <v>136.19999999999999</v>
      </c>
      <c r="W185">
        <v>123.3</v>
      </c>
      <c r="X185">
        <v>134.30000000000001</v>
      </c>
      <c r="Y185">
        <v>141.5</v>
      </c>
      <c r="Z185">
        <v>128.80000000000001</v>
      </c>
      <c r="AA185">
        <v>132.5</v>
      </c>
      <c r="AB185">
        <f t="shared" si="2"/>
        <v>137.65652173913045</v>
      </c>
      <c r="AC185">
        <v>138.5</v>
      </c>
    </row>
    <row r="186" spans="1:29">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159.30000000000001</v>
      </c>
      <c r="Q186">
        <v>136.30000000000001</v>
      </c>
      <c r="R186">
        <v>126.1</v>
      </c>
      <c r="S186">
        <v>141.30000000000001</v>
      </c>
      <c r="T186">
        <v>127.3</v>
      </c>
      <c r="U186">
        <v>129.9</v>
      </c>
      <c r="V186">
        <v>129.80000000000001</v>
      </c>
      <c r="W186">
        <v>117.4</v>
      </c>
      <c r="X186">
        <v>126.5</v>
      </c>
      <c r="Y186">
        <v>137.19999999999999</v>
      </c>
      <c r="Z186">
        <v>126.2</v>
      </c>
      <c r="AA186">
        <v>126.5</v>
      </c>
      <c r="AB186">
        <f t="shared" si="2"/>
        <v>132.33750000000001</v>
      </c>
      <c r="AC186">
        <v>134</v>
      </c>
    </row>
    <row r="187" spans="1:29">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154.9</v>
      </c>
      <c r="Q187">
        <v>143.80000000000001</v>
      </c>
      <c r="R187">
        <v>135.6</v>
      </c>
      <c r="S187">
        <v>141.30000000000001</v>
      </c>
      <c r="T187">
        <v>136.69999999999999</v>
      </c>
      <c r="U187">
        <v>135.19999999999999</v>
      </c>
      <c r="V187">
        <v>133.80000000000001</v>
      </c>
      <c r="W187">
        <v>120.2</v>
      </c>
      <c r="X187">
        <v>129.9</v>
      </c>
      <c r="Y187">
        <v>139</v>
      </c>
      <c r="Z187">
        <v>127.7</v>
      </c>
      <c r="AA187">
        <v>129.6</v>
      </c>
      <c r="AB187">
        <f t="shared" si="2"/>
        <v>135.43749999999997</v>
      </c>
      <c r="AC187">
        <v>136.4</v>
      </c>
    </row>
    <row r="188" spans="1:29">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155.1</v>
      </c>
      <c r="Q188">
        <v>149.19999999999999</v>
      </c>
      <c r="R188">
        <v>143</v>
      </c>
      <c r="S188" t="s">
        <v>32</v>
      </c>
      <c r="T188">
        <v>142.6</v>
      </c>
      <c r="U188">
        <v>139.9</v>
      </c>
      <c r="V188">
        <v>136.69999999999999</v>
      </c>
      <c r="W188">
        <v>124.6</v>
      </c>
      <c r="X188">
        <v>135.1</v>
      </c>
      <c r="Y188">
        <v>142.69999999999999</v>
      </c>
      <c r="Z188">
        <v>129.30000000000001</v>
      </c>
      <c r="AA188">
        <v>133.30000000000001</v>
      </c>
      <c r="AB188">
        <f t="shared" si="2"/>
        <v>138.03913043478261</v>
      </c>
      <c r="AC188">
        <v>138.69999999999999</v>
      </c>
    </row>
    <row r="189" spans="1:29">
      <c r="A189" t="s">
        <v>33</v>
      </c>
      <c r="B189">
        <v>2018</v>
      </c>
      <c r="C189" t="s">
        <v>36</v>
      </c>
      <c r="D189">
        <v>135</v>
      </c>
      <c r="E189">
        <v>143.1</v>
      </c>
      <c r="F189">
        <v>135.5</v>
      </c>
      <c r="G189">
        <v>139.9</v>
      </c>
      <c r="H189">
        <v>116.5</v>
      </c>
      <c r="I189">
        <v>138.5</v>
      </c>
      <c r="J189">
        <v>128</v>
      </c>
      <c r="K189">
        <v>115.5</v>
      </c>
      <c r="L189">
        <v>114.2</v>
      </c>
      <c r="M189">
        <v>140.69999999999999</v>
      </c>
      <c r="N189">
        <v>126.2</v>
      </c>
      <c r="O189">
        <v>147.6</v>
      </c>
      <c r="P189">
        <v>159.69999999999999</v>
      </c>
      <c r="Q189">
        <v>136.69999999999999</v>
      </c>
      <c r="R189">
        <v>126.7</v>
      </c>
      <c r="S189">
        <v>142</v>
      </c>
      <c r="T189">
        <v>126.4</v>
      </c>
      <c r="U189">
        <v>130.80000000000001</v>
      </c>
      <c r="V189">
        <v>130.5</v>
      </c>
      <c r="W189">
        <v>117.8</v>
      </c>
      <c r="X189">
        <v>126.8</v>
      </c>
      <c r="Y189">
        <v>137.80000000000001</v>
      </c>
      <c r="Z189">
        <v>126.7</v>
      </c>
      <c r="AA189">
        <v>127.1</v>
      </c>
      <c r="AB189">
        <f t="shared" si="2"/>
        <v>132.07083333333335</v>
      </c>
      <c r="AC189">
        <v>134</v>
      </c>
    </row>
    <row r="190" spans="1:29">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156.30000000000001</v>
      </c>
      <c r="Q190">
        <v>144.30000000000001</v>
      </c>
      <c r="R190">
        <v>136.19999999999999</v>
      </c>
      <c r="S190">
        <v>142</v>
      </c>
      <c r="T190">
        <v>136.5</v>
      </c>
      <c r="U190">
        <v>135.6</v>
      </c>
      <c r="V190">
        <v>134.30000000000001</v>
      </c>
      <c r="W190">
        <v>121</v>
      </c>
      <c r="X190">
        <v>130.4</v>
      </c>
      <c r="Y190">
        <v>139.80000000000001</v>
      </c>
      <c r="Z190">
        <v>128.19999999999999</v>
      </c>
      <c r="AA190">
        <v>130.30000000000001</v>
      </c>
      <c r="AB190">
        <f t="shared" si="2"/>
        <v>135.57083333333335</v>
      </c>
      <c r="AC190">
        <v>136.5</v>
      </c>
    </row>
    <row r="191" spans="1:29">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156.1</v>
      </c>
      <c r="Q191">
        <v>150.1</v>
      </c>
      <c r="R191">
        <v>143.30000000000001</v>
      </c>
      <c r="S191" t="s">
        <v>32</v>
      </c>
      <c r="T191">
        <v>143.80000000000001</v>
      </c>
      <c r="U191">
        <v>140.9</v>
      </c>
      <c r="V191">
        <v>137.6</v>
      </c>
      <c r="W191">
        <v>125.3</v>
      </c>
      <c r="X191">
        <v>136</v>
      </c>
      <c r="Y191">
        <v>143.69999999999999</v>
      </c>
      <c r="Z191">
        <v>130.4</v>
      </c>
      <c r="AA191">
        <v>134.19999999999999</v>
      </c>
      <c r="AB191">
        <f t="shared" si="2"/>
        <v>138.38260869565218</v>
      </c>
      <c r="AC191">
        <v>139.1</v>
      </c>
    </row>
    <row r="192" spans="1:29">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159.19999999999999</v>
      </c>
      <c r="Q192">
        <v>137.80000000000001</v>
      </c>
      <c r="R192">
        <v>127.4</v>
      </c>
      <c r="S192">
        <v>142.9</v>
      </c>
      <c r="T192">
        <v>124.6</v>
      </c>
      <c r="U192">
        <v>131.80000000000001</v>
      </c>
      <c r="V192">
        <v>131.30000000000001</v>
      </c>
      <c r="W192">
        <v>118.9</v>
      </c>
      <c r="X192">
        <v>127.6</v>
      </c>
      <c r="Y192">
        <v>139.69999999999999</v>
      </c>
      <c r="Z192">
        <v>127.6</v>
      </c>
      <c r="AA192">
        <v>128.19999999999999</v>
      </c>
      <c r="AB192">
        <f t="shared" si="2"/>
        <v>132.55416666666667</v>
      </c>
      <c r="AC192">
        <v>134.80000000000001</v>
      </c>
    </row>
    <row r="193" spans="1:29">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156.9</v>
      </c>
      <c r="Q193">
        <v>145.30000000000001</v>
      </c>
      <c r="R193">
        <v>136.69999999999999</v>
      </c>
      <c r="S193">
        <v>142.9</v>
      </c>
      <c r="T193">
        <v>136.5</v>
      </c>
      <c r="U193">
        <v>136.6</v>
      </c>
      <c r="V193">
        <v>135.19999999999999</v>
      </c>
      <c r="W193">
        <v>121.9</v>
      </c>
      <c r="X193">
        <v>131.30000000000001</v>
      </c>
      <c r="Y193">
        <v>141.4</v>
      </c>
      <c r="Z193">
        <v>129.19999999999999</v>
      </c>
      <c r="AA193">
        <v>131.30000000000001</v>
      </c>
      <c r="AB193">
        <f t="shared" si="2"/>
        <v>136.03333333333333</v>
      </c>
      <c r="AC193">
        <v>137.1</v>
      </c>
    </row>
    <row r="194" spans="1:29">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157</v>
      </c>
      <c r="Q194">
        <v>150.80000000000001</v>
      </c>
      <c r="R194">
        <v>144.1</v>
      </c>
      <c r="S194" t="s">
        <v>32</v>
      </c>
      <c r="T194">
        <v>144.30000000000001</v>
      </c>
      <c r="U194">
        <v>141.80000000000001</v>
      </c>
      <c r="V194">
        <v>138.4</v>
      </c>
      <c r="W194">
        <v>126.4</v>
      </c>
      <c r="X194">
        <v>136.80000000000001</v>
      </c>
      <c r="Y194">
        <v>144.4</v>
      </c>
      <c r="Z194">
        <v>131.19999999999999</v>
      </c>
      <c r="AA194">
        <v>135.1</v>
      </c>
      <c r="AB194">
        <f t="shared" si="2"/>
        <v>138.85217391304352</v>
      </c>
      <c r="AC194">
        <v>139.80000000000001</v>
      </c>
    </row>
    <row r="195" spans="1:29">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160.30000000000001</v>
      </c>
      <c r="Q195">
        <v>138.6</v>
      </c>
      <c r="R195">
        <v>127.9</v>
      </c>
      <c r="S195">
        <v>143.19999999999999</v>
      </c>
      <c r="T195">
        <v>124.7</v>
      </c>
      <c r="U195">
        <v>132.5</v>
      </c>
      <c r="V195">
        <v>132</v>
      </c>
      <c r="W195">
        <v>119.8</v>
      </c>
      <c r="X195">
        <v>128</v>
      </c>
      <c r="Y195">
        <v>140.4</v>
      </c>
      <c r="Z195">
        <v>128.1</v>
      </c>
      <c r="AA195">
        <v>128.9</v>
      </c>
      <c r="AB195">
        <f t="shared" ref="AB195:AB258" si="3">AVERAGE(D195:AA195)</f>
        <v>132.95416666666665</v>
      </c>
      <c r="AC195">
        <v>135.4</v>
      </c>
    </row>
    <row r="196" spans="1:29">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157.9</v>
      </c>
      <c r="Q196">
        <v>146</v>
      </c>
      <c r="R196">
        <v>137.4</v>
      </c>
      <c r="S196">
        <v>143.19999999999999</v>
      </c>
      <c r="T196">
        <v>136.9</v>
      </c>
      <c r="U196">
        <v>137.4</v>
      </c>
      <c r="V196">
        <v>136</v>
      </c>
      <c r="W196">
        <v>122.9</v>
      </c>
      <c r="X196">
        <v>131.80000000000001</v>
      </c>
      <c r="Y196">
        <v>142.1</v>
      </c>
      <c r="Z196">
        <v>129.9</v>
      </c>
      <c r="AA196">
        <v>132.1</v>
      </c>
      <c r="AB196">
        <f t="shared" si="3"/>
        <v>136.47083333333333</v>
      </c>
      <c r="AC196">
        <v>137.80000000000001</v>
      </c>
    </row>
    <row r="197" spans="1:29">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157.30000000000001</v>
      </c>
      <c r="Q197">
        <v>151.30000000000001</v>
      </c>
      <c r="R197">
        <v>144.69999999999999</v>
      </c>
      <c r="S197" t="s">
        <v>32</v>
      </c>
      <c r="T197">
        <v>145.1</v>
      </c>
      <c r="U197">
        <v>142.19999999999999</v>
      </c>
      <c r="V197">
        <v>138.4</v>
      </c>
      <c r="W197">
        <v>127.4</v>
      </c>
      <c r="X197">
        <v>137.80000000000001</v>
      </c>
      <c r="Y197">
        <v>145.1</v>
      </c>
      <c r="Z197">
        <v>131.4</v>
      </c>
      <c r="AA197">
        <v>135.6</v>
      </c>
      <c r="AB197">
        <f t="shared" si="3"/>
        <v>139.4173913043478</v>
      </c>
      <c r="AC197">
        <v>140.5</v>
      </c>
    </row>
    <row r="198" spans="1:29">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161</v>
      </c>
      <c r="Q198">
        <v>138.9</v>
      </c>
      <c r="R198">
        <v>128.69999999999999</v>
      </c>
      <c r="S198">
        <v>142.5</v>
      </c>
      <c r="T198">
        <v>126.5</v>
      </c>
      <c r="U198">
        <v>133.1</v>
      </c>
      <c r="V198">
        <v>132.6</v>
      </c>
      <c r="W198">
        <v>120.4</v>
      </c>
      <c r="X198">
        <v>128.5</v>
      </c>
      <c r="Y198">
        <v>141.19999999999999</v>
      </c>
      <c r="Z198">
        <v>128.19999999999999</v>
      </c>
      <c r="AA198">
        <v>129.5</v>
      </c>
      <c r="AB198">
        <f t="shared" si="3"/>
        <v>134.16666666666666</v>
      </c>
      <c r="AC198">
        <v>136.19999999999999</v>
      </c>
    </row>
    <row r="199" spans="1:29">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158.30000000000001</v>
      </c>
      <c r="Q199">
        <v>146.4</v>
      </c>
      <c r="R199">
        <v>138.1</v>
      </c>
      <c r="S199">
        <v>142.5</v>
      </c>
      <c r="T199">
        <v>138.1</v>
      </c>
      <c r="U199">
        <v>137.9</v>
      </c>
      <c r="V199">
        <v>136.19999999999999</v>
      </c>
      <c r="W199">
        <v>123.7</v>
      </c>
      <c r="X199">
        <v>132.6</v>
      </c>
      <c r="Y199">
        <v>142.80000000000001</v>
      </c>
      <c r="Z199">
        <v>130.1</v>
      </c>
      <c r="AA199">
        <v>132.6</v>
      </c>
      <c r="AB199">
        <f t="shared" si="3"/>
        <v>137.24999999999997</v>
      </c>
      <c r="AC199">
        <v>138.5</v>
      </c>
    </row>
    <row r="200" spans="1:29">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156.1</v>
      </c>
      <c r="Q200">
        <v>151.5</v>
      </c>
      <c r="R200">
        <v>145.1</v>
      </c>
      <c r="S200" t="s">
        <v>32</v>
      </c>
      <c r="T200">
        <v>146.80000000000001</v>
      </c>
      <c r="U200">
        <v>143.1</v>
      </c>
      <c r="V200">
        <v>139</v>
      </c>
      <c r="W200">
        <v>127.5</v>
      </c>
      <c r="X200">
        <v>138.4</v>
      </c>
      <c r="Y200">
        <v>145.80000000000001</v>
      </c>
      <c r="Z200">
        <v>131.4</v>
      </c>
      <c r="AA200">
        <v>136</v>
      </c>
      <c r="AB200">
        <f t="shared" si="3"/>
        <v>140.40000000000003</v>
      </c>
      <c r="AC200">
        <v>141.80000000000001</v>
      </c>
    </row>
    <row r="201" spans="1:29">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161.4</v>
      </c>
      <c r="Q201">
        <v>139.6</v>
      </c>
      <c r="R201">
        <v>128.9</v>
      </c>
      <c r="S201">
        <v>143.6</v>
      </c>
      <c r="T201">
        <v>128.1</v>
      </c>
      <c r="U201">
        <v>133.6</v>
      </c>
      <c r="V201">
        <v>133.6</v>
      </c>
      <c r="W201">
        <v>120.1</v>
      </c>
      <c r="X201">
        <v>129</v>
      </c>
      <c r="Y201">
        <v>144</v>
      </c>
      <c r="Z201">
        <v>128.19999999999999</v>
      </c>
      <c r="AA201">
        <v>130.19999999999999</v>
      </c>
      <c r="AB201">
        <f t="shared" si="3"/>
        <v>135.46249999999995</v>
      </c>
      <c r="AC201">
        <v>137.5</v>
      </c>
    </row>
    <row r="202" spans="1:29">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157.5</v>
      </c>
      <c r="Q202">
        <v>146.80000000000001</v>
      </c>
      <c r="R202">
        <v>138.4</v>
      </c>
      <c r="S202">
        <v>143.6</v>
      </c>
      <c r="T202">
        <v>139.69999999999999</v>
      </c>
      <c r="U202">
        <v>138.6</v>
      </c>
      <c r="V202">
        <v>137</v>
      </c>
      <c r="W202">
        <v>123.6</v>
      </c>
      <c r="X202">
        <v>133.1</v>
      </c>
      <c r="Y202">
        <v>144.69999999999999</v>
      </c>
      <c r="Z202">
        <v>130.1</v>
      </c>
      <c r="AA202">
        <v>133.19999999999999</v>
      </c>
      <c r="AB202">
        <f t="shared" si="3"/>
        <v>138.34166666666661</v>
      </c>
      <c r="AC202">
        <v>139.80000000000001</v>
      </c>
    </row>
    <row r="203" spans="1:29">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156.4</v>
      </c>
      <c r="Q203">
        <v>152.1</v>
      </c>
      <c r="R203">
        <v>145.80000000000001</v>
      </c>
      <c r="S203" t="s">
        <v>32</v>
      </c>
      <c r="T203">
        <v>147.69999999999999</v>
      </c>
      <c r="U203">
        <v>143.80000000000001</v>
      </c>
      <c r="V203">
        <v>139.4</v>
      </c>
      <c r="W203">
        <v>128.30000000000001</v>
      </c>
      <c r="X203">
        <v>138.6</v>
      </c>
      <c r="Y203">
        <v>146.9</v>
      </c>
      <c r="Z203">
        <v>131.30000000000001</v>
      </c>
      <c r="AA203">
        <v>136.6</v>
      </c>
      <c r="AB203">
        <f t="shared" si="3"/>
        <v>141.00000000000003</v>
      </c>
      <c r="AC203">
        <v>142.5</v>
      </c>
    </row>
    <row r="204" spans="1:29">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162.1</v>
      </c>
      <c r="Q204">
        <v>140</v>
      </c>
      <c r="R204">
        <v>129</v>
      </c>
      <c r="S204">
        <v>144.6</v>
      </c>
      <c r="T204">
        <v>129.80000000000001</v>
      </c>
      <c r="U204">
        <v>134.4</v>
      </c>
      <c r="V204">
        <v>134.9</v>
      </c>
      <c r="W204">
        <v>120.7</v>
      </c>
      <c r="X204">
        <v>129.80000000000001</v>
      </c>
      <c r="Y204">
        <v>145.30000000000001</v>
      </c>
      <c r="Z204">
        <v>128.30000000000001</v>
      </c>
      <c r="AA204">
        <v>131</v>
      </c>
      <c r="AB204">
        <f t="shared" si="3"/>
        <v>135.72500000000002</v>
      </c>
      <c r="AC204">
        <v>138</v>
      </c>
    </row>
    <row r="205" spans="1:29">
      <c r="A205" t="s">
        <v>34</v>
      </c>
      <c r="B205">
        <v>2018</v>
      </c>
      <c r="C205" t="s">
        <v>41</v>
      </c>
      <c r="D205">
        <v>138.30000000000001</v>
      </c>
      <c r="E205">
        <v>148</v>
      </c>
      <c r="F205">
        <v>138.1</v>
      </c>
      <c r="G205">
        <v>142.6</v>
      </c>
      <c r="H205">
        <v>122.2</v>
      </c>
      <c r="I205">
        <v>150.6</v>
      </c>
      <c r="J205">
        <v>156.6</v>
      </c>
      <c r="K205">
        <v>122.4</v>
      </c>
      <c r="L205">
        <v>114.7</v>
      </c>
      <c r="M205">
        <v>139.4</v>
      </c>
      <c r="N205">
        <v>131.1</v>
      </c>
      <c r="O205">
        <v>153</v>
      </c>
      <c r="P205">
        <v>157.9</v>
      </c>
      <c r="Q205">
        <v>147.30000000000001</v>
      </c>
      <c r="R205">
        <v>138.80000000000001</v>
      </c>
      <c r="S205">
        <v>144.6</v>
      </c>
      <c r="T205">
        <v>140.9</v>
      </c>
      <c r="U205">
        <v>139.4</v>
      </c>
      <c r="V205">
        <v>137.69999999999999</v>
      </c>
      <c r="W205">
        <v>124.3</v>
      </c>
      <c r="X205">
        <v>133.6</v>
      </c>
      <c r="Y205">
        <v>146</v>
      </c>
      <c r="Z205">
        <v>130.1</v>
      </c>
      <c r="AA205">
        <v>133.9</v>
      </c>
      <c r="AB205">
        <f t="shared" si="3"/>
        <v>138.81250000000003</v>
      </c>
      <c r="AC205">
        <v>140.4</v>
      </c>
    </row>
    <row r="206" spans="1:29">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157.69999999999999</v>
      </c>
      <c r="Q206">
        <v>152.1</v>
      </c>
      <c r="R206">
        <v>146.1</v>
      </c>
      <c r="S206" t="s">
        <v>32</v>
      </c>
      <c r="T206">
        <v>149</v>
      </c>
      <c r="U206">
        <v>144</v>
      </c>
      <c r="V206">
        <v>140</v>
      </c>
      <c r="W206">
        <v>129.9</v>
      </c>
      <c r="X206">
        <v>140</v>
      </c>
      <c r="Y206">
        <v>147.6</v>
      </c>
      <c r="Z206">
        <v>132</v>
      </c>
      <c r="AA206">
        <v>137.4</v>
      </c>
      <c r="AB206">
        <f t="shared" si="3"/>
        <v>140.6217391304348</v>
      </c>
      <c r="AC206">
        <v>142.1</v>
      </c>
    </row>
    <row r="207" spans="1:29">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163.30000000000001</v>
      </c>
      <c r="Q207">
        <v>140.80000000000001</v>
      </c>
      <c r="R207">
        <v>129.30000000000001</v>
      </c>
      <c r="S207">
        <v>145.30000000000001</v>
      </c>
      <c r="T207">
        <v>131.19999999999999</v>
      </c>
      <c r="U207">
        <v>134.9</v>
      </c>
      <c r="V207">
        <v>135.69999999999999</v>
      </c>
      <c r="W207">
        <v>122.5</v>
      </c>
      <c r="X207">
        <v>130.19999999999999</v>
      </c>
      <c r="Y207">
        <v>145.19999999999999</v>
      </c>
      <c r="Z207">
        <v>129.30000000000001</v>
      </c>
      <c r="AA207">
        <v>131.9</v>
      </c>
      <c r="AB207">
        <f t="shared" si="3"/>
        <v>135.37916666666663</v>
      </c>
      <c r="AC207">
        <v>138.1</v>
      </c>
    </row>
    <row r="208" spans="1:29">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159.19999999999999</v>
      </c>
      <c r="Q208">
        <v>147.69999999999999</v>
      </c>
      <c r="R208">
        <v>139.1</v>
      </c>
      <c r="S208">
        <v>145.30000000000001</v>
      </c>
      <c r="T208">
        <v>142.30000000000001</v>
      </c>
      <c r="U208">
        <v>139.69999999999999</v>
      </c>
      <c r="V208">
        <v>138.4</v>
      </c>
      <c r="W208">
        <v>126</v>
      </c>
      <c r="X208">
        <v>134.5</v>
      </c>
      <c r="Y208">
        <v>146.19999999999999</v>
      </c>
      <c r="Z208">
        <v>130.9</v>
      </c>
      <c r="AA208">
        <v>134.69999999999999</v>
      </c>
      <c r="AB208">
        <f t="shared" si="3"/>
        <v>138.46250000000001</v>
      </c>
      <c r="AC208">
        <v>140.19999999999999</v>
      </c>
    </row>
    <row r="209" spans="1:29">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159.6</v>
      </c>
      <c r="Q209">
        <v>150.69999999999999</v>
      </c>
      <c r="R209">
        <v>144.5</v>
      </c>
      <c r="S209" t="s">
        <v>32</v>
      </c>
      <c r="T209">
        <v>149.69999999999999</v>
      </c>
      <c r="U209">
        <v>147.5</v>
      </c>
      <c r="V209">
        <v>144.80000000000001</v>
      </c>
      <c r="W209">
        <v>130.80000000000001</v>
      </c>
      <c r="X209">
        <v>140.1</v>
      </c>
      <c r="Y209">
        <v>148</v>
      </c>
      <c r="Z209">
        <v>134.4</v>
      </c>
      <c r="AA209">
        <v>139.80000000000001</v>
      </c>
      <c r="AB209">
        <f t="shared" si="3"/>
        <v>140.51739130434785</v>
      </c>
      <c r="AC209">
        <v>142.19999999999999</v>
      </c>
    </row>
    <row r="210" spans="1:29">
      <c r="A210" t="s">
        <v>33</v>
      </c>
      <c r="B210">
        <v>2018</v>
      </c>
      <c r="C210" t="s">
        <v>43</v>
      </c>
      <c r="D210">
        <v>137.6</v>
      </c>
      <c r="E210">
        <v>144.9</v>
      </c>
      <c r="F210">
        <v>133.5</v>
      </c>
      <c r="G210">
        <v>141.5</v>
      </c>
      <c r="H210">
        <v>118</v>
      </c>
      <c r="I210">
        <v>139.5</v>
      </c>
      <c r="J210">
        <v>153</v>
      </c>
      <c r="K210">
        <v>113.2</v>
      </c>
      <c r="L210">
        <v>112.8</v>
      </c>
      <c r="M210">
        <v>141.1</v>
      </c>
      <c r="N210">
        <v>127.6</v>
      </c>
      <c r="O210">
        <v>152</v>
      </c>
      <c r="P210">
        <v>164</v>
      </c>
      <c r="Q210">
        <v>141.5</v>
      </c>
      <c r="R210">
        <v>129.80000000000001</v>
      </c>
      <c r="S210">
        <v>146.30000000000001</v>
      </c>
      <c r="T210">
        <v>133.4</v>
      </c>
      <c r="U210">
        <v>135.1</v>
      </c>
      <c r="V210">
        <v>136.19999999999999</v>
      </c>
      <c r="W210">
        <v>123.3</v>
      </c>
      <c r="X210">
        <v>130.69999999999999</v>
      </c>
      <c r="Y210">
        <v>145.5</v>
      </c>
      <c r="Z210">
        <v>130.4</v>
      </c>
      <c r="AA210">
        <v>132.5</v>
      </c>
      <c r="AB210">
        <f t="shared" si="3"/>
        <v>135.97499999999999</v>
      </c>
      <c r="AC210">
        <v>138.9</v>
      </c>
    </row>
    <row r="211" spans="1:29">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162.6</v>
      </c>
      <c r="Q211">
        <v>148</v>
      </c>
      <c r="R211">
        <v>139.19999999999999</v>
      </c>
      <c r="S211">
        <v>146.9</v>
      </c>
      <c r="T211">
        <v>145.30000000000001</v>
      </c>
      <c r="U211">
        <v>142.19999999999999</v>
      </c>
      <c r="V211">
        <v>142.1</v>
      </c>
      <c r="W211">
        <v>125.5</v>
      </c>
      <c r="X211">
        <v>136.5</v>
      </c>
      <c r="Y211">
        <v>147.80000000000001</v>
      </c>
      <c r="Z211">
        <v>132</v>
      </c>
      <c r="AA211">
        <v>136.30000000000001</v>
      </c>
      <c r="AB211">
        <f t="shared" si="3"/>
        <v>139.20416666666668</v>
      </c>
      <c r="AC211">
        <v>140.80000000000001</v>
      </c>
    </row>
    <row r="212" spans="1:29">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161.9</v>
      </c>
      <c r="Q212">
        <v>151.69999999999999</v>
      </c>
      <c r="R212">
        <v>145.5</v>
      </c>
      <c r="S212" t="s">
        <v>32</v>
      </c>
      <c r="T212">
        <v>150.30000000000001</v>
      </c>
      <c r="U212">
        <v>148</v>
      </c>
      <c r="V212">
        <v>145.4</v>
      </c>
      <c r="W212">
        <v>130.30000000000001</v>
      </c>
      <c r="X212">
        <v>143.1</v>
      </c>
      <c r="Y212">
        <v>150.19999999999999</v>
      </c>
      <c r="Z212">
        <v>133.1</v>
      </c>
      <c r="AA212">
        <v>140.1</v>
      </c>
      <c r="AB212">
        <f t="shared" si="3"/>
        <v>141.17826086956521</v>
      </c>
      <c r="AC212">
        <v>142.4</v>
      </c>
    </row>
    <row r="213" spans="1:29">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164.4</v>
      </c>
      <c r="Q213">
        <v>142.4</v>
      </c>
      <c r="R213">
        <v>130.19999999999999</v>
      </c>
      <c r="S213">
        <v>146.9</v>
      </c>
      <c r="T213">
        <v>136.69999999999999</v>
      </c>
      <c r="U213">
        <v>135.80000000000001</v>
      </c>
      <c r="V213">
        <v>136.80000000000001</v>
      </c>
      <c r="W213">
        <v>121.2</v>
      </c>
      <c r="X213">
        <v>131.30000000000001</v>
      </c>
      <c r="Y213">
        <v>146.1</v>
      </c>
      <c r="Z213">
        <v>130.5</v>
      </c>
      <c r="AA213">
        <v>132.19999999999999</v>
      </c>
      <c r="AB213">
        <f t="shared" si="3"/>
        <v>136.37083333333334</v>
      </c>
      <c r="AC213">
        <v>139</v>
      </c>
    </row>
    <row r="214" spans="1:29">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162.6</v>
      </c>
      <c r="Q214">
        <v>148</v>
      </c>
      <c r="R214">
        <v>139.1</v>
      </c>
      <c r="S214">
        <v>146.9</v>
      </c>
      <c r="T214">
        <v>145.1</v>
      </c>
      <c r="U214">
        <v>142.19999999999999</v>
      </c>
      <c r="V214">
        <v>142.1</v>
      </c>
      <c r="W214">
        <v>125.5</v>
      </c>
      <c r="X214">
        <v>136.5</v>
      </c>
      <c r="Y214">
        <v>147.80000000000001</v>
      </c>
      <c r="Z214">
        <v>132</v>
      </c>
      <c r="AA214">
        <v>136.30000000000001</v>
      </c>
      <c r="AB214">
        <f t="shared" si="3"/>
        <v>139.17083333333335</v>
      </c>
      <c r="AC214">
        <v>140.80000000000001</v>
      </c>
    </row>
    <row r="215" spans="1:29">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162.4</v>
      </c>
      <c r="Q215">
        <v>151.6</v>
      </c>
      <c r="R215">
        <v>145.9</v>
      </c>
      <c r="S215" t="s">
        <v>32</v>
      </c>
      <c r="T215">
        <v>149</v>
      </c>
      <c r="U215">
        <v>149.5</v>
      </c>
      <c r="V215">
        <v>149.6</v>
      </c>
      <c r="W215">
        <v>128.9</v>
      </c>
      <c r="X215">
        <v>143.30000000000001</v>
      </c>
      <c r="Y215">
        <v>155.1</v>
      </c>
      <c r="Z215">
        <v>133.19999999999999</v>
      </c>
      <c r="AA215">
        <v>141.6</v>
      </c>
      <c r="AB215">
        <f t="shared" si="3"/>
        <v>141.07391304347826</v>
      </c>
      <c r="AC215">
        <v>141.9</v>
      </c>
    </row>
    <row r="216" spans="1:29">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164.6</v>
      </c>
      <c r="Q216">
        <v>142.69999999999999</v>
      </c>
      <c r="R216">
        <v>130.30000000000001</v>
      </c>
      <c r="S216">
        <v>146.5</v>
      </c>
      <c r="T216">
        <v>132.4</v>
      </c>
      <c r="U216">
        <v>136.19999999999999</v>
      </c>
      <c r="V216">
        <v>137.30000000000001</v>
      </c>
      <c r="W216">
        <v>118.8</v>
      </c>
      <c r="X216">
        <v>131.69999999999999</v>
      </c>
      <c r="Y216">
        <v>146.5</v>
      </c>
      <c r="Z216">
        <v>130.80000000000001</v>
      </c>
      <c r="AA216">
        <v>131.69999999999999</v>
      </c>
      <c r="AB216">
        <f t="shared" si="3"/>
        <v>135.77083333333334</v>
      </c>
      <c r="AC216">
        <v>138</v>
      </c>
    </row>
    <row r="217" spans="1:29">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163</v>
      </c>
      <c r="Q217">
        <v>148.1</v>
      </c>
      <c r="R217">
        <v>139.4</v>
      </c>
      <c r="S217">
        <v>146.5</v>
      </c>
      <c r="T217">
        <v>142.69999999999999</v>
      </c>
      <c r="U217">
        <v>143.19999999999999</v>
      </c>
      <c r="V217">
        <v>144.9</v>
      </c>
      <c r="W217">
        <v>123.6</v>
      </c>
      <c r="X217">
        <v>136.80000000000001</v>
      </c>
      <c r="Y217">
        <v>150.1</v>
      </c>
      <c r="Z217">
        <v>132.19999999999999</v>
      </c>
      <c r="AA217">
        <v>136.80000000000001</v>
      </c>
      <c r="AB217">
        <f t="shared" si="3"/>
        <v>138.82916666666662</v>
      </c>
      <c r="AC217">
        <v>140.1</v>
      </c>
    </row>
    <row r="218" spans="1:29">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162.69999999999999</v>
      </c>
      <c r="Q218">
        <v>150.6</v>
      </c>
      <c r="R218">
        <v>145.1</v>
      </c>
      <c r="S218" t="s">
        <v>32</v>
      </c>
      <c r="T218">
        <v>146.19999999999999</v>
      </c>
      <c r="U218">
        <v>150.1</v>
      </c>
      <c r="V218">
        <v>149.6</v>
      </c>
      <c r="W218">
        <v>128.6</v>
      </c>
      <c r="X218">
        <v>142.9</v>
      </c>
      <c r="Y218">
        <v>155.19999999999999</v>
      </c>
      <c r="Z218">
        <v>133.5</v>
      </c>
      <c r="AA218">
        <v>141.69999999999999</v>
      </c>
      <c r="AB218">
        <f t="shared" si="3"/>
        <v>140.3652173913043</v>
      </c>
      <c r="AC218">
        <v>141</v>
      </c>
    </row>
    <row r="219" spans="1:29">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164.7</v>
      </c>
      <c r="Q219">
        <v>143</v>
      </c>
      <c r="R219">
        <v>130.4</v>
      </c>
      <c r="S219">
        <v>147.69999999999999</v>
      </c>
      <c r="T219">
        <v>128.6</v>
      </c>
      <c r="U219">
        <v>136.30000000000001</v>
      </c>
      <c r="V219">
        <v>137.80000000000001</v>
      </c>
      <c r="W219">
        <v>118.6</v>
      </c>
      <c r="X219">
        <v>131.9</v>
      </c>
      <c r="Y219">
        <v>146.6</v>
      </c>
      <c r="Z219">
        <v>131.69999999999999</v>
      </c>
      <c r="AA219">
        <v>131.80000000000001</v>
      </c>
      <c r="AB219">
        <f t="shared" si="3"/>
        <v>135.67083333333335</v>
      </c>
      <c r="AC219">
        <v>138</v>
      </c>
    </row>
    <row r="220" spans="1:29">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163.19999999999999</v>
      </c>
      <c r="Q220">
        <v>147.6</v>
      </c>
      <c r="R220">
        <v>139</v>
      </c>
      <c r="S220">
        <v>147.69999999999999</v>
      </c>
      <c r="T220">
        <v>139.5</v>
      </c>
      <c r="U220">
        <v>143.6</v>
      </c>
      <c r="V220">
        <v>145.1</v>
      </c>
      <c r="W220">
        <v>123.3</v>
      </c>
      <c r="X220">
        <v>136.69999999999999</v>
      </c>
      <c r="Y220">
        <v>150.19999999999999</v>
      </c>
      <c r="Z220">
        <v>132.80000000000001</v>
      </c>
      <c r="AA220">
        <v>136.9</v>
      </c>
      <c r="AB220">
        <f t="shared" si="3"/>
        <v>138.39999999999998</v>
      </c>
      <c r="AC220">
        <v>139.6</v>
      </c>
    </row>
    <row r="221" spans="1:29">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162.80000000000001</v>
      </c>
      <c r="Q221">
        <v>150.5</v>
      </c>
      <c r="R221">
        <v>146.1</v>
      </c>
      <c r="S221" t="s">
        <v>32</v>
      </c>
      <c r="T221">
        <v>145.30000000000001</v>
      </c>
      <c r="U221">
        <v>150.1</v>
      </c>
      <c r="V221">
        <v>149.9</v>
      </c>
      <c r="W221">
        <v>129.19999999999999</v>
      </c>
      <c r="X221">
        <v>143.4</v>
      </c>
      <c r="Y221">
        <v>155.5</v>
      </c>
      <c r="Z221">
        <v>134.9</v>
      </c>
      <c r="AA221">
        <v>142.19999999999999</v>
      </c>
      <c r="AB221">
        <f t="shared" si="3"/>
        <v>140.54347826086956</v>
      </c>
      <c r="AC221">
        <v>141</v>
      </c>
    </row>
    <row r="222" spans="1:29">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164.9</v>
      </c>
      <c r="Q222">
        <v>143.30000000000001</v>
      </c>
      <c r="R222">
        <v>130.80000000000001</v>
      </c>
      <c r="S222">
        <v>148.5</v>
      </c>
      <c r="T222">
        <v>127.1</v>
      </c>
      <c r="U222">
        <v>136.6</v>
      </c>
      <c r="V222">
        <v>138.5</v>
      </c>
      <c r="W222">
        <v>119.2</v>
      </c>
      <c r="X222">
        <v>132.19999999999999</v>
      </c>
      <c r="Y222">
        <v>146.6</v>
      </c>
      <c r="Z222">
        <v>133</v>
      </c>
      <c r="AA222">
        <v>132.4</v>
      </c>
      <c r="AB222">
        <f t="shared" si="3"/>
        <v>136.22916666666666</v>
      </c>
      <c r="AC222">
        <v>138.6</v>
      </c>
    </row>
    <row r="223" spans="1:29">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163.4</v>
      </c>
      <c r="Q223">
        <v>147.69999999999999</v>
      </c>
      <c r="R223">
        <v>139.69999999999999</v>
      </c>
      <c r="S223">
        <v>148.5</v>
      </c>
      <c r="T223">
        <v>138.4</v>
      </c>
      <c r="U223">
        <v>143.69999999999999</v>
      </c>
      <c r="V223">
        <v>145.6</v>
      </c>
      <c r="W223">
        <v>123.9</v>
      </c>
      <c r="X223">
        <v>137.1</v>
      </c>
      <c r="Y223">
        <v>150.30000000000001</v>
      </c>
      <c r="Z223">
        <v>134.1</v>
      </c>
      <c r="AA223">
        <v>137.4</v>
      </c>
      <c r="AB223">
        <f t="shared" si="3"/>
        <v>138.72499999999999</v>
      </c>
      <c r="AC223">
        <v>139.9</v>
      </c>
    </row>
    <row r="224" spans="1:29">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162.9</v>
      </c>
      <c r="Q224">
        <v>150.80000000000001</v>
      </c>
      <c r="R224">
        <v>146.1</v>
      </c>
      <c r="S224" t="s">
        <v>32</v>
      </c>
      <c r="T224">
        <v>146.4</v>
      </c>
      <c r="U224">
        <v>150</v>
      </c>
      <c r="V224">
        <v>150.4</v>
      </c>
      <c r="W224">
        <v>129.9</v>
      </c>
      <c r="X224">
        <v>143.80000000000001</v>
      </c>
      <c r="Y224">
        <v>155.5</v>
      </c>
      <c r="Z224">
        <v>134</v>
      </c>
      <c r="AA224">
        <v>142.4</v>
      </c>
      <c r="AB224">
        <f t="shared" si="3"/>
        <v>140.70000000000005</v>
      </c>
      <c r="AC224">
        <v>141.19999999999999</v>
      </c>
    </row>
    <row r="225" spans="1:29">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165.3</v>
      </c>
      <c r="Q225">
        <v>143.5</v>
      </c>
      <c r="R225">
        <v>131.19999999999999</v>
      </c>
      <c r="S225">
        <v>149</v>
      </c>
      <c r="T225">
        <v>128.80000000000001</v>
      </c>
      <c r="U225">
        <v>136.80000000000001</v>
      </c>
      <c r="V225">
        <v>139.19999999999999</v>
      </c>
      <c r="W225">
        <v>119.9</v>
      </c>
      <c r="X225">
        <v>133</v>
      </c>
      <c r="Y225">
        <v>146.69999999999999</v>
      </c>
      <c r="Z225">
        <v>132.5</v>
      </c>
      <c r="AA225">
        <v>132.80000000000001</v>
      </c>
      <c r="AB225">
        <f t="shared" si="3"/>
        <v>136.97916666666669</v>
      </c>
      <c r="AC225">
        <v>139.5</v>
      </c>
    </row>
    <row r="226" spans="1:29">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163.5</v>
      </c>
      <c r="Q226">
        <v>147.9</v>
      </c>
      <c r="R226">
        <v>139.9</v>
      </c>
      <c r="S226">
        <v>149</v>
      </c>
      <c r="T226">
        <v>139.69999999999999</v>
      </c>
      <c r="U226">
        <v>143.80000000000001</v>
      </c>
      <c r="V226">
        <v>146.19999999999999</v>
      </c>
      <c r="W226">
        <v>124.6</v>
      </c>
      <c r="X226">
        <v>137.69999999999999</v>
      </c>
      <c r="Y226">
        <v>150.30000000000001</v>
      </c>
      <c r="Z226">
        <v>133.4</v>
      </c>
      <c r="AA226">
        <v>137.69999999999999</v>
      </c>
      <c r="AB226">
        <f t="shared" si="3"/>
        <v>139.10416666666666</v>
      </c>
      <c r="AC226">
        <v>140.4</v>
      </c>
    </row>
    <row r="227" spans="1:29">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163.30000000000001</v>
      </c>
      <c r="Q227">
        <v>151.30000000000001</v>
      </c>
      <c r="R227">
        <v>146.6</v>
      </c>
      <c r="S227" t="s">
        <v>32</v>
      </c>
      <c r="T227">
        <v>146.9</v>
      </c>
      <c r="U227">
        <v>149.5</v>
      </c>
      <c r="V227">
        <v>151.30000000000001</v>
      </c>
      <c r="W227">
        <v>130.19999999999999</v>
      </c>
      <c r="X227">
        <v>145.9</v>
      </c>
      <c r="Y227">
        <v>156.69999999999999</v>
      </c>
      <c r="Z227">
        <v>133.9</v>
      </c>
      <c r="AA227">
        <v>142.9</v>
      </c>
      <c r="AB227">
        <f t="shared" si="3"/>
        <v>141.80000000000001</v>
      </c>
      <c r="AC227">
        <v>142.4</v>
      </c>
    </row>
    <row r="228" spans="1:29">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166.2</v>
      </c>
      <c r="Q228">
        <v>144</v>
      </c>
      <c r="R228">
        <v>131.69999999999999</v>
      </c>
      <c r="S228">
        <v>150.1</v>
      </c>
      <c r="T228">
        <v>129.4</v>
      </c>
      <c r="U228">
        <v>137.19999999999999</v>
      </c>
      <c r="V228">
        <v>139.80000000000001</v>
      </c>
      <c r="W228">
        <v>120.1</v>
      </c>
      <c r="X228">
        <v>134</v>
      </c>
      <c r="Y228">
        <v>148</v>
      </c>
      <c r="Z228">
        <v>132.6</v>
      </c>
      <c r="AA228">
        <v>133.30000000000001</v>
      </c>
      <c r="AB228">
        <f t="shared" si="3"/>
        <v>138.92083333333335</v>
      </c>
      <c r="AC228">
        <v>141.5</v>
      </c>
    </row>
    <row r="229" spans="1:29">
      <c r="A229" t="s">
        <v>34</v>
      </c>
      <c r="B229">
        <v>2019</v>
      </c>
      <c r="C229" t="s">
        <v>38</v>
      </c>
      <c r="D229">
        <v>138.30000000000001</v>
      </c>
      <c r="E229">
        <v>158.5</v>
      </c>
      <c r="F229">
        <v>136</v>
      </c>
      <c r="G229">
        <v>142.5</v>
      </c>
      <c r="H229">
        <v>122</v>
      </c>
      <c r="I229">
        <v>146.5</v>
      </c>
      <c r="J229">
        <v>143</v>
      </c>
      <c r="K229">
        <v>124.9</v>
      </c>
      <c r="L229">
        <v>109.9</v>
      </c>
      <c r="M229">
        <v>139.9</v>
      </c>
      <c r="N229">
        <v>134</v>
      </c>
      <c r="O229">
        <v>155.5</v>
      </c>
      <c r="P229">
        <v>164.1</v>
      </c>
      <c r="Q229">
        <v>148.4</v>
      </c>
      <c r="R229">
        <v>140.4</v>
      </c>
      <c r="S229">
        <v>150.1</v>
      </c>
      <c r="T229">
        <v>140.30000000000001</v>
      </c>
      <c r="U229">
        <v>143.69999999999999</v>
      </c>
      <c r="V229">
        <v>146.9</v>
      </c>
      <c r="W229">
        <v>124.9</v>
      </c>
      <c r="X229">
        <v>139.19999999999999</v>
      </c>
      <c r="Y229">
        <v>151.6</v>
      </c>
      <c r="Z229">
        <v>133.4</v>
      </c>
      <c r="AA229">
        <v>138.19999999999999</v>
      </c>
      <c r="AB229">
        <f t="shared" si="3"/>
        <v>140.50833333333333</v>
      </c>
      <c r="AC229">
        <v>142</v>
      </c>
    </row>
    <row r="230" spans="1:29">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164.2</v>
      </c>
      <c r="Q230">
        <v>151.4</v>
      </c>
      <c r="R230">
        <v>146.5</v>
      </c>
      <c r="S230" t="s">
        <v>32</v>
      </c>
      <c r="T230">
        <v>147.80000000000001</v>
      </c>
      <c r="U230">
        <v>149.6</v>
      </c>
      <c r="V230">
        <v>151.69999999999999</v>
      </c>
      <c r="W230">
        <v>130.19999999999999</v>
      </c>
      <c r="X230">
        <v>146.4</v>
      </c>
      <c r="Y230">
        <v>157.69999999999999</v>
      </c>
      <c r="Z230">
        <v>134.80000000000001</v>
      </c>
      <c r="AA230">
        <v>143.30000000000001</v>
      </c>
      <c r="AB230">
        <f t="shared" si="3"/>
        <v>142.90434782608696</v>
      </c>
      <c r="AC230">
        <v>143.6</v>
      </c>
    </row>
    <row r="231" spans="1:29">
      <c r="A231" t="s">
        <v>33</v>
      </c>
      <c r="B231">
        <v>2019</v>
      </c>
      <c r="C231" t="s">
        <v>39</v>
      </c>
      <c r="D231">
        <v>140.69999999999999</v>
      </c>
      <c r="E231">
        <v>159.6</v>
      </c>
      <c r="F231">
        <v>140.4</v>
      </c>
      <c r="G231">
        <v>143.4</v>
      </c>
      <c r="H231">
        <v>118.6</v>
      </c>
      <c r="I231">
        <v>150.9</v>
      </c>
      <c r="J231">
        <v>169.8</v>
      </c>
      <c r="K231">
        <v>127.4</v>
      </c>
      <c r="L231">
        <v>111.8</v>
      </c>
      <c r="M231">
        <v>141</v>
      </c>
      <c r="N231">
        <v>129</v>
      </c>
      <c r="O231">
        <v>155.1</v>
      </c>
      <c r="P231">
        <v>166.7</v>
      </c>
      <c r="Q231">
        <v>144.30000000000001</v>
      </c>
      <c r="R231">
        <v>131.69999999999999</v>
      </c>
      <c r="S231">
        <v>149.4</v>
      </c>
      <c r="T231">
        <v>130.5</v>
      </c>
      <c r="U231">
        <v>137.4</v>
      </c>
      <c r="V231">
        <v>140.30000000000001</v>
      </c>
      <c r="W231">
        <v>119.6</v>
      </c>
      <c r="X231">
        <v>134.30000000000001</v>
      </c>
      <c r="Y231">
        <v>148.9</v>
      </c>
      <c r="Z231">
        <v>133.69999999999999</v>
      </c>
      <c r="AA231">
        <v>133.6</v>
      </c>
      <c r="AB231">
        <f t="shared" si="3"/>
        <v>139.92083333333332</v>
      </c>
      <c r="AC231">
        <v>142.1</v>
      </c>
    </row>
    <row r="232" spans="1:29">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164.9</v>
      </c>
      <c r="Q232">
        <v>148.6</v>
      </c>
      <c r="R232">
        <v>140.4</v>
      </c>
      <c r="S232">
        <v>149.4</v>
      </c>
      <c r="T232">
        <v>141.19999999999999</v>
      </c>
      <c r="U232">
        <v>143.80000000000001</v>
      </c>
      <c r="V232">
        <v>147.4</v>
      </c>
      <c r="W232">
        <v>124.6</v>
      </c>
      <c r="X232">
        <v>139.6</v>
      </c>
      <c r="Y232">
        <v>152.5</v>
      </c>
      <c r="Z232">
        <v>134.30000000000001</v>
      </c>
      <c r="AA232">
        <v>138.6</v>
      </c>
      <c r="AB232">
        <f t="shared" si="3"/>
        <v>141.52916666666667</v>
      </c>
      <c r="AC232">
        <v>142.9</v>
      </c>
    </row>
    <row r="233" spans="1:29">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164.5</v>
      </c>
      <c r="Q233">
        <v>151.6</v>
      </c>
      <c r="R233">
        <v>146.6</v>
      </c>
      <c r="S233" t="s">
        <v>32</v>
      </c>
      <c r="T233">
        <v>146.80000000000001</v>
      </c>
      <c r="U233">
        <v>150</v>
      </c>
      <c r="V233">
        <v>152.19999999999999</v>
      </c>
      <c r="W233">
        <v>131.19999999999999</v>
      </c>
      <c r="X233">
        <v>147.5</v>
      </c>
      <c r="Y233">
        <v>159.1</v>
      </c>
      <c r="Z233">
        <v>136.1</v>
      </c>
      <c r="AA233">
        <v>144.19999999999999</v>
      </c>
      <c r="AB233">
        <f t="shared" si="3"/>
        <v>144.07391304347823</v>
      </c>
      <c r="AC233">
        <v>144.9</v>
      </c>
    </row>
    <row r="234" spans="1:29">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167.2</v>
      </c>
      <c r="Q234">
        <v>144.69999999999999</v>
      </c>
      <c r="R234">
        <v>131.9</v>
      </c>
      <c r="S234">
        <v>150.6</v>
      </c>
      <c r="T234">
        <v>127</v>
      </c>
      <c r="U234">
        <v>137.69999999999999</v>
      </c>
      <c r="V234">
        <v>140.80000000000001</v>
      </c>
      <c r="W234">
        <v>120.6</v>
      </c>
      <c r="X234">
        <v>135</v>
      </c>
      <c r="Y234">
        <v>150.4</v>
      </c>
      <c r="Z234">
        <v>135.1</v>
      </c>
      <c r="AA234">
        <v>134.5</v>
      </c>
      <c r="AB234">
        <f t="shared" si="3"/>
        <v>141.04999999999998</v>
      </c>
      <c r="AC234">
        <v>143.30000000000001</v>
      </c>
    </row>
    <row r="235" spans="1:29">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165.2</v>
      </c>
      <c r="Q235">
        <v>148.9</v>
      </c>
      <c r="R235">
        <v>140.5</v>
      </c>
      <c r="S235">
        <v>150.6</v>
      </c>
      <c r="T235">
        <v>139.30000000000001</v>
      </c>
      <c r="U235">
        <v>144.19999999999999</v>
      </c>
      <c r="V235">
        <v>147.9</v>
      </c>
      <c r="W235">
        <v>125.6</v>
      </c>
      <c r="X235">
        <v>140.5</v>
      </c>
      <c r="Y235">
        <v>154</v>
      </c>
      <c r="Z235">
        <v>135.69999999999999</v>
      </c>
      <c r="AA235">
        <v>139.5</v>
      </c>
      <c r="AB235">
        <f t="shared" si="3"/>
        <v>142.69583333333333</v>
      </c>
      <c r="AC235">
        <v>144.19999999999999</v>
      </c>
    </row>
    <row r="236" spans="1:29">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165.1</v>
      </c>
      <c r="Q236">
        <v>151.80000000000001</v>
      </c>
      <c r="R236">
        <v>146.6</v>
      </c>
      <c r="S236" t="s">
        <v>32</v>
      </c>
      <c r="T236">
        <v>146.4</v>
      </c>
      <c r="U236">
        <v>150.19999999999999</v>
      </c>
      <c r="V236">
        <v>152.69999999999999</v>
      </c>
      <c r="W236">
        <v>131.4</v>
      </c>
      <c r="X236">
        <v>148</v>
      </c>
      <c r="Y236">
        <v>159.69999999999999</v>
      </c>
      <c r="Z236">
        <v>138.80000000000001</v>
      </c>
      <c r="AA236">
        <v>144.9</v>
      </c>
      <c r="AB236">
        <f t="shared" si="3"/>
        <v>144.61304347826086</v>
      </c>
      <c r="AC236">
        <v>145.69999999999999</v>
      </c>
    </row>
    <row r="237" spans="1:29">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167.9</v>
      </c>
      <c r="Q237">
        <v>145</v>
      </c>
      <c r="R237">
        <v>132.19999999999999</v>
      </c>
      <c r="S237">
        <v>151.6</v>
      </c>
      <c r="T237">
        <v>125.5</v>
      </c>
      <c r="U237">
        <v>138.1</v>
      </c>
      <c r="V237">
        <v>141.5</v>
      </c>
      <c r="W237">
        <v>120.8</v>
      </c>
      <c r="X237">
        <v>135.4</v>
      </c>
      <c r="Y237">
        <v>151.5</v>
      </c>
      <c r="Z237">
        <v>137.80000000000001</v>
      </c>
      <c r="AA237">
        <v>135.30000000000001</v>
      </c>
      <c r="AB237">
        <f t="shared" si="3"/>
        <v>141.77500000000001</v>
      </c>
      <c r="AC237">
        <v>144.19999999999999</v>
      </c>
    </row>
    <row r="238" spans="1:29">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165.8</v>
      </c>
      <c r="Q238">
        <v>149.1</v>
      </c>
      <c r="R238">
        <v>140.6</v>
      </c>
      <c r="S238">
        <v>151.6</v>
      </c>
      <c r="T238">
        <v>138.5</v>
      </c>
      <c r="U238">
        <v>144.5</v>
      </c>
      <c r="V238">
        <v>148.5</v>
      </c>
      <c r="W238">
        <v>125.8</v>
      </c>
      <c r="X238">
        <v>140.9</v>
      </c>
      <c r="Y238">
        <v>154.9</v>
      </c>
      <c r="Z238">
        <v>138.4</v>
      </c>
      <c r="AA238">
        <v>140.19999999999999</v>
      </c>
      <c r="AB238">
        <f t="shared" si="3"/>
        <v>143.30833333333334</v>
      </c>
      <c r="AC238">
        <v>145</v>
      </c>
    </row>
    <row r="239" spans="1:29">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165.7</v>
      </c>
      <c r="Q239">
        <v>151.69999999999999</v>
      </c>
      <c r="R239">
        <v>146.6</v>
      </c>
      <c r="S239" t="s">
        <v>32</v>
      </c>
      <c r="T239">
        <v>146.9</v>
      </c>
      <c r="U239">
        <v>150.30000000000001</v>
      </c>
      <c r="V239">
        <v>153.4</v>
      </c>
      <c r="W239">
        <v>131.6</v>
      </c>
      <c r="X239">
        <v>148.30000000000001</v>
      </c>
      <c r="Y239">
        <v>160.19999999999999</v>
      </c>
      <c r="Z239">
        <v>140.19999999999999</v>
      </c>
      <c r="AA239">
        <v>145.4</v>
      </c>
      <c r="AB239">
        <f t="shared" si="3"/>
        <v>145.36956521739131</v>
      </c>
      <c r="AC239">
        <v>146.69999999999999</v>
      </c>
    </row>
    <row r="240" spans="1:29">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168.6</v>
      </c>
      <c r="Q240">
        <v>145.30000000000001</v>
      </c>
      <c r="R240">
        <v>132.19999999999999</v>
      </c>
      <c r="S240">
        <v>152.19999999999999</v>
      </c>
      <c r="T240">
        <v>126.6</v>
      </c>
      <c r="U240">
        <v>138.30000000000001</v>
      </c>
      <c r="V240">
        <v>141.9</v>
      </c>
      <c r="W240">
        <v>121.2</v>
      </c>
      <c r="X240">
        <v>135.9</v>
      </c>
      <c r="Y240">
        <v>151.6</v>
      </c>
      <c r="Z240">
        <v>139</v>
      </c>
      <c r="AA240">
        <v>135.69999999999999</v>
      </c>
      <c r="AB240">
        <f t="shared" si="3"/>
        <v>142.24583333333331</v>
      </c>
      <c r="AC240">
        <v>144.69999999999999</v>
      </c>
    </row>
    <row r="241" spans="1:29">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166.5</v>
      </c>
      <c r="Q241">
        <v>149.19999999999999</v>
      </c>
      <c r="R241">
        <v>140.6</v>
      </c>
      <c r="S241">
        <v>152.19999999999999</v>
      </c>
      <c r="T241">
        <v>139.19999999999999</v>
      </c>
      <c r="U241">
        <v>144.6</v>
      </c>
      <c r="V241">
        <v>149</v>
      </c>
      <c r="W241">
        <v>126.1</v>
      </c>
      <c r="X241">
        <v>141.30000000000001</v>
      </c>
      <c r="Y241">
        <v>155.19999999999999</v>
      </c>
      <c r="Z241">
        <v>139.69999999999999</v>
      </c>
      <c r="AA241">
        <v>140.69999999999999</v>
      </c>
      <c r="AB241">
        <f t="shared" si="3"/>
        <v>143.95833333333329</v>
      </c>
      <c r="AC241">
        <v>145.80000000000001</v>
      </c>
    </row>
    <row r="242" spans="1:29">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166.3</v>
      </c>
      <c r="Q242">
        <v>151.69999999999999</v>
      </c>
      <c r="R242">
        <v>146.69999999999999</v>
      </c>
      <c r="S242" t="s">
        <v>32</v>
      </c>
      <c r="T242">
        <v>147.69999999999999</v>
      </c>
      <c r="U242">
        <v>150.6</v>
      </c>
      <c r="V242">
        <v>153.69999999999999</v>
      </c>
      <c r="W242">
        <v>131.69999999999999</v>
      </c>
      <c r="X242">
        <v>148.69999999999999</v>
      </c>
      <c r="Y242">
        <v>160.69999999999999</v>
      </c>
      <c r="Z242">
        <v>140.30000000000001</v>
      </c>
      <c r="AA242">
        <v>145.69999999999999</v>
      </c>
      <c r="AB242">
        <f t="shared" si="3"/>
        <v>146.62608695652168</v>
      </c>
      <c r="AC242">
        <v>148.30000000000001</v>
      </c>
    </row>
    <row r="243" spans="1:29">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169.3</v>
      </c>
      <c r="Q243">
        <v>145.9</v>
      </c>
      <c r="R243">
        <v>132.4</v>
      </c>
      <c r="S243">
        <v>153</v>
      </c>
      <c r="T243">
        <v>128.9</v>
      </c>
      <c r="U243">
        <v>138.69999999999999</v>
      </c>
      <c r="V243">
        <v>142.4</v>
      </c>
      <c r="W243">
        <v>121.5</v>
      </c>
      <c r="X243">
        <v>136.19999999999999</v>
      </c>
      <c r="Y243">
        <v>151.69999999999999</v>
      </c>
      <c r="Z243">
        <v>139.5</v>
      </c>
      <c r="AA243">
        <v>136</v>
      </c>
      <c r="AB243">
        <f t="shared" si="3"/>
        <v>143.59166666666667</v>
      </c>
      <c r="AC243">
        <v>146</v>
      </c>
    </row>
    <row r="244" spans="1:29">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167.1</v>
      </c>
      <c r="Q244">
        <v>149.4</v>
      </c>
      <c r="R244">
        <v>140.80000000000001</v>
      </c>
      <c r="S244">
        <v>153</v>
      </c>
      <c r="T244">
        <v>140.6</v>
      </c>
      <c r="U244">
        <v>145</v>
      </c>
      <c r="V244">
        <v>149.4</v>
      </c>
      <c r="W244">
        <v>126.3</v>
      </c>
      <c r="X244">
        <v>141.69999999999999</v>
      </c>
      <c r="Y244">
        <v>155.4</v>
      </c>
      <c r="Z244">
        <v>140</v>
      </c>
      <c r="AA244">
        <v>141</v>
      </c>
      <c r="AB244">
        <f t="shared" si="3"/>
        <v>145.23749999999998</v>
      </c>
      <c r="AC244">
        <v>147.19999999999999</v>
      </c>
    </row>
    <row r="245" spans="1:29">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167.2</v>
      </c>
      <c r="Q245">
        <v>152.30000000000001</v>
      </c>
      <c r="R245">
        <v>147</v>
      </c>
      <c r="S245" t="s">
        <v>32</v>
      </c>
      <c r="T245">
        <v>148.4</v>
      </c>
      <c r="U245">
        <v>150.9</v>
      </c>
      <c r="V245">
        <v>154.30000000000001</v>
      </c>
      <c r="W245">
        <v>132.1</v>
      </c>
      <c r="X245">
        <v>149.1</v>
      </c>
      <c r="Y245">
        <v>160.80000000000001</v>
      </c>
      <c r="Z245">
        <v>140.6</v>
      </c>
      <c r="AA245">
        <v>146.1</v>
      </c>
      <c r="AB245">
        <f t="shared" si="3"/>
        <v>147.93478260869568</v>
      </c>
      <c r="AC245">
        <v>149.9</v>
      </c>
    </row>
    <row r="246" spans="1:29">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169.9</v>
      </c>
      <c r="Q246">
        <v>146.30000000000001</v>
      </c>
      <c r="R246">
        <v>132.6</v>
      </c>
      <c r="S246">
        <v>153.5</v>
      </c>
      <c r="T246">
        <v>132.19999999999999</v>
      </c>
      <c r="U246">
        <v>139.1</v>
      </c>
      <c r="V246">
        <v>142.80000000000001</v>
      </c>
      <c r="W246">
        <v>121.7</v>
      </c>
      <c r="X246">
        <v>136.69999999999999</v>
      </c>
      <c r="Y246">
        <v>151.80000000000001</v>
      </c>
      <c r="Z246">
        <v>139.80000000000001</v>
      </c>
      <c r="AA246">
        <v>136.30000000000001</v>
      </c>
      <c r="AB246">
        <f t="shared" si="3"/>
        <v>144.71250000000001</v>
      </c>
      <c r="AC246">
        <v>147</v>
      </c>
    </row>
    <row r="247" spans="1:29">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167.9</v>
      </c>
      <c r="Q247">
        <v>149.9</v>
      </c>
      <c r="R247">
        <v>141</v>
      </c>
      <c r="S247">
        <v>153.5</v>
      </c>
      <c r="T247">
        <v>142.30000000000001</v>
      </c>
      <c r="U247">
        <v>145.30000000000001</v>
      </c>
      <c r="V247">
        <v>149.9</v>
      </c>
      <c r="W247">
        <v>126.6</v>
      </c>
      <c r="X247">
        <v>142.1</v>
      </c>
      <c r="Y247">
        <v>155.5</v>
      </c>
      <c r="Z247">
        <v>140.30000000000001</v>
      </c>
      <c r="AA247">
        <v>141.30000000000001</v>
      </c>
      <c r="AB247">
        <f t="shared" si="3"/>
        <v>146.44166666666669</v>
      </c>
      <c r="AC247">
        <v>148.6</v>
      </c>
    </row>
    <row r="248" spans="1:29">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167.8</v>
      </c>
      <c r="Q248">
        <v>152.6</v>
      </c>
      <c r="R248">
        <v>147.30000000000001</v>
      </c>
      <c r="S248" t="s">
        <v>32</v>
      </c>
      <c r="T248">
        <v>149.9</v>
      </c>
      <c r="U248">
        <v>151.19999999999999</v>
      </c>
      <c r="V248">
        <v>154.80000000000001</v>
      </c>
      <c r="W248">
        <v>135</v>
      </c>
      <c r="X248">
        <v>149.5</v>
      </c>
      <c r="Y248">
        <v>161.1</v>
      </c>
      <c r="Z248">
        <v>140.6</v>
      </c>
      <c r="AA248">
        <v>147.1</v>
      </c>
      <c r="AB248">
        <f t="shared" si="3"/>
        <v>149.72173913043477</v>
      </c>
      <c r="AC248">
        <v>152.30000000000001</v>
      </c>
    </row>
    <row r="249" spans="1:29">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170.4</v>
      </c>
      <c r="Q249">
        <v>146.80000000000001</v>
      </c>
      <c r="R249">
        <v>132.80000000000001</v>
      </c>
      <c r="S249">
        <v>152.80000000000001</v>
      </c>
      <c r="T249">
        <v>133.6</v>
      </c>
      <c r="U249">
        <v>139.80000000000001</v>
      </c>
      <c r="V249">
        <v>143.19999999999999</v>
      </c>
      <c r="W249">
        <v>125.2</v>
      </c>
      <c r="X249">
        <v>136.80000000000001</v>
      </c>
      <c r="Y249">
        <v>151.9</v>
      </c>
      <c r="Z249">
        <v>140.19999999999999</v>
      </c>
      <c r="AA249">
        <v>137.69999999999999</v>
      </c>
      <c r="AB249">
        <f t="shared" si="3"/>
        <v>146.31666666666669</v>
      </c>
      <c r="AC249">
        <v>148.30000000000001</v>
      </c>
    </row>
    <row r="250" spans="1:29">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168.5</v>
      </c>
      <c r="Q250">
        <v>150.30000000000001</v>
      </c>
      <c r="R250">
        <v>141.30000000000001</v>
      </c>
      <c r="S250">
        <v>152.80000000000001</v>
      </c>
      <c r="T250">
        <v>143.69999999999999</v>
      </c>
      <c r="U250">
        <v>145.80000000000001</v>
      </c>
      <c r="V250">
        <v>150.4</v>
      </c>
      <c r="W250">
        <v>129.80000000000001</v>
      </c>
      <c r="X250">
        <v>142.30000000000001</v>
      </c>
      <c r="Y250">
        <v>155.69999999999999</v>
      </c>
      <c r="Z250">
        <v>140.4</v>
      </c>
      <c r="AA250">
        <v>142.5</v>
      </c>
      <c r="AB250">
        <f t="shared" si="3"/>
        <v>148.10833333333338</v>
      </c>
      <c r="AC250">
        <v>150.4</v>
      </c>
    </row>
    <row r="251" spans="1:29">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168.6</v>
      </c>
      <c r="Q251">
        <v>152.80000000000001</v>
      </c>
      <c r="R251">
        <v>147.4</v>
      </c>
      <c r="S251" t="s">
        <v>32</v>
      </c>
      <c r="T251">
        <v>150.4</v>
      </c>
      <c r="U251">
        <v>151.69999999999999</v>
      </c>
      <c r="V251">
        <v>155.69999999999999</v>
      </c>
      <c r="W251">
        <v>136.30000000000001</v>
      </c>
      <c r="X251">
        <v>150.1</v>
      </c>
      <c r="Y251">
        <v>161.69999999999999</v>
      </c>
      <c r="Z251">
        <v>142.5</v>
      </c>
      <c r="AA251">
        <v>148.1</v>
      </c>
      <c r="AB251">
        <f t="shared" si="3"/>
        <v>150.03913043478261</v>
      </c>
      <c r="AC251">
        <v>151.9</v>
      </c>
    </row>
    <row r="252" spans="1:29">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170.8</v>
      </c>
      <c r="Q252">
        <v>147</v>
      </c>
      <c r="R252">
        <v>133.19999999999999</v>
      </c>
      <c r="S252">
        <v>153.9</v>
      </c>
      <c r="T252">
        <v>135.1</v>
      </c>
      <c r="U252">
        <v>140.1</v>
      </c>
      <c r="V252">
        <v>143.80000000000001</v>
      </c>
      <c r="W252">
        <v>126.1</v>
      </c>
      <c r="X252">
        <v>137.19999999999999</v>
      </c>
      <c r="Y252">
        <v>152.1</v>
      </c>
      <c r="Z252">
        <v>142.1</v>
      </c>
      <c r="AA252">
        <v>138.4</v>
      </c>
      <c r="AB252">
        <f t="shared" si="3"/>
        <v>146.2833333333333</v>
      </c>
      <c r="AC252">
        <v>148.19999999999999</v>
      </c>
    </row>
    <row r="253" spans="1:29">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169.2</v>
      </c>
      <c r="Q253">
        <v>150.5</v>
      </c>
      <c r="R253">
        <v>141.5</v>
      </c>
      <c r="S253">
        <v>153.9</v>
      </c>
      <c r="T253">
        <v>144.6</v>
      </c>
      <c r="U253">
        <v>146.19999999999999</v>
      </c>
      <c r="V253">
        <v>151.19999999999999</v>
      </c>
      <c r="W253">
        <v>130.9</v>
      </c>
      <c r="X253">
        <v>142.80000000000001</v>
      </c>
      <c r="Y253">
        <v>156.1</v>
      </c>
      <c r="Z253">
        <v>142.30000000000001</v>
      </c>
      <c r="AA253">
        <v>143.4</v>
      </c>
      <c r="AB253">
        <f t="shared" si="3"/>
        <v>148.3125</v>
      </c>
      <c r="AC253">
        <v>150.19999999999999</v>
      </c>
    </row>
    <row r="254" spans="1:29">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169.4</v>
      </c>
      <c r="Q254">
        <v>153</v>
      </c>
      <c r="R254">
        <v>147.5</v>
      </c>
      <c r="S254" t="s">
        <v>32</v>
      </c>
      <c r="T254">
        <v>152.30000000000001</v>
      </c>
      <c r="U254">
        <v>151.80000000000001</v>
      </c>
      <c r="V254">
        <v>156.19999999999999</v>
      </c>
      <c r="W254">
        <v>136</v>
      </c>
      <c r="X254">
        <v>150.4</v>
      </c>
      <c r="Y254">
        <v>161.9</v>
      </c>
      <c r="Z254">
        <v>143.4</v>
      </c>
      <c r="AA254">
        <v>148.4</v>
      </c>
      <c r="AB254">
        <f t="shared" si="3"/>
        <v>149.14347826086959</v>
      </c>
      <c r="AC254">
        <v>150.4</v>
      </c>
    </row>
    <row r="255" spans="1:29">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172</v>
      </c>
      <c r="Q255">
        <v>147.30000000000001</v>
      </c>
      <c r="R255">
        <v>133.5</v>
      </c>
      <c r="S255">
        <v>154.80000000000001</v>
      </c>
      <c r="T255">
        <v>138.9</v>
      </c>
      <c r="U255">
        <v>140.4</v>
      </c>
      <c r="V255">
        <v>144.4</v>
      </c>
      <c r="W255">
        <v>125.2</v>
      </c>
      <c r="X255">
        <v>137.69999999999999</v>
      </c>
      <c r="Y255">
        <v>152.19999999999999</v>
      </c>
      <c r="Z255">
        <v>143.5</v>
      </c>
      <c r="AA255">
        <v>138.4</v>
      </c>
      <c r="AB255">
        <f t="shared" si="3"/>
        <v>145.54999999999998</v>
      </c>
      <c r="AC255">
        <v>147.69999999999999</v>
      </c>
    </row>
    <row r="256" spans="1:29">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170.1</v>
      </c>
      <c r="Q256">
        <v>150.80000000000001</v>
      </c>
      <c r="R256">
        <v>141.69999999999999</v>
      </c>
      <c r="S256">
        <v>154.80000000000001</v>
      </c>
      <c r="T256">
        <v>147.19999999999999</v>
      </c>
      <c r="U256">
        <v>146.4</v>
      </c>
      <c r="V256">
        <v>151.69999999999999</v>
      </c>
      <c r="W256">
        <v>130.30000000000001</v>
      </c>
      <c r="X256">
        <v>143.19999999999999</v>
      </c>
      <c r="Y256">
        <v>156.19999999999999</v>
      </c>
      <c r="Z256">
        <v>143.4</v>
      </c>
      <c r="AA256">
        <v>143.6</v>
      </c>
      <c r="AB256">
        <f t="shared" si="3"/>
        <v>147.52083333333331</v>
      </c>
      <c r="AC256">
        <v>149.1</v>
      </c>
    </row>
    <row r="257" spans="1:29">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170.5</v>
      </c>
      <c r="Q257">
        <v>153.4</v>
      </c>
      <c r="R257">
        <v>147.6</v>
      </c>
      <c r="S257" t="s">
        <v>32</v>
      </c>
      <c r="T257">
        <v>153.4</v>
      </c>
      <c r="U257">
        <v>151.5</v>
      </c>
      <c r="V257">
        <v>156.69999999999999</v>
      </c>
      <c r="W257">
        <v>135.80000000000001</v>
      </c>
      <c r="X257">
        <v>151.19999999999999</v>
      </c>
      <c r="Y257">
        <v>161.19999999999999</v>
      </c>
      <c r="Z257">
        <v>145.1</v>
      </c>
      <c r="AA257">
        <v>148.6</v>
      </c>
      <c r="AB257">
        <f t="shared" si="3"/>
        <v>148.75652173913039</v>
      </c>
      <c r="AC257">
        <v>149.80000000000001</v>
      </c>
    </row>
    <row r="258" spans="1:29">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173.3</v>
      </c>
      <c r="Q258">
        <v>147.69999999999999</v>
      </c>
      <c r="R258">
        <v>133.80000000000001</v>
      </c>
      <c r="S258">
        <v>154.5</v>
      </c>
      <c r="T258">
        <v>141.4</v>
      </c>
      <c r="U258">
        <v>140.80000000000001</v>
      </c>
      <c r="V258">
        <v>145</v>
      </c>
      <c r="W258">
        <v>124.6</v>
      </c>
      <c r="X258">
        <v>137.9</v>
      </c>
      <c r="Y258">
        <v>152.5</v>
      </c>
      <c r="Z258">
        <v>145.30000000000001</v>
      </c>
      <c r="AA258">
        <v>138.69999999999999</v>
      </c>
      <c r="AB258">
        <f t="shared" si="3"/>
        <v>145.16250000000002</v>
      </c>
      <c r="AC258">
        <v>147.30000000000001</v>
      </c>
    </row>
    <row r="259" spans="1:29">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171.2</v>
      </c>
      <c r="Q259">
        <v>151.19999999999999</v>
      </c>
      <c r="R259">
        <v>141.9</v>
      </c>
      <c r="S259">
        <v>154.5</v>
      </c>
      <c r="T259">
        <v>148.9</v>
      </c>
      <c r="U259">
        <v>146.4</v>
      </c>
      <c r="V259">
        <v>152.30000000000001</v>
      </c>
      <c r="W259">
        <v>129.9</v>
      </c>
      <c r="X259">
        <v>143.69999999999999</v>
      </c>
      <c r="Y259">
        <v>156.1</v>
      </c>
      <c r="Z259">
        <v>145.19999999999999</v>
      </c>
      <c r="AA259">
        <v>143.80000000000001</v>
      </c>
      <c r="AB259">
        <f t="shared" ref="AB259:AB322" si="4">AVERAGE(D259:AA259)</f>
        <v>147.15</v>
      </c>
      <c r="AC259">
        <v>148.6</v>
      </c>
    </row>
    <row r="260" spans="1:29">
      <c r="A260" t="s">
        <v>30</v>
      </c>
      <c r="B260">
        <v>2020</v>
      </c>
      <c r="C260" t="s">
        <v>37</v>
      </c>
      <c r="D260">
        <v>147.19999999999999</v>
      </c>
      <c r="E260">
        <v>167.15</v>
      </c>
      <c r="F260">
        <v>146.9</v>
      </c>
      <c r="G260">
        <v>155.6</v>
      </c>
      <c r="H260">
        <v>137.1</v>
      </c>
      <c r="I260">
        <v>147.30000000000001</v>
      </c>
      <c r="J260">
        <v>162.69999999999999</v>
      </c>
      <c r="K260">
        <v>150.19999999999999</v>
      </c>
      <c r="L260">
        <v>119.8</v>
      </c>
      <c r="M260">
        <v>158.69999999999999</v>
      </c>
      <c r="N260">
        <v>139.19999999999999</v>
      </c>
      <c r="O260">
        <v>159.6</v>
      </c>
      <c r="P260">
        <v>169.95</v>
      </c>
      <c r="Q260">
        <v>153.19999999999999</v>
      </c>
      <c r="R260">
        <v>147.55000000000001</v>
      </c>
      <c r="S260" t="s">
        <v>32</v>
      </c>
      <c r="T260">
        <v>148.4</v>
      </c>
      <c r="U260">
        <v>151.6</v>
      </c>
      <c r="V260">
        <v>154.30000000000001</v>
      </c>
      <c r="W260">
        <v>135.9</v>
      </c>
      <c r="X260">
        <v>150.80000000000001</v>
      </c>
      <c r="Y260">
        <v>161.55000000000001</v>
      </c>
      <c r="Z260">
        <v>144.25</v>
      </c>
      <c r="AA260">
        <v>148.5</v>
      </c>
      <c r="AB260">
        <f t="shared" si="4"/>
        <v>150.32391304347829</v>
      </c>
      <c r="AC260">
        <v>150.10000000000002</v>
      </c>
    </row>
    <row r="261" spans="1:29">
      <c r="A261" t="s">
        <v>33</v>
      </c>
      <c r="B261">
        <v>2020</v>
      </c>
      <c r="C261" t="s">
        <v>37</v>
      </c>
      <c r="D261">
        <v>151.80000000000001</v>
      </c>
      <c r="E261">
        <v>167.55</v>
      </c>
      <c r="F261">
        <v>151.9</v>
      </c>
      <c r="G261">
        <v>155.5</v>
      </c>
      <c r="H261">
        <v>131.6</v>
      </c>
      <c r="I261">
        <v>152.9</v>
      </c>
      <c r="J261">
        <v>180</v>
      </c>
      <c r="K261">
        <v>150.80000000000001</v>
      </c>
      <c r="L261">
        <v>121.2</v>
      </c>
      <c r="M261">
        <v>154</v>
      </c>
      <c r="N261">
        <v>133.5</v>
      </c>
      <c r="O261">
        <v>159.05000000000001</v>
      </c>
      <c r="P261">
        <v>172.65</v>
      </c>
      <c r="Q261">
        <v>147.5</v>
      </c>
      <c r="R261">
        <v>133.65</v>
      </c>
      <c r="S261">
        <v>155.6</v>
      </c>
      <c r="T261">
        <v>137.1</v>
      </c>
      <c r="U261">
        <v>140.6</v>
      </c>
      <c r="V261">
        <v>144.80000000000001</v>
      </c>
      <c r="W261">
        <v>124.9</v>
      </c>
      <c r="X261">
        <v>137.80000000000001</v>
      </c>
      <c r="Y261">
        <v>152.35</v>
      </c>
      <c r="Z261">
        <v>144.4</v>
      </c>
      <c r="AA261">
        <v>138.55000000000001</v>
      </c>
      <c r="AB261">
        <f t="shared" si="4"/>
        <v>147.48750000000001</v>
      </c>
      <c r="AC261">
        <v>147.5</v>
      </c>
    </row>
    <row r="262" spans="1:29">
      <c r="A262" t="s">
        <v>34</v>
      </c>
      <c r="B262">
        <v>2020</v>
      </c>
      <c r="C262" t="s">
        <v>37</v>
      </c>
      <c r="D262">
        <v>148.69999999999999</v>
      </c>
      <c r="E262">
        <v>167.3</v>
      </c>
      <c r="F262">
        <v>148.80000000000001</v>
      </c>
      <c r="G262">
        <v>155.6</v>
      </c>
      <c r="H262">
        <v>135.1</v>
      </c>
      <c r="I262">
        <v>149.9</v>
      </c>
      <c r="J262">
        <v>168.6</v>
      </c>
      <c r="K262">
        <v>150.4</v>
      </c>
      <c r="L262">
        <v>120.3</v>
      </c>
      <c r="M262">
        <v>157.1</v>
      </c>
      <c r="N262">
        <v>136.80000000000001</v>
      </c>
      <c r="O262">
        <v>159.35</v>
      </c>
      <c r="P262">
        <v>170.65</v>
      </c>
      <c r="Q262">
        <v>151</v>
      </c>
      <c r="R262">
        <v>141.80000000000001</v>
      </c>
      <c r="S262">
        <v>155.6</v>
      </c>
      <c r="T262">
        <v>144.1</v>
      </c>
      <c r="U262">
        <v>146.4</v>
      </c>
      <c r="V262">
        <v>150.69999999999999</v>
      </c>
      <c r="W262">
        <v>130.1</v>
      </c>
      <c r="X262">
        <v>143.44999999999999</v>
      </c>
      <c r="Y262">
        <v>156.15</v>
      </c>
      <c r="Z262">
        <v>144.30000000000001</v>
      </c>
      <c r="AA262">
        <v>143.69999999999999</v>
      </c>
      <c r="AB262">
        <f t="shared" si="4"/>
        <v>148.99583333333331</v>
      </c>
      <c r="AC262">
        <v>148.85</v>
      </c>
    </row>
    <row r="263" spans="1:29">
      <c r="A263" t="s">
        <v>30</v>
      </c>
      <c r="B263">
        <v>2020</v>
      </c>
      <c r="C263" t="s">
        <v>38</v>
      </c>
      <c r="D263">
        <v>145.80000000000001</v>
      </c>
      <c r="E263">
        <v>166.8</v>
      </c>
      <c r="F263">
        <v>147.25</v>
      </c>
      <c r="G263">
        <v>153.64999999999998</v>
      </c>
      <c r="H263">
        <v>135.19999999999999</v>
      </c>
      <c r="I263">
        <v>144.55000000000001</v>
      </c>
      <c r="J263">
        <v>157.5</v>
      </c>
      <c r="K263">
        <v>146</v>
      </c>
      <c r="L263">
        <v>116.19999999999999</v>
      </c>
      <c r="M263">
        <v>156.35</v>
      </c>
      <c r="N263">
        <v>139.64999999999998</v>
      </c>
      <c r="O263">
        <v>160</v>
      </c>
      <c r="P263">
        <v>170.5</v>
      </c>
      <c r="Q263">
        <v>153.4</v>
      </c>
      <c r="R263">
        <v>147.6</v>
      </c>
      <c r="S263" t="s">
        <v>32</v>
      </c>
      <c r="T263">
        <v>150.9</v>
      </c>
      <c r="U263">
        <v>151.5</v>
      </c>
      <c r="V263">
        <v>155.5</v>
      </c>
      <c r="W263">
        <v>135.80000000000001</v>
      </c>
      <c r="X263">
        <v>151.19999999999999</v>
      </c>
      <c r="Y263">
        <v>161.19999999999999</v>
      </c>
      <c r="Z263">
        <v>145.1</v>
      </c>
      <c r="AA263">
        <v>148.6</v>
      </c>
      <c r="AB263">
        <f t="shared" si="4"/>
        <v>149.57608695652172</v>
      </c>
      <c r="AC263">
        <v>149.80000000000001</v>
      </c>
    </row>
    <row r="264" spans="1:29">
      <c r="A264" t="s">
        <v>33</v>
      </c>
      <c r="B264">
        <v>2020</v>
      </c>
      <c r="C264" t="s">
        <v>38</v>
      </c>
      <c r="D264">
        <v>149.15</v>
      </c>
      <c r="E264">
        <v>167.5</v>
      </c>
      <c r="F264">
        <v>150.4</v>
      </c>
      <c r="G264">
        <v>153.30000000000001</v>
      </c>
      <c r="H264">
        <v>129.55000000000001</v>
      </c>
      <c r="I264">
        <v>148.10000000000002</v>
      </c>
      <c r="J264">
        <v>173.5</v>
      </c>
      <c r="K264">
        <v>145.25</v>
      </c>
      <c r="L264">
        <v>117.80000000000001</v>
      </c>
      <c r="M264">
        <v>152.75</v>
      </c>
      <c r="N264">
        <v>132.69999999999999</v>
      </c>
      <c r="O264">
        <v>159.1</v>
      </c>
      <c r="P264">
        <v>173.3</v>
      </c>
      <c r="Q264">
        <v>147.69999999999999</v>
      </c>
      <c r="R264">
        <v>133.80000000000001</v>
      </c>
      <c r="S264">
        <v>155.05000000000001</v>
      </c>
      <c r="T264">
        <v>139.25</v>
      </c>
      <c r="U264">
        <v>140.80000000000001</v>
      </c>
      <c r="V264">
        <v>144.9</v>
      </c>
      <c r="W264">
        <v>124.6</v>
      </c>
      <c r="X264">
        <v>137.9</v>
      </c>
      <c r="Y264">
        <v>152.5</v>
      </c>
      <c r="Z264">
        <v>145.30000000000001</v>
      </c>
      <c r="AA264">
        <v>138.69999999999999</v>
      </c>
      <c r="AB264">
        <f t="shared" si="4"/>
        <v>146.37083333333337</v>
      </c>
      <c r="AC264">
        <v>147.30000000000001</v>
      </c>
    </row>
    <row r="265" spans="1:29">
      <c r="A265" t="s">
        <v>34</v>
      </c>
      <c r="B265">
        <v>2020</v>
      </c>
      <c r="C265" t="s">
        <v>38</v>
      </c>
      <c r="D265">
        <v>146.89999999999998</v>
      </c>
      <c r="E265">
        <v>167</v>
      </c>
      <c r="F265">
        <v>148.44999999999999</v>
      </c>
      <c r="G265">
        <v>153.55000000000001</v>
      </c>
      <c r="H265">
        <v>133.14999999999998</v>
      </c>
      <c r="I265">
        <v>146.19999999999999</v>
      </c>
      <c r="J265">
        <v>162.94999999999999</v>
      </c>
      <c r="K265">
        <v>145.75</v>
      </c>
      <c r="L265">
        <v>116.75</v>
      </c>
      <c r="M265">
        <v>155.14999999999998</v>
      </c>
      <c r="N265">
        <v>136.75</v>
      </c>
      <c r="O265">
        <v>159.6</v>
      </c>
      <c r="P265">
        <v>171.2</v>
      </c>
      <c r="Q265">
        <v>151.19999999999999</v>
      </c>
      <c r="R265">
        <v>141.9</v>
      </c>
      <c r="S265">
        <v>155.05000000000001</v>
      </c>
      <c r="T265">
        <v>146.5</v>
      </c>
      <c r="U265">
        <v>146.4</v>
      </c>
      <c r="V265">
        <v>151.5</v>
      </c>
      <c r="W265">
        <v>129.9</v>
      </c>
      <c r="X265">
        <v>143.69999999999999</v>
      </c>
      <c r="Y265">
        <v>156.1</v>
      </c>
      <c r="Z265">
        <v>145.19999999999999</v>
      </c>
      <c r="AA265">
        <v>143.80000000000001</v>
      </c>
      <c r="AB265">
        <f t="shared" si="4"/>
        <v>148.11041666666668</v>
      </c>
      <c r="AC265">
        <v>148.6</v>
      </c>
    </row>
    <row r="266" spans="1:29">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182.4</v>
      </c>
      <c r="Q266">
        <v>154.69999999999999</v>
      </c>
      <c r="R266">
        <v>150</v>
      </c>
      <c r="S266" t="s">
        <v>32</v>
      </c>
      <c r="T266">
        <v>144.9</v>
      </c>
      <c r="U266">
        <v>151.69999999999999</v>
      </c>
      <c r="V266">
        <v>158.19999999999999</v>
      </c>
      <c r="W266">
        <v>141.4</v>
      </c>
      <c r="X266">
        <v>153.19999999999999</v>
      </c>
      <c r="Y266">
        <v>161.80000000000001</v>
      </c>
      <c r="Z266">
        <v>151.19999999999999</v>
      </c>
      <c r="AA266">
        <v>151.69999999999999</v>
      </c>
      <c r="AB266">
        <f t="shared" si="4"/>
        <v>152.16956521739129</v>
      </c>
      <c r="AC266">
        <v>152.69999999999999</v>
      </c>
    </row>
    <row r="267" spans="1:29">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186.7</v>
      </c>
      <c r="Q267">
        <v>149.1</v>
      </c>
      <c r="R267">
        <v>136.6</v>
      </c>
      <c r="S267">
        <v>154.69999999999999</v>
      </c>
      <c r="T267">
        <v>137.1</v>
      </c>
      <c r="U267">
        <v>140.4</v>
      </c>
      <c r="V267">
        <v>148.1</v>
      </c>
      <c r="W267">
        <v>129.30000000000001</v>
      </c>
      <c r="X267">
        <v>144.5</v>
      </c>
      <c r="Y267">
        <v>152.5</v>
      </c>
      <c r="Z267">
        <v>152.19999999999999</v>
      </c>
      <c r="AA267">
        <v>142</v>
      </c>
      <c r="AB267">
        <f t="shared" si="4"/>
        <v>150.46666666666664</v>
      </c>
      <c r="AC267">
        <v>150.80000000000001</v>
      </c>
    </row>
    <row r="268" spans="1:29">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183.5</v>
      </c>
      <c r="Q268">
        <v>152.5</v>
      </c>
      <c r="R268">
        <v>144.4</v>
      </c>
      <c r="S268">
        <v>154.69999999999999</v>
      </c>
      <c r="T268">
        <v>141.9</v>
      </c>
      <c r="U268">
        <v>146.4</v>
      </c>
      <c r="V268">
        <v>154.4</v>
      </c>
      <c r="W268">
        <v>135</v>
      </c>
      <c r="X268">
        <v>148.30000000000001</v>
      </c>
      <c r="Y268">
        <v>156.4</v>
      </c>
      <c r="Z268">
        <v>151.6</v>
      </c>
      <c r="AA268">
        <v>147</v>
      </c>
      <c r="AB268">
        <f t="shared" si="4"/>
        <v>151.20416666666668</v>
      </c>
      <c r="AC268">
        <v>151.80000000000001</v>
      </c>
    </row>
    <row r="269" spans="1:29">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182.4</v>
      </c>
      <c r="Q269">
        <v>154.69999999999999</v>
      </c>
      <c r="R269">
        <v>150</v>
      </c>
      <c r="S269" t="s">
        <v>32</v>
      </c>
      <c r="T269">
        <v>144.9</v>
      </c>
      <c r="U269">
        <v>151.69999999999999</v>
      </c>
      <c r="V269">
        <v>158.19999999999999</v>
      </c>
      <c r="W269">
        <v>141.4</v>
      </c>
      <c r="X269">
        <v>153.19999999999999</v>
      </c>
      <c r="Y269">
        <v>161.80000000000001</v>
      </c>
      <c r="Z269">
        <v>151.19999999999999</v>
      </c>
      <c r="AA269">
        <v>151.69999999999999</v>
      </c>
      <c r="AB269">
        <f t="shared" si="4"/>
        <v>152.16956521739129</v>
      </c>
      <c r="AC269">
        <v>152.69999999999999</v>
      </c>
    </row>
    <row r="270" spans="1:29">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186.7</v>
      </c>
      <c r="Q270">
        <v>149.1</v>
      </c>
      <c r="R270">
        <v>136.6</v>
      </c>
      <c r="S270">
        <v>154.69999999999999</v>
      </c>
      <c r="T270">
        <v>137.1</v>
      </c>
      <c r="U270">
        <v>140.4</v>
      </c>
      <c r="V270">
        <v>148.1</v>
      </c>
      <c r="W270">
        <v>129.30000000000001</v>
      </c>
      <c r="X270">
        <v>144.5</v>
      </c>
      <c r="Y270">
        <v>152.5</v>
      </c>
      <c r="Z270">
        <v>152.19999999999999</v>
      </c>
      <c r="AA270">
        <v>142</v>
      </c>
      <c r="AB270">
        <f t="shared" si="4"/>
        <v>150.46666666666664</v>
      </c>
      <c r="AC270">
        <v>150.80000000000001</v>
      </c>
    </row>
    <row r="271" spans="1:29">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183.5</v>
      </c>
      <c r="Q271">
        <v>152.5</v>
      </c>
      <c r="R271">
        <v>144.4</v>
      </c>
      <c r="S271">
        <v>154.69999999999999</v>
      </c>
      <c r="T271">
        <v>141.9</v>
      </c>
      <c r="U271">
        <v>146.4</v>
      </c>
      <c r="V271">
        <v>154.4</v>
      </c>
      <c r="W271">
        <v>135</v>
      </c>
      <c r="X271">
        <v>148.30000000000001</v>
      </c>
      <c r="Y271">
        <v>156.4</v>
      </c>
      <c r="Z271">
        <v>151.6</v>
      </c>
      <c r="AA271">
        <v>147</v>
      </c>
      <c r="AB271">
        <f t="shared" si="4"/>
        <v>151.20416666666668</v>
      </c>
      <c r="AC271">
        <v>151.80000000000001</v>
      </c>
    </row>
    <row r="272" spans="1:29">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180.9</v>
      </c>
      <c r="Q272">
        <v>155.1</v>
      </c>
      <c r="R272">
        <v>149.30000000000001</v>
      </c>
      <c r="S272" t="s">
        <v>32</v>
      </c>
      <c r="T272">
        <v>145.80000000000001</v>
      </c>
      <c r="U272">
        <v>151.9</v>
      </c>
      <c r="V272">
        <v>158.80000000000001</v>
      </c>
      <c r="W272">
        <v>143.6</v>
      </c>
      <c r="X272">
        <v>152.19999999999999</v>
      </c>
      <c r="Y272">
        <v>162.69999999999999</v>
      </c>
      <c r="Z272">
        <v>153.6</v>
      </c>
      <c r="AA272">
        <v>153</v>
      </c>
      <c r="AB272">
        <f t="shared" si="4"/>
        <v>153.48695652173913</v>
      </c>
      <c r="AC272">
        <v>154.69999999999999</v>
      </c>
    </row>
    <row r="273" spans="1:29">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187.2</v>
      </c>
      <c r="Q273">
        <v>150</v>
      </c>
      <c r="R273">
        <v>135.19999999999999</v>
      </c>
      <c r="S273">
        <v>155.5</v>
      </c>
      <c r="T273">
        <v>138.30000000000001</v>
      </c>
      <c r="U273">
        <v>144.5</v>
      </c>
      <c r="V273">
        <v>148.69999999999999</v>
      </c>
      <c r="W273">
        <v>133.9</v>
      </c>
      <c r="X273">
        <v>141.19999999999999</v>
      </c>
      <c r="Y273">
        <v>155.5</v>
      </c>
      <c r="Z273">
        <v>155.19999999999999</v>
      </c>
      <c r="AA273">
        <v>144.80000000000001</v>
      </c>
      <c r="AB273">
        <f t="shared" si="4"/>
        <v>152.29166666666666</v>
      </c>
      <c r="AC273">
        <v>152.9</v>
      </c>
    </row>
    <row r="274" spans="1:29">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182.6</v>
      </c>
      <c r="Q274">
        <v>153.1</v>
      </c>
      <c r="R274">
        <v>143.4</v>
      </c>
      <c r="S274">
        <v>155.5</v>
      </c>
      <c r="T274">
        <v>143</v>
      </c>
      <c r="U274">
        <v>148.4</v>
      </c>
      <c r="V274">
        <v>155</v>
      </c>
      <c r="W274">
        <v>138.5</v>
      </c>
      <c r="X274">
        <v>146</v>
      </c>
      <c r="Y274">
        <v>158.5</v>
      </c>
      <c r="Z274">
        <v>154.30000000000001</v>
      </c>
      <c r="AA274">
        <v>149</v>
      </c>
      <c r="AB274">
        <f t="shared" si="4"/>
        <v>152.72916666666666</v>
      </c>
      <c r="AC274">
        <v>153.9</v>
      </c>
    </row>
    <row r="275" spans="1:29">
      <c r="A275" t="s">
        <v>30</v>
      </c>
      <c r="B275">
        <v>2020</v>
      </c>
      <c r="C275" t="s">
        <v>42</v>
      </c>
      <c r="D275">
        <v>146.9</v>
      </c>
      <c r="E275">
        <v>183.9</v>
      </c>
      <c r="F275">
        <v>149.5</v>
      </c>
      <c r="G275">
        <v>153.4</v>
      </c>
      <c r="H275">
        <v>140.4</v>
      </c>
      <c r="I275">
        <v>147</v>
      </c>
      <c r="J275">
        <v>178.8</v>
      </c>
      <c r="K275">
        <v>149.30000000000001</v>
      </c>
      <c r="L275">
        <v>115.1</v>
      </c>
      <c r="M275">
        <v>160</v>
      </c>
      <c r="N275">
        <v>145.4</v>
      </c>
      <c r="O275">
        <v>161.6</v>
      </c>
      <c r="P275">
        <v>182.9</v>
      </c>
      <c r="Q275">
        <v>155.4</v>
      </c>
      <c r="R275">
        <v>149.9</v>
      </c>
      <c r="S275" t="s">
        <v>32</v>
      </c>
      <c r="T275">
        <v>146.4</v>
      </c>
      <c r="U275">
        <v>151.6</v>
      </c>
      <c r="V275">
        <v>159.1</v>
      </c>
      <c r="W275">
        <v>144.6</v>
      </c>
      <c r="X275">
        <v>152.80000000000001</v>
      </c>
      <c r="Y275">
        <v>161.1</v>
      </c>
      <c r="Z275">
        <v>157.4</v>
      </c>
      <c r="AA275">
        <v>153.69999999999999</v>
      </c>
      <c r="AB275">
        <f t="shared" si="4"/>
        <v>154.18260869565216</v>
      </c>
      <c r="AC275">
        <v>155.4</v>
      </c>
    </row>
    <row r="276" spans="1:29">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188.7</v>
      </c>
      <c r="Q276">
        <v>150.19999999999999</v>
      </c>
      <c r="R276">
        <v>136.30000000000001</v>
      </c>
      <c r="S276">
        <v>156.30000000000001</v>
      </c>
      <c r="T276">
        <v>137.19999999999999</v>
      </c>
      <c r="U276">
        <v>145.4</v>
      </c>
      <c r="V276">
        <v>150</v>
      </c>
      <c r="W276">
        <v>135.1</v>
      </c>
      <c r="X276">
        <v>141.80000000000001</v>
      </c>
      <c r="Y276">
        <v>154.9</v>
      </c>
      <c r="Z276">
        <v>159.80000000000001</v>
      </c>
      <c r="AA276">
        <v>146</v>
      </c>
      <c r="AB276">
        <f t="shared" si="4"/>
        <v>153.41666666666669</v>
      </c>
      <c r="AC276">
        <v>154</v>
      </c>
    </row>
    <row r="277" spans="1:29">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184.4</v>
      </c>
      <c r="Q277">
        <v>153.4</v>
      </c>
      <c r="R277">
        <v>144.30000000000001</v>
      </c>
      <c r="S277">
        <v>156.30000000000001</v>
      </c>
      <c r="T277">
        <v>142.9</v>
      </c>
      <c r="U277">
        <v>148.69999999999999</v>
      </c>
      <c r="V277">
        <v>155.6</v>
      </c>
      <c r="W277">
        <v>139.6</v>
      </c>
      <c r="X277">
        <v>146.6</v>
      </c>
      <c r="Y277">
        <v>157.5</v>
      </c>
      <c r="Z277">
        <v>158.4</v>
      </c>
      <c r="AA277">
        <v>150</v>
      </c>
      <c r="AB277">
        <f t="shared" si="4"/>
        <v>153.61250000000001</v>
      </c>
      <c r="AC277">
        <v>154.69999999999999</v>
      </c>
    </row>
    <row r="278" spans="1:29">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182.7</v>
      </c>
      <c r="Q278">
        <v>155.69999999999999</v>
      </c>
      <c r="R278">
        <v>150.6</v>
      </c>
      <c r="S278" t="s">
        <v>32</v>
      </c>
      <c r="T278">
        <v>146.80000000000001</v>
      </c>
      <c r="U278">
        <v>152</v>
      </c>
      <c r="V278">
        <v>159.5</v>
      </c>
      <c r="W278">
        <v>146.4</v>
      </c>
      <c r="X278">
        <v>152.4</v>
      </c>
      <c r="Y278">
        <v>162.5</v>
      </c>
      <c r="Z278">
        <v>156.19999999999999</v>
      </c>
      <c r="AA278">
        <v>154.30000000000001</v>
      </c>
      <c r="AB278">
        <f t="shared" si="4"/>
        <v>156.10434782608695</v>
      </c>
      <c r="AC278">
        <v>157.5</v>
      </c>
    </row>
    <row r="279" spans="1:29">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188.7</v>
      </c>
      <c r="Q279">
        <v>150.5</v>
      </c>
      <c r="R279">
        <v>136.1</v>
      </c>
      <c r="S279">
        <v>156.5</v>
      </c>
      <c r="T279">
        <v>137.1</v>
      </c>
      <c r="U279">
        <v>145.1</v>
      </c>
      <c r="V279">
        <v>151</v>
      </c>
      <c r="W279">
        <v>135.4</v>
      </c>
      <c r="X279">
        <v>142</v>
      </c>
      <c r="Y279">
        <v>155.69999999999999</v>
      </c>
      <c r="Z279">
        <v>158.1</v>
      </c>
      <c r="AA279">
        <v>146.19999999999999</v>
      </c>
      <c r="AB279">
        <f t="shared" si="4"/>
        <v>154.92499999999998</v>
      </c>
      <c r="AC279">
        <v>155.19999999999999</v>
      </c>
    </row>
    <row r="280" spans="1:29">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184.3</v>
      </c>
      <c r="Q280">
        <v>153.69999999999999</v>
      </c>
      <c r="R280">
        <v>144.6</v>
      </c>
      <c r="S280">
        <v>156.5</v>
      </c>
      <c r="T280">
        <v>143.1</v>
      </c>
      <c r="U280">
        <v>148.69999999999999</v>
      </c>
      <c r="V280">
        <v>156.30000000000001</v>
      </c>
      <c r="W280">
        <v>140.6</v>
      </c>
      <c r="X280">
        <v>146.5</v>
      </c>
      <c r="Y280">
        <v>158.5</v>
      </c>
      <c r="Z280">
        <v>157</v>
      </c>
      <c r="AA280">
        <v>150.4</v>
      </c>
      <c r="AB280">
        <f t="shared" si="4"/>
        <v>155.30833333333334</v>
      </c>
      <c r="AC280">
        <v>156.4</v>
      </c>
    </row>
    <row r="281" spans="1:29">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183.4</v>
      </c>
      <c r="Q281">
        <v>156.30000000000001</v>
      </c>
      <c r="R281">
        <v>151</v>
      </c>
      <c r="S281" t="s">
        <v>32</v>
      </c>
      <c r="T281">
        <v>147.5</v>
      </c>
      <c r="U281">
        <v>152.80000000000001</v>
      </c>
      <c r="V281">
        <v>160.4</v>
      </c>
      <c r="W281">
        <v>146.1</v>
      </c>
      <c r="X281">
        <v>153.6</v>
      </c>
      <c r="Y281">
        <v>161.6</v>
      </c>
      <c r="Z281">
        <v>156.19999999999999</v>
      </c>
      <c r="AA281">
        <v>154.5</v>
      </c>
      <c r="AB281">
        <f t="shared" si="4"/>
        <v>158.36521739130436</v>
      </c>
      <c r="AC281">
        <v>159.80000000000001</v>
      </c>
    </row>
    <row r="282" spans="1:29">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188.8</v>
      </c>
      <c r="Q282">
        <v>151.1</v>
      </c>
      <c r="R282">
        <v>136.4</v>
      </c>
      <c r="S282">
        <v>158</v>
      </c>
      <c r="T282">
        <v>137.30000000000001</v>
      </c>
      <c r="U282">
        <v>145.1</v>
      </c>
      <c r="V282">
        <v>152</v>
      </c>
      <c r="W282">
        <v>135.19999999999999</v>
      </c>
      <c r="X282">
        <v>144.4</v>
      </c>
      <c r="Y282">
        <v>156.4</v>
      </c>
      <c r="Z282">
        <v>157.9</v>
      </c>
      <c r="AA282">
        <v>146.6</v>
      </c>
      <c r="AB282">
        <f t="shared" si="4"/>
        <v>156.78749999999999</v>
      </c>
      <c r="AC282">
        <v>156.69999999999999</v>
      </c>
    </row>
    <row r="283" spans="1:29">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184.8</v>
      </c>
      <c r="Q283">
        <v>154.30000000000001</v>
      </c>
      <c r="R283">
        <v>144.9</v>
      </c>
      <c r="S283">
        <v>158</v>
      </c>
      <c r="T283">
        <v>143.6</v>
      </c>
      <c r="U283">
        <v>149.19999999999999</v>
      </c>
      <c r="V283">
        <v>157.19999999999999</v>
      </c>
      <c r="W283">
        <v>140.4</v>
      </c>
      <c r="X283">
        <v>148.4</v>
      </c>
      <c r="Y283">
        <v>158.6</v>
      </c>
      <c r="Z283">
        <v>156.9</v>
      </c>
      <c r="AA283">
        <v>150.69999999999999</v>
      </c>
      <c r="AB283">
        <f t="shared" si="4"/>
        <v>157.41249999999999</v>
      </c>
      <c r="AC283">
        <v>158.4</v>
      </c>
    </row>
    <row r="284" spans="1:29">
      <c r="A284" t="s">
        <v>30</v>
      </c>
      <c r="B284">
        <v>2020</v>
      </c>
      <c r="C284" t="s">
        <v>46</v>
      </c>
      <c r="D284">
        <v>144.6</v>
      </c>
      <c r="E284">
        <v>188.5</v>
      </c>
      <c r="F284">
        <v>173.4</v>
      </c>
      <c r="G284">
        <v>154</v>
      </c>
      <c r="H284">
        <v>150</v>
      </c>
      <c r="I284">
        <v>145.9</v>
      </c>
      <c r="J284">
        <v>225.2</v>
      </c>
      <c r="K284">
        <v>159.5</v>
      </c>
      <c r="L284">
        <v>114.4</v>
      </c>
      <c r="M284">
        <v>163.5</v>
      </c>
      <c r="N284">
        <v>153.4</v>
      </c>
      <c r="O284">
        <v>163.6</v>
      </c>
      <c r="P284">
        <v>183.6</v>
      </c>
      <c r="Q284">
        <v>157</v>
      </c>
      <c r="R284">
        <v>151.6</v>
      </c>
      <c r="S284" t="s">
        <v>32</v>
      </c>
      <c r="T284">
        <v>148.69999999999999</v>
      </c>
      <c r="U284">
        <v>153.4</v>
      </c>
      <c r="V284">
        <v>161.6</v>
      </c>
      <c r="W284">
        <v>146.4</v>
      </c>
      <c r="X284">
        <v>153.9</v>
      </c>
      <c r="Y284">
        <v>162.9</v>
      </c>
      <c r="Z284">
        <v>156.6</v>
      </c>
      <c r="AA284">
        <v>155.19999999999999</v>
      </c>
      <c r="AB284">
        <f t="shared" si="4"/>
        <v>159.43043478260867</v>
      </c>
      <c r="AC284">
        <v>160.69999999999999</v>
      </c>
    </row>
    <row r="285" spans="1:29">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190.2</v>
      </c>
      <c r="Q285">
        <v>151.9</v>
      </c>
      <c r="R285">
        <v>136.69999999999999</v>
      </c>
      <c r="S285">
        <v>158.4</v>
      </c>
      <c r="T285">
        <v>137.9</v>
      </c>
      <c r="U285">
        <v>145.5</v>
      </c>
      <c r="V285">
        <v>152.9</v>
      </c>
      <c r="W285">
        <v>135.5</v>
      </c>
      <c r="X285">
        <v>144.30000000000001</v>
      </c>
      <c r="Y285">
        <v>156.9</v>
      </c>
      <c r="Z285">
        <v>157.9</v>
      </c>
      <c r="AA285">
        <v>146.9</v>
      </c>
      <c r="AB285">
        <f t="shared" si="4"/>
        <v>157.22500000000002</v>
      </c>
      <c r="AC285">
        <v>156.9</v>
      </c>
    </row>
    <row r="286" spans="1:29">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185.4</v>
      </c>
      <c r="Q286">
        <v>155</v>
      </c>
      <c r="R286">
        <v>145.4</v>
      </c>
      <c r="S286">
        <v>158.4</v>
      </c>
      <c r="T286">
        <v>144.6</v>
      </c>
      <c r="U286">
        <v>149.69999999999999</v>
      </c>
      <c r="V286">
        <v>158.30000000000001</v>
      </c>
      <c r="W286">
        <v>140.69999999999999</v>
      </c>
      <c r="X286">
        <v>148.5</v>
      </c>
      <c r="Y286">
        <v>159.4</v>
      </c>
      <c r="Z286">
        <v>157.1</v>
      </c>
      <c r="AA286">
        <v>151.19999999999999</v>
      </c>
      <c r="AB286">
        <f t="shared" si="4"/>
        <v>158.22499999999999</v>
      </c>
      <c r="AC286">
        <v>158.9</v>
      </c>
    </row>
    <row r="287" spans="1:29">
      <c r="A287" t="s">
        <v>30</v>
      </c>
      <c r="B287">
        <v>2021</v>
      </c>
      <c r="C287" t="s">
        <v>31</v>
      </c>
      <c r="D287">
        <v>143.4</v>
      </c>
      <c r="E287">
        <v>187.5</v>
      </c>
      <c r="F287">
        <v>173.4</v>
      </c>
      <c r="G287">
        <v>154</v>
      </c>
      <c r="H287">
        <v>154.80000000000001</v>
      </c>
      <c r="I287">
        <v>147</v>
      </c>
      <c r="J287">
        <v>187.8</v>
      </c>
      <c r="K287">
        <v>159.5</v>
      </c>
      <c r="L287">
        <v>113.8</v>
      </c>
      <c r="M287">
        <v>164.5</v>
      </c>
      <c r="N287">
        <v>156.1</v>
      </c>
      <c r="O287">
        <v>164.3</v>
      </c>
      <c r="P287">
        <v>184.6</v>
      </c>
      <c r="Q287">
        <v>157.5</v>
      </c>
      <c r="R287">
        <v>152.4</v>
      </c>
      <c r="S287" t="s">
        <v>32</v>
      </c>
      <c r="T287">
        <v>150.9</v>
      </c>
      <c r="U287">
        <v>153.9</v>
      </c>
      <c r="V287">
        <v>162.5</v>
      </c>
      <c r="W287">
        <v>147.5</v>
      </c>
      <c r="X287">
        <v>155.1</v>
      </c>
      <c r="Y287">
        <v>163.5</v>
      </c>
      <c r="Z287">
        <v>156.19999999999999</v>
      </c>
      <c r="AA287">
        <v>155.9</v>
      </c>
      <c r="AB287">
        <f t="shared" si="4"/>
        <v>158.52608695652174</v>
      </c>
      <c r="AC287">
        <v>158.5</v>
      </c>
    </row>
    <row r="288" spans="1:29">
      <c r="A288" t="s">
        <v>33</v>
      </c>
      <c r="B288">
        <v>2021</v>
      </c>
      <c r="C288" t="s">
        <v>31</v>
      </c>
      <c r="D288">
        <v>148</v>
      </c>
      <c r="E288">
        <v>194.8</v>
      </c>
      <c r="F288">
        <v>178.4</v>
      </c>
      <c r="G288">
        <v>154.4</v>
      </c>
      <c r="H288">
        <v>144.1</v>
      </c>
      <c r="I288">
        <v>152.6</v>
      </c>
      <c r="J288">
        <v>206.8</v>
      </c>
      <c r="K288">
        <v>162.1</v>
      </c>
      <c r="L288">
        <v>116.3</v>
      </c>
      <c r="M288">
        <v>163</v>
      </c>
      <c r="N288">
        <v>145.9</v>
      </c>
      <c r="O288">
        <v>167.2</v>
      </c>
      <c r="P288">
        <v>191.8</v>
      </c>
      <c r="Q288">
        <v>152.5</v>
      </c>
      <c r="R288">
        <v>137.30000000000001</v>
      </c>
      <c r="S288">
        <v>157.69999999999999</v>
      </c>
      <c r="T288">
        <v>142.9</v>
      </c>
      <c r="U288">
        <v>145.69999999999999</v>
      </c>
      <c r="V288">
        <v>154.1</v>
      </c>
      <c r="W288">
        <v>136.9</v>
      </c>
      <c r="X288">
        <v>145.4</v>
      </c>
      <c r="Y288">
        <v>156.1</v>
      </c>
      <c r="Z288">
        <v>157.69999999999999</v>
      </c>
      <c r="AA288">
        <v>147.6</v>
      </c>
      <c r="AB288">
        <f t="shared" si="4"/>
        <v>156.63749999999999</v>
      </c>
      <c r="AC288">
        <v>156</v>
      </c>
    </row>
    <row r="289" spans="1:29">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186.5</v>
      </c>
      <c r="Q289">
        <v>155.5</v>
      </c>
      <c r="R289">
        <v>146.1</v>
      </c>
      <c r="S289">
        <v>157.69999999999999</v>
      </c>
      <c r="T289">
        <v>147.9</v>
      </c>
      <c r="U289">
        <v>150</v>
      </c>
      <c r="V289">
        <v>159.30000000000001</v>
      </c>
      <c r="W289">
        <v>141.9</v>
      </c>
      <c r="X289">
        <v>149.6</v>
      </c>
      <c r="Y289">
        <v>159.19999999999999</v>
      </c>
      <c r="Z289">
        <v>156.80000000000001</v>
      </c>
      <c r="AA289">
        <v>151.9</v>
      </c>
      <c r="AB289">
        <f t="shared" si="4"/>
        <v>157.41249999999999</v>
      </c>
      <c r="AC289">
        <v>157.30000000000001</v>
      </c>
    </row>
    <row r="290" spans="1:29">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186.5</v>
      </c>
      <c r="Q290">
        <v>159.1</v>
      </c>
      <c r="R290">
        <v>153.9</v>
      </c>
      <c r="S290" t="s">
        <v>32</v>
      </c>
      <c r="T290">
        <v>154.4</v>
      </c>
      <c r="U290">
        <v>154.80000000000001</v>
      </c>
      <c r="V290">
        <v>164.3</v>
      </c>
      <c r="W290">
        <v>150.19999999999999</v>
      </c>
      <c r="X290">
        <v>157</v>
      </c>
      <c r="Y290">
        <v>163.6</v>
      </c>
      <c r="Z290">
        <v>155.19999999999999</v>
      </c>
      <c r="AA290">
        <v>157.19999999999999</v>
      </c>
      <c r="AB290">
        <f t="shared" si="4"/>
        <v>157.68695652173912</v>
      </c>
      <c r="AC290">
        <v>156.69999999999999</v>
      </c>
    </row>
    <row r="291" spans="1:29">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193.3</v>
      </c>
      <c r="Q291">
        <v>154.19999999999999</v>
      </c>
      <c r="R291">
        <v>138.19999999999999</v>
      </c>
      <c r="S291">
        <v>159.80000000000001</v>
      </c>
      <c r="T291">
        <v>149.1</v>
      </c>
      <c r="U291">
        <v>146.5</v>
      </c>
      <c r="V291">
        <v>156.30000000000001</v>
      </c>
      <c r="W291">
        <v>140.5</v>
      </c>
      <c r="X291">
        <v>147.30000000000001</v>
      </c>
      <c r="Y291">
        <v>156.6</v>
      </c>
      <c r="Z291">
        <v>156.69999999999999</v>
      </c>
      <c r="AA291">
        <v>149.30000000000001</v>
      </c>
      <c r="AB291">
        <f t="shared" si="4"/>
        <v>156.375</v>
      </c>
      <c r="AC291">
        <v>156.5</v>
      </c>
    </row>
    <row r="292" spans="1:29">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188.3</v>
      </c>
      <c r="Q292">
        <v>157.19999999999999</v>
      </c>
      <c r="R292">
        <v>147.4</v>
      </c>
      <c r="S292">
        <v>159.80000000000001</v>
      </c>
      <c r="T292">
        <v>152.4</v>
      </c>
      <c r="U292">
        <v>150.9</v>
      </c>
      <c r="V292">
        <v>161.30000000000001</v>
      </c>
      <c r="W292">
        <v>145.1</v>
      </c>
      <c r="X292">
        <v>151.5</v>
      </c>
      <c r="Y292">
        <v>159.5</v>
      </c>
      <c r="Z292">
        <v>155.80000000000001</v>
      </c>
      <c r="AA292">
        <v>153.4</v>
      </c>
      <c r="AB292">
        <f t="shared" si="4"/>
        <v>156.87500000000003</v>
      </c>
      <c r="AC292">
        <v>156.6</v>
      </c>
    </row>
    <row r="293" spans="1:29">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186.1</v>
      </c>
      <c r="Q293">
        <v>159.6</v>
      </c>
      <c r="R293">
        <v>154.4</v>
      </c>
      <c r="S293" t="s">
        <v>48</v>
      </c>
      <c r="T293">
        <v>156</v>
      </c>
      <c r="U293">
        <v>154.80000000000001</v>
      </c>
      <c r="V293">
        <v>164.6</v>
      </c>
      <c r="W293">
        <v>151.30000000000001</v>
      </c>
      <c r="X293">
        <v>157.80000000000001</v>
      </c>
      <c r="Y293">
        <v>163.80000000000001</v>
      </c>
      <c r="Z293">
        <v>153.1</v>
      </c>
      <c r="AA293">
        <v>157.30000000000001</v>
      </c>
      <c r="AB293">
        <f t="shared" si="4"/>
        <v>157.82608695652178</v>
      </c>
      <c r="AC293">
        <v>156.69999999999999</v>
      </c>
    </row>
    <row r="294" spans="1:29">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193.5</v>
      </c>
      <c r="Q294">
        <v>155.1</v>
      </c>
      <c r="R294">
        <v>138.69999999999999</v>
      </c>
      <c r="S294">
        <v>159.9</v>
      </c>
      <c r="T294">
        <v>154.80000000000001</v>
      </c>
      <c r="U294">
        <v>147.19999999999999</v>
      </c>
      <c r="V294">
        <v>156.9</v>
      </c>
      <c r="W294">
        <v>141.69999999999999</v>
      </c>
      <c r="X294">
        <v>148.6</v>
      </c>
      <c r="Y294">
        <v>157.6</v>
      </c>
      <c r="Z294">
        <v>154.9</v>
      </c>
      <c r="AA294">
        <v>150</v>
      </c>
      <c r="AB294">
        <f t="shared" si="4"/>
        <v>156.79166666666663</v>
      </c>
      <c r="AC294">
        <v>156.9</v>
      </c>
    </row>
    <row r="295" spans="1:29">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188.1</v>
      </c>
      <c r="Q295">
        <v>157.80000000000001</v>
      </c>
      <c r="R295">
        <v>147.9</v>
      </c>
      <c r="S295">
        <v>159.9</v>
      </c>
      <c r="T295">
        <v>155.5</v>
      </c>
      <c r="U295">
        <v>151.19999999999999</v>
      </c>
      <c r="V295">
        <v>161.69999999999999</v>
      </c>
      <c r="W295">
        <v>146.19999999999999</v>
      </c>
      <c r="X295">
        <v>152.6</v>
      </c>
      <c r="Y295">
        <v>160.19999999999999</v>
      </c>
      <c r="Z295">
        <v>153.80000000000001</v>
      </c>
      <c r="AA295">
        <v>153.80000000000001</v>
      </c>
      <c r="AB295">
        <f t="shared" si="4"/>
        <v>157.14166666666665</v>
      </c>
      <c r="AC295">
        <v>156.80000000000001</v>
      </c>
    </row>
    <row r="296" spans="1:29">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186.8</v>
      </c>
      <c r="Q296">
        <v>160.69999999999999</v>
      </c>
      <c r="R296">
        <v>155.1</v>
      </c>
      <c r="S296" t="s">
        <v>48</v>
      </c>
      <c r="T296">
        <v>156</v>
      </c>
      <c r="U296">
        <v>155.5</v>
      </c>
      <c r="V296">
        <v>165.3</v>
      </c>
      <c r="W296">
        <v>151.69999999999999</v>
      </c>
      <c r="X296">
        <v>158.6</v>
      </c>
      <c r="Y296">
        <v>164.1</v>
      </c>
      <c r="Z296">
        <v>154.6</v>
      </c>
      <c r="AA296">
        <v>158</v>
      </c>
      <c r="AB296">
        <f t="shared" si="4"/>
        <v>159.14347826086956</v>
      </c>
      <c r="AC296">
        <v>157.6</v>
      </c>
    </row>
    <row r="297" spans="1:29">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194.4</v>
      </c>
      <c r="Q297">
        <v>155.9</v>
      </c>
      <c r="R297">
        <v>139.30000000000001</v>
      </c>
      <c r="S297">
        <v>161.4</v>
      </c>
      <c r="T297">
        <v>154.9</v>
      </c>
      <c r="U297">
        <v>147.6</v>
      </c>
      <c r="V297">
        <v>157.5</v>
      </c>
      <c r="W297">
        <v>142.1</v>
      </c>
      <c r="X297">
        <v>149.1</v>
      </c>
      <c r="Y297">
        <v>157.6</v>
      </c>
      <c r="Z297">
        <v>156.6</v>
      </c>
      <c r="AA297">
        <v>150.5</v>
      </c>
      <c r="AB297">
        <f t="shared" si="4"/>
        <v>158.10416666666666</v>
      </c>
      <c r="AC297">
        <v>158</v>
      </c>
    </row>
    <row r="298" spans="1:29">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188.8</v>
      </c>
      <c r="Q298">
        <v>158.80000000000001</v>
      </c>
      <c r="R298">
        <v>148.5</v>
      </c>
      <c r="S298">
        <v>161.4</v>
      </c>
      <c r="T298">
        <v>155.6</v>
      </c>
      <c r="U298">
        <v>151.80000000000001</v>
      </c>
      <c r="V298">
        <v>162.30000000000001</v>
      </c>
      <c r="W298">
        <v>146.6</v>
      </c>
      <c r="X298">
        <v>153.19999999999999</v>
      </c>
      <c r="Y298">
        <v>160.30000000000001</v>
      </c>
      <c r="Z298">
        <v>155.4</v>
      </c>
      <c r="AA298">
        <v>154.4</v>
      </c>
      <c r="AB298">
        <f t="shared" si="4"/>
        <v>158.4666666666667</v>
      </c>
      <c r="AC298">
        <v>157.80000000000001</v>
      </c>
    </row>
    <row r="299" spans="1:29">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189.6</v>
      </c>
      <c r="Q299">
        <v>165.3</v>
      </c>
      <c r="R299">
        <v>160.6</v>
      </c>
      <c r="S299" t="s">
        <v>32</v>
      </c>
      <c r="T299">
        <v>161.69999999999999</v>
      </c>
      <c r="U299">
        <v>158.80000000000001</v>
      </c>
      <c r="V299">
        <v>169.1</v>
      </c>
      <c r="W299">
        <v>153.19999999999999</v>
      </c>
      <c r="X299">
        <v>160</v>
      </c>
      <c r="Y299">
        <v>167.6</v>
      </c>
      <c r="Z299">
        <v>159.30000000000001</v>
      </c>
      <c r="AA299">
        <v>161.1</v>
      </c>
      <c r="AB299">
        <f t="shared" si="4"/>
        <v>162.73478260869564</v>
      </c>
      <c r="AC299">
        <v>161.1</v>
      </c>
    </row>
    <row r="300" spans="1:29">
      <c r="A300" t="s">
        <v>33</v>
      </c>
      <c r="B300">
        <v>2021</v>
      </c>
      <c r="C300" t="s">
        <v>38</v>
      </c>
      <c r="D300">
        <v>148.80000000000001</v>
      </c>
      <c r="E300">
        <v>204.3</v>
      </c>
      <c r="F300">
        <v>173</v>
      </c>
      <c r="G300">
        <v>156.5</v>
      </c>
      <c r="H300">
        <v>168.8</v>
      </c>
      <c r="I300">
        <v>172.5</v>
      </c>
      <c r="J300">
        <v>166.5</v>
      </c>
      <c r="K300">
        <v>165.9</v>
      </c>
      <c r="L300">
        <v>115.9</v>
      </c>
      <c r="M300">
        <v>165.2</v>
      </c>
      <c r="N300">
        <v>152</v>
      </c>
      <c r="O300">
        <v>171.1</v>
      </c>
      <c r="P300">
        <v>198.2</v>
      </c>
      <c r="Q300">
        <v>156.5</v>
      </c>
      <c r="R300">
        <v>140.19999999999999</v>
      </c>
      <c r="S300">
        <v>161.6</v>
      </c>
      <c r="T300">
        <v>155.5</v>
      </c>
      <c r="U300">
        <v>150.1</v>
      </c>
      <c r="V300">
        <v>160.4</v>
      </c>
      <c r="W300">
        <v>145</v>
      </c>
      <c r="X300">
        <v>152.6</v>
      </c>
      <c r="Y300">
        <v>156.6</v>
      </c>
      <c r="Z300">
        <v>157.5</v>
      </c>
      <c r="AA300">
        <v>152.30000000000001</v>
      </c>
      <c r="AB300">
        <f t="shared" si="4"/>
        <v>160.29166666666666</v>
      </c>
      <c r="AC300">
        <v>159.5</v>
      </c>
    </row>
    <row r="301" spans="1:29">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191.9</v>
      </c>
      <c r="Q301">
        <v>161.80000000000001</v>
      </c>
      <c r="R301">
        <v>152.1</v>
      </c>
      <c r="S301">
        <v>161.6</v>
      </c>
      <c r="T301">
        <v>159.4</v>
      </c>
      <c r="U301">
        <v>154.69999999999999</v>
      </c>
      <c r="V301">
        <v>165.8</v>
      </c>
      <c r="W301">
        <v>148.9</v>
      </c>
      <c r="X301">
        <v>155.80000000000001</v>
      </c>
      <c r="Y301">
        <v>161.19999999999999</v>
      </c>
      <c r="Z301">
        <v>158.6</v>
      </c>
      <c r="AA301">
        <v>156.80000000000001</v>
      </c>
      <c r="AB301">
        <f t="shared" si="4"/>
        <v>161.4</v>
      </c>
      <c r="AC301">
        <v>160.4</v>
      </c>
    </row>
    <row r="302" spans="1:29">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189.1</v>
      </c>
      <c r="Q302">
        <v>165.3</v>
      </c>
      <c r="R302">
        <v>159.9</v>
      </c>
      <c r="S302" t="s">
        <v>32</v>
      </c>
      <c r="T302">
        <v>162.1</v>
      </c>
      <c r="U302">
        <v>159.19999999999999</v>
      </c>
      <c r="V302">
        <v>169.7</v>
      </c>
      <c r="W302">
        <v>154.19999999999999</v>
      </c>
      <c r="X302">
        <v>160.4</v>
      </c>
      <c r="Y302">
        <v>166.8</v>
      </c>
      <c r="Z302">
        <v>159.4</v>
      </c>
      <c r="AA302">
        <v>161.5</v>
      </c>
      <c r="AB302">
        <f t="shared" si="4"/>
        <v>163.9</v>
      </c>
      <c r="AC302">
        <v>162.1</v>
      </c>
    </row>
    <row r="303" spans="1:29">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195.6</v>
      </c>
      <c r="Q303">
        <v>157.30000000000001</v>
      </c>
      <c r="R303">
        <v>140.5</v>
      </c>
      <c r="S303">
        <v>160.5</v>
      </c>
      <c r="T303">
        <v>156.1</v>
      </c>
      <c r="U303">
        <v>149.80000000000001</v>
      </c>
      <c r="V303">
        <v>160.80000000000001</v>
      </c>
      <c r="W303">
        <v>147.5</v>
      </c>
      <c r="X303">
        <v>150.69999999999999</v>
      </c>
      <c r="Y303">
        <v>158.1</v>
      </c>
      <c r="Z303">
        <v>158</v>
      </c>
      <c r="AA303">
        <v>153.4</v>
      </c>
      <c r="AB303">
        <f t="shared" si="4"/>
        <v>161.51250000000002</v>
      </c>
      <c r="AC303">
        <v>160.4</v>
      </c>
    </row>
    <row r="304" spans="1:29">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190.8</v>
      </c>
      <c r="Q304">
        <v>162.19999999999999</v>
      </c>
      <c r="R304">
        <v>151.80000000000001</v>
      </c>
      <c r="S304">
        <v>160.5</v>
      </c>
      <c r="T304">
        <v>159.80000000000001</v>
      </c>
      <c r="U304">
        <v>154.80000000000001</v>
      </c>
      <c r="V304">
        <v>166.3</v>
      </c>
      <c r="W304">
        <v>150.69999999999999</v>
      </c>
      <c r="X304">
        <v>154.9</v>
      </c>
      <c r="Y304">
        <v>161.69999999999999</v>
      </c>
      <c r="Z304">
        <v>158.80000000000001</v>
      </c>
      <c r="AA304">
        <v>157.6</v>
      </c>
      <c r="AB304">
        <f t="shared" si="4"/>
        <v>162.55000000000001</v>
      </c>
      <c r="AC304">
        <v>161.30000000000001</v>
      </c>
    </row>
    <row r="305" spans="1:29">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189.7</v>
      </c>
      <c r="Q305">
        <v>166</v>
      </c>
      <c r="R305">
        <v>161.1</v>
      </c>
      <c r="S305" t="s">
        <v>32</v>
      </c>
      <c r="T305">
        <v>162.5</v>
      </c>
      <c r="U305">
        <v>160.30000000000001</v>
      </c>
      <c r="V305">
        <v>170.4</v>
      </c>
      <c r="W305">
        <v>157.1</v>
      </c>
      <c r="X305">
        <v>160.69999999999999</v>
      </c>
      <c r="Y305">
        <v>167.2</v>
      </c>
      <c r="Z305">
        <v>160.4</v>
      </c>
      <c r="AA305">
        <v>162.80000000000001</v>
      </c>
      <c r="AB305">
        <f t="shared" si="4"/>
        <v>164.73478260869567</v>
      </c>
      <c r="AC305">
        <v>163.19999999999999</v>
      </c>
    </row>
    <row r="306" spans="1:29">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195.5</v>
      </c>
      <c r="Q306">
        <v>157.9</v>
      </c>
      <c r="R306">
        <v>141.9</v>
      </c>
      <c r="S306">
        <v>161.5</v>
      </c>
      <c r="T306">
        <v>157.69999999999999</v>
      </c>
      <c r="U306">
        <v>150.69999999999999</v>
      </c>
      <c r="V306">
        <v>161.5</v>
      </c>
      <c r="W306">
        <v>149.5</v>
      </c>
      <c r="X306">
        <v>151.19999999999999</v>
      </c>
      <c r="Y306">
        <v>160.30000000000001</v>
      </c>
      <c r="Z306">
        <v>159.6</v>
      </c>
      <c r="AA306">
        <v>155</v>
      </c>
      <c r="AB306">
        <f t="shared" si="4"/>
        <v>162.75833333333335</v>
      </c>
      <c r="AC306">
        <v>161.80000000000001</v>
      </c>
    </row>
    <row r="307" spans="1:29">
      <c r="A307" t="s">
        <v>34</v>
      </c>
      <c r="B307">
        <v>2021</v>
      </c>
      <c r="C307" t="s">
        <v>40</v>
      </c>
      <c r="D307">
        <v>146.4</v>
      </c>
      <c r="E307">
        <v>206.8</v>
      </c>
      <c r="F307">
        <v>182.2</v>
      </c>
      <c r="G307">
        <v>157.5</v>
      </c>
      <c r="H307">
        <v>182.1</v>
      </c>
      <c r="I307">
        <v>163.9</v>
      </c>
      <c r="J307">
        <v>164.2</v>
      </c>
      <c r="K307">
        <v>164</v>
      </c>
      <c r="L307">
        <v>114.5</v>
      </c>
      <c r="M307">
        <v>168.3</v>
      </c>
      <c r="N307">
        <v>160.9</v>
      </c>
      <c r="O307">
        <v>172.2</v>
      </c>
      <c r="P307">
        <v>191.2</v>
      </c>
      <c r="Q307">
        <v>162.80000000000001</v>
      </c>
      <c r="R307">
        <v>153.1</v>
      </c>
      <c r="S307">
        <v>161.5</v>
      </c>
      <c r="T307">
        <v>160.69999999999999</v>
      </c>
      <c r="U307">
        <v>155.80000000000001</v>
      </c>
      <c r="V307">
        <v>167</v>
      </c>
      <c r="W307">
        <v>153.1</v>
      </c>
      <c r="X307">
        <v>155.30000000000001</v>
      </c>
      <c r="Y307">
        <v>163.19999999999999</v>
      </c>
      <c r="Z307">
        <v>160.1</v>
      </c>
      <c r="AA307">
        <v>159</v>
      </c>
      <c r="AB307">
        <f t="shared" si="4"/>
        <v>163.57500000000002</v>
      </c>
      <c r="AC307">
        <v>162.5</v>
      </c>
    </row>
    <row r="308" spans="1:29">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190.2</v>
      </c>
      <c r="Q308">
        <v>167</v>
      </c>
      <c r="R308">
        <v>162.6</v>
      </c>
      <c r="S308" t="s">
        <v>32</v>
      </c>
      <c r="T308">
        <v>163.1</v>
      </c>
      <c r="U308">
        <v>160.9</v>
      </c>
      <c r="V308">
        <v>171.1</v>
      </c>
      <c r="W308">
        <v>157.69999999999999</v>
      </c>
      <c r="X308">
        <v>161.1</v>
      </c>
      <c r="Y308">
        <v>167.5</v>
      </c>
      <c r="Z308">
        <v>160.30000000000001</v>
      </c>
      <c r="AA308">
        <v>163.30000000000001</v>
      </c>
      <c r="AB308">
        <f t="shared" si="4"/>
        <v>164.9478260869565</v>
      </c>
      <c r="AC308">
        <v>163.6</v>
      </c>
    </row>
    <row r="309" spans="1:29">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196.5</v>
      </c>
      <c r="Q309">
        <v>159.80000000000001</v>
      </c>
      <c r="R309">
        <v>143.6</v>
      </c>
      <c r="S309">
        <v>162.1</v>
      </c>
      <c r="T309">
        <v>160.69999999999999</v>
      </c>
      <c r="U309">
        <v>153.19999999999999</v>
      </c>
      <c r="V309">
        <v>162.80000000000001</v>
      </c>
      <c r="W309">
        <v>150.4</v>
      </c>
      <c r="X309">
        <v>153.69999999999999</v>
      </c>
      <c r="Y309">
        <v>160.4</v>
      </c>
      <c r="Z309">
        <v>159.6</v>
      </c>
      <c r="AA309">
        <v>156</v>
      </c>
      <c r="AB309">
        <f t="shared" si="4"/>
        <v>162.89166666666665</v>
      </c>
      <c r="AC309">
        <v>162.30000000000001</v>
      </c>
    </row>
    <row r="310" spans="1:29">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192.1</v>
      </c>
      <c r="Q310">
        <v>164.5</v>
      </c>
      <c r="R310">
        <v>155.30000000000001</v>
      </c>
      <c r="S310">
        <v>162.1</v>
      </c>
      <c r="T310">
        <v>162.6</v>
      </c>
      <c r="U310">
        <v>157.5</v>
      </c>
      <c r="V310">
        <v>168.4</v>
      </c>
      <c r="W310">
        <v>154</v>
      </c>
      <c r="X310">
        <v>157.6</v>
      </c>
      <c r="Y310">
        <v>163.80000000000001</v>
      </c>
      <c r="Z310">
        <v>160</v>
      </c>
      <c r="AA310">
        <v>160</v>
      </c>
      <c r="AB310">
        <f t="shared" si="4"/>
        <v>163.99583333333337</v>
      </c>
      <c r="AC310">
        <v>163.19999999999999</v>
      </c>
    </row>
    <row r="311" spans="1:29">
      <c r="A311" t="s">
        <v>30</v>
      </c>
      <c r="B311">
        <v>2021</v>
      </c>
      <c r="C311" t="s">
        <v>42</v>
      </c>
      <c r="D311">
        <v>145.4</v>
      </c>
      <c r="E311">
        <v>202.1</v>
      </c>
      <c r="F311">
        <v>172</v>
      </c>
      <c r="G311">
        <v>158</v>
      </c>
      <c r="H311">
        <v>195.5</v>
      </c>
      <c r="I311">
        <v>152.69999999999999</v>
      </c>
      <c r="J311">
        <v>151.4</v>
      </c>
      <c r="K311">
        <v>163.9</v>
      </c>
      <c r="L311">
        <v>119.3</v>
      </c>
      <c r="M311">
        <v>170.1</v>
      </c>
      <c r="N311">
        <v>168.3</v>
      </c>
      <c r="O311">
        <v>172.8</v>
      </c>
      <c r="P311">
        <v>190.5</v>
      </c>
      <c r="Q311">
        <v>167.7</v>
      </c>
      <c r="R311">
        <v>163.6</v>
      </c>
      <c r="S311" t="s">
        <v>32</v>
      </c>
      <c r="T311">
        <v>163.69999999999999</v>
      </c>
      <c r="U311">
        <v>161.30000000000001</v>
      </c>
      <c r="V311">
        <v>171.9</v>
      </c>
      <c r="W311">
        <v>157.80000000000001</v>
      </c>
      <c r="X311">
        <v>162.69999999999999</v>
      </c>
      <c r="Y311">
        <v>168.5</v>
      </c>
      <c r="Z311">
        <v>160.19999999999999</v>
      </c>
      <c r="AA311">
        <v>163.80000000000001</v>
      </c>
      <c r="AB311">
        <f t="shared" si="4"/>
        <v>165.35652173913041</v>
      </c>
      <c r="AC311">
        <v>164</v>
      </c>
    </row>
    <row r="312" spans="1:29">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196.5</v>
      </c>
      <c r="Q312">
        <v>159.80000000000001</v>
      </c>
      <c r="R312">
        <v>143.6</v>
      </c>
      <c r="S312">
        <v>162.1</v>
      </c>
      <c r="T312">
        <v>160.80000000000001</v>
      </c>
      <c r="U312">
        <v>153.30000000000001</v>
      </c>
      <c r="V312">
        <v>162.80000000000001</v>
      </c>
      <c r="W312">
        <v>150.5</v>
      </c>
      <c r="X312">
        <v>153.9</v>
      </c>
      <c r="Y312">
        <v>160.30000000000001</v>
      </c>
      <c r="Z312">
        <v>159.6</v>
      </c>
      <c r="AA312">
        <v>156</v>
      </c>
      <c r="AB312">
        <f t="shared" si="4"/>
        <v>162.90833333333339</v>
      </c>
      <c r="AC312">
        <v>162.30000000000001</v>
      </c>
    </row>
    <row r="313" spans="1:29">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192.1</v>
      </c>
      <c r="Q313">
        <v>164.6</v>
      </c>
      <c r="R313">
        <v>155.30000000000001</v>
      </c>
      <c r="S313">
        <v>162.1</v>
      </c>
      <c r="T313">
        <v>162.6</v>
      </c>
      <c r="U313">
        <v>157.5</v>
      </c>
      <c r="V313">
        <v>168.4</v>
      </c>
      <c r="W313">
        <v>154</v>
      </c>
      <c r="X313">
        <v>157.69999999999999</v>
      </c>
      <c r="Y313">
        <v>163.69999999999999</v>
      </c>
      <c r="Z313">
        <v>160</v>
      </c>
      <c r="AA313">
        <v>160</v>
      </c>
      <c r="AB313">
        <f t="shared" si="4"/>
        <v>163.99999999999997</v>
      </c>
      <c r="AC313">
        <v>163.19999999999999</v>
      </c>
    </row>
    <row r="314" spans="1:29">
      <c r="A314" t="s">
        <v>30</v>
      </c>
      <c r="B314">
        <v>2021</v>
      </c>
      <c r="C314" t="s">
        <v>43</v>
      </c>
      <c r="D314">
        <v>146.1</v>
      </c>
      <c r="E314">
        <v>202.5</v>
      </c>
      <c r="F314">
        <v>170.1</v>
      </c>
      <c r="G314">
        <v>158.4</v>
      </c>
      <c r="H314">
        <v>198.8</v>
      </c>
      <c r="I314">
        <v>152.6</v>
      </c>
      <c r="J314">
        <v>170.4</v>
      </c>
      <c r="K314">
        <v>165.2</v>
      </c>
      <c r="L314">
        <v>121.6</v>
      </c>
      <c r="M314">
        <v>170.6</v>
      </c>
      <c r="N314">
        <v>168.8</v>
      </c>
      <c r="O314">
        <v>173.6</v>
      </c>
      <c r="P314">
        <v>191.2</v>
      </c>
      <c r="Q314">
        <v>168.9</v>
      </c>
      <c r="R314">
        <v>164.8</v>
      </c>
      <c r="S314" t="s">
        <v>32</v>
      </c>
      <c r="T314">
        <v>165.5</v>
      </c>
      <c r="U314">
        <v>162</v>
      </c>
      <c r="V314">
        <v>172.5</v>
      </c>
      <c r="W314">
        <v>159.5</v>
      </c>
      <c r="X314">
        <v>163.19999999999999</v>
      </c>
      <c r="Y314">
        <v>169</v>
      </c>
      <c r="Z314">
        <v>161.1</v>
      </c>
      <c r="AA314">
        <v>164.7</v>
      </c>
      <c r="AB314">
        <f t="shared" si="4"/>
        <v>167.00434782608693</v>
      </c>
      <c r="AC314">
        <v>166.3</v>
      </c>
    </row>
    <row r="315" spans="1:29">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197</v>
      </c>
      <c r="Q315">
        <v>160.80000000000001</v>
      </c>
      <c r="R315">
        <v>144.4</v>
      </c>
      <c r="S315">
        <v>163.6</v>
      </c>
      <c r="T315">
        <v>162.19999999999999</v>
      </c>
      <c r="U315">
        <v>154.30000000000001</v>
      </c>
      <c r="V315">
        <v>163.5</v>
      </c>
      <c r="W315">
        <v>152.19999999999999</v>
      </c>
      <c r="X315">
        <v>155.1</v>
      </c>
      <c r="Y315">
        <v>160.30000000000001</v>
      </c>
      <c r="Z315">
        <v>160.30000000000001</v>
      </c>
      <c r="AA315">
        <v>157</v>
      </c>
      <c r="AB315">
        <f t="shared" si="4"/>
        <v>164.90000000000003</v>
      </c>
      <c r="AC315">
        <v>164.6</v>
      </c>
    </row>
    <row r="316" spans="1:29">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192.7</v>
      </c>
      <c r="Q316">
        <v>165.7</v>
      </c>
      <c r="R316">
        <v>156.30000000000001</v>
      </c>
      <c r="S316">
        <v>163.6</v>
      </c>
      <c r="T316">
        <v>164.2</v>
      </c>
      <c r="U316">
        <v>158.4</v>
      </c>
      <c r="V316">
        <v>169.1</v>
      </c>
      <c r="W316">
        <v>155.69999999999999</v>
      </c>
      <c r="X316">
        <v>158.6</v>
      </c>
      <c r="Y316">
        <v>163.9</v>
      </c>
      <c r="Z316">
        <v>160.80000000000001</v>
      </c>
      <c r="AA316">
        <v>161</v>
      </c>
      <c r="AB316">
        <f t="shared" si="4"/>
        <v>165.74166666666665</v>
      </c>
      <c r="AC316">
        <v>165.5</v>
      </c>
    </row>
    <row r="317" spans="1:29">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191.4</v>
      </c>
      <c r="Q317">
        <v>170.4</v>
      </c>
      <c r="R317">
        <v>166</v>
      </c>
      <c r="S317" t="s">
        <v>32</v>
      </c>
      <c r="T317">
        <v>165.3</v>
      </c>
      <c r="U317">
        <v>162.9</v>
      </c>
      <c r="V317">
        <v>173.4</v>
      </c>
      <c r="W317">
        <v>158.9</v>
      </c>
      <c r="X317">
        <v>163.80000000000001</v>
      </c>
      <c r="Y317">
        <v>169.3</v>
      </c>
      <c r="Z317">
        <v>162.4</v>
      </c>
      <c r="AA317">
        <v>165.2</v>
      </c>
      <c r="AB317">
        <f t="shared" si="4"/>
        <v>167.97826086956525</v>
      </c>
      <c r="AC317">
        <v>167.6</v>
      </c>
    </row>
    <row r="318" spans="1:29">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197</v>
      </c>
      <c r="Q318">
        <v>162.30000000000001</v>
      </c>
      <c r="R318">
        <v>145.30000000000001</v>
      </c>
      <c r="S318">
        <v>164.2</v>
      </c>
      <c r="T318">
        <v>161.6</v>
      </c>
      <c r="U318">
        <v>155.19999999999999</v>
      </c>
      <c r="V318">
        <v>164.2</v>
      </c>
      <c r="W318">
        <v>151.19999999999999</v>
      </c>
      <c r="X318">
        <v>156.69999999999999</v>
      </c>
      <c r="Y318">
        <v>160.80000000000001</v>
      </c>
      <c r="Z318">
        <v>161.80000000000001</v>
      </c>
      <c r="AA318">
        <v>157.30000000000001</v>
      </c>
      <c r="AB318">
        <f t="shared" si="4"/>
        <v>165.91666666666666</v>
      </c>
      <c r="AC318">
        <v>165.6</v>
      </c>
    </row>
    <row r="319" spans="1:29">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192.9</v>
      </c>
      <c r="Q319">
        <v>167.2</v>
      </c>
      <c r="R319">
        <v>157.4</v>
      </c>
      <c r="S319">
        <v>164.2</v>
      </c>
      <c r="T319">
        <v>163.9</v>
      </c>
      <c r="U319">
        <v>159.30000000000001</v>
      </c>
      <c r="V319">
        <v>169.9</v>
      </c>
      <c r="W319">
        <v>154.80000000000001</v>
      </c>
      <c r="X319">
        <v>159.80000000000001</v>
      </c>
      <c r="Y319">
        <v>164.3</v>
      </c>
      <c r="Z319">
        <v>162.19999999999999</v>
      </c>
      <c r="AA319">
        <v>161.4</v>
      </c>
      <c r="AB319">
        <f t="shared" si="4"/>
        <v>166.73750000000001</v>
      </c>
      <c r="AC319">
        <v>166.7</v>
      </c>
    </row>
    <row r="320" spans="1:29">
      <c r="A320" t="s">
        <v>30</v>
      </c>
      <c r="B320">
        <v>2021</v>
      </c>
      <c r="C320" t="s">
        <v>46</v>
      </c>
      <c r="D320">
        <v>147.4</v>
      </c>
      <c r="E320">
        <v>197</v>
      </c>
      <c r="F320">
        <v>176.5</v>
      </c>
      <c r="G320">
        <v>159.80000000000001</v>
      </c>
      <c r="H320">
        <v>195.8</v>
      </c>
      <c r="I320">
        <v>152</v>
      </c>
      <c r="J320">
        <v>172.3</v>
      </c>
      <c r="K320">
        <v>164.5</v>
      </c>
      <c r="L320">
        <v>120.6</v>
      </c>
      <c r="M320">
        <v>171.7</v>
      </c>
      <c r="N320">
        <v>169.7</v>
      </c>
      <c r="O320">
        <v>175.1</v>
      </c>
      <c r="P320">
        <v>190.8</v>
      </c>
      <c r="Q320">
        <v>171.8</v>
      </c>
      <c r="R320">
        <v>167.3</v>
      </c>
      <c r="S320" t="s">
        <v>32</v>
      </c>
      <c r="T320">
        <v>165.6</v>
      </c>
      <c r="U320">
        <v>163.9</v>
      </c>
      <c r="V320">
        <v>174</v>
      </c>
      <c r="W320">
        <v>160.1</v>
      </c>
      <c r="X320">
        <v>164.5</v>
      </c>
      <c r="Y320">
        <v>169.7</v>
      </c>
      <c r="Z320">
        <v>162.80000000000001</v>
      </c>
      <c r="AA320">
        <v>166</v>
      </c>
      <c r="AB320">
        <f t="shared" si="4"/>
        <v>167.77826086956523</v>
      </c>
      <c r="AC320">
        <v>167</v>
      </c>
    </row>
    <row r="321" spans="1:29">
      <c r="A321" t="s">
        <v>33</v>
      </c>
      <c r="B321">
        <v>2021</v>
      </c>
      <c r="C321" t="s">
        <v>46</v>
      </c>
      <c r="D321">
        <v>151.6</v>
      </c>
      <c r="E321">
        <v>202.2</v>
      </c>
      <c r="F321">
        <v>180</v>
      </c>
      <c r="G321">
        <v>160</v>
      </c>
      <c r="H321">
        <v>173.5</v>
      </c>
      <c r="I321">
        <v>158.30000000000001</v>
      </c>
      <c r="J321">
        <v>219.5</v>
      </c>
      <c r="K321">
        <v>164.2</v>
      </c>
      <c r="L321">
        <v>121.9</v>
      </c>
      <c r="M321">
        <v>168.2</v>
      </c>
      <c r="N321">
        <v>156.5</v>
      </c>
      <c r="O321">
        <v>178.2</v>
      </c>
      <c r="P321">
        <v>196.8</v>
      </c>
      <c r="Q321">
        <v>163.30000000000001</v>
      </c>
      <c r="R321">
        <v>146.69999999999999</v>
      </c>
      <c r="S321">
        <v>163.4</v>
      </c>
      <c r="T321">
        <v>161.69999999999999</v>
      </c>
      <c r="U321">
        <v>156</v>
      </c>
      <c r="V321">
        <v>165.1</v>
      </c>
      <c r="W321">
        <v>151.80000000000001</v>
      </c>
      <c r="X321">
        <v>157.6</v>
      </c>
      <c r="Y321">
        <v>160.6</v>
      </c>
      <c r="Z321">
        <v>162.4</v>
      </c>
      <c r="AA321">
        <v>157.80000000000001</v>
      </c>
      <c r="AB321">
        <f t="shared" si="4"/>
        <v>165.72083333333333</v>
      </c>
      <c r="AC321">
        <v>165.2</v>
      </c>
    </row>
    <row r="322" spans="1:29">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192.4</v>
      </c>
      <c r="Q322">
        <v>168.5</v>
      </c>
      <c r="R322">
        <v>158.69999999999999</v>
      </c>
      <c r="S322">
        <v>163.4</v>
      </c>
      <c r="T322">
        <v>164.1</v>
      </c>
      <c r="U322">
        <v>160.19999999999999</v>
      </c>
      <c r="V322">
        <v>170.6</v>
      </c>
      <c r="W322">
        <v>155.69999999999999</v>
      </c>
      <c r="X322">
        <v>160.6</v>
      </c>
      <c r="Y322">
        <v>164.4</v>
      </c>
      <c r="Z322">
        <v>162.6</v>
      </c>
      <c r="AA322">
        <v>162</v>
      </c>
      <c r="AB322">
        <f t="shared" si="4"/>
        <v>166.49583333333331</v>
      </c>
      <c r="AC322">
        <v>166.2</v>
      </c>
    </row>
    <row r="323" spans="1:29">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190.7</v>
      </c>
      <c r="Q323">
        <v>173.2</v>
      </c>
      <c r="R323">
        <v>169.3</v>
      </c>
      <c r="S323" t="s">
        <v>32</v>
      </c>
      <c r="T323">
        <v>165.8</v>
      </c>
      <c r="U323">
        <v>164.9</v>
      </c>
      <c r="V323">
        <v>174.7</v>
      </c>
      <c r="W323">
        <v>160.80000000000001</v>
      </c>
      <c r="X323">
        <v>164.9</v>
      </c>
      <c r="Y323">
        <v>169.9</v>
      </c>
      <c r="Z323">
        <v>163.19999999999999</v>
      </c>
      <c r="AA323">
        <v>166.6</v>
      </c>
      <c r="AB323">
        <f t="shared" ref="AB323:AB373" si="5">AVERAGE(D323:AA323)</f>
        <v>167.51739130434783</v>
      </c>
      <c r="AC323">
        <v>166.4</v>
      </c>
    </row>
    <row r="324" spans="1:29">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196.4</v>
      </c>
      <c r="Q324">
        <v>164.7</v>
      </c>
      <c r="R324">
        <v>148.5</v>
      </c>
      <c r="S324">
        <v>164.5</v>
      </c>
      <c r="T324">
        <v>161.6</v>
      </c>
      <c r="U324">
        <v>156.80000000000001</v>
      </c>
      <c r="V324">
        <v>166.1</v>
      </c>
      <c r="W324">
        <v>152.69999999999999</v>
      </c>
      <c r="X324">
        <v>158.4</v>
      </c>
      <c r="Y324">
        <v>161</v>
      </c>
      <c r="Z324">
        <v>162.80000000000001</v>
      </c>
      <c r="AA324">
        <v>158.6</v>
      </c>
      <c r="AB324">
        <f t="shared" si="5"/>
        <v>165.35416666666666</v>
      </c>
      <c r="AC324">
        <v>165</v>
      </c>
    </row>
    <row r="325" spans="1:29">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192.2</v>
      </c>
      <c r="Q325">
        <v>169.9</v>
      </c>
      <c r="R325">
        <v>160.69999999999999</v>
      </c>
      <c r="S325">
        <v>164.5</v>
      </c>
      <c r="T325">
        <v>164.2</v>
      </c>
      <c r="U325">
        <v>161.1</v>
      </c>
      <c r="V325">
        <v>171.4</v>
      </c>
      <c r="W325">
        <v>156.5</v>
      </c>
      <c r="X325">
        <v>161.19999999999999</v>
      </c>
      <c r="Y325">
        <v>164.7</v>
      </c>
      <c r="Z325">
        <v>163</v>
      </c>
      <c r="AA325">
        <v>162.69999999999999</v>
      </c>
      <c r="AB325">
        <f t="shared" si="5"/>
        <v>166.24583333333331</v>
      </c>
      <c r="AC325">
        <v>165.7</v>
      </c>
    </row>
    <row r="326" spans="1:29">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191.5</v>
      </c>
      <c r="Q326">
        <v>174.1</v>
      </c>
      <c r="R326">
        <v>171</v>
      </c>
      <c r="S326" t="s">
        <v>32</v>
      </c>
      <c r="T326">
        <v>167.4</v>
      </c>
      <c r="U326">
        <v>165.7</v>
      </c>
      <c r="V326">
        <v>175.3</v>
      </c>
      <c r="W326">
        <v>161.19999999999999</v>
      </c>
      <c r="X326">
        <v>165.5</v>
      </c>
      <c r="Y326">
        <v>170.3</v>
      </c>
      <c r="Z326">
        <v>164.5</v>
      </c>
      <c r="AA326">
        <v>167.3</v>
      </c>
      <c r="AB326">
        <f t="shared" si="5"/>
        <v>167.83913043478262</v>
      </c>
      <c r="AC326">
        <v>166.7</v>
      </c>
    </row>
    <row r="327" spans="1:29">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196.5</v>
      </c>
      <c r="Q327">
        <v>165.7</v>
      </c>
      <c r="R327">
        <v>150.4</v>
      </c>
      <c r="S327">
        <v>165.5</v>
      </c>
      <c r="T327">
        <v>163</v>
      </c>
      <c r="U327">
        <v>157.4</v>
      </c>
      <c r="V327">
        <v>167.2</v>
      </c>
      <c r="W327">
        <v>153.1</v>
      </c>
      <c r="X327">
        <v>159.5</v>
      </c>
      <c r="Y327">
        <v>162</v>
      </c>
      <c r="Z327">
        <v>164.2</v>
      </c>
      <c r="AA327">
        <v>159.4</v>
      </c>
      <c r="AB327">
        <f t="shared" si="5"/>
        <v>165.71666666666667</v>
      </c>
      <c r="AC327">
        <v>165.5</v>
      </c>
    </row>
    <row r="328" spans="1:29">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192.8</v>
      </c>
      <c r="Q328">
        <v>170.8</v>
      </c>
      <c r="R328">
        <v>162.4</v>
      </c>
      <c r="S328">
        <v>165.5</v>
      </c>
      <c r="T328">
        <v>165.7</v>
      </c>
      <c r="U328">
        <v>161.80000000000001</v>
      </c>
      <c r="V328">
        <v>172.2</v>
      </c>
      <c r="W328">
        <v>156.9</v>
      </c>
      <c r="X328">
        <v>162.1</v>
      </c>
      <c r="Y328">
        <v>165.4</v>
      </c>
      <c r="Z328">
        <v>164.4</v>
      </c>
      <c r="AA328">
        <v>163.5</v>
      </c>
      <c r="AB328">
        <f t="shared" si="5"/>
        <v>166.60416666666669</v>
      </c>
      <c r="AC328">
        <v>166.1</v>
      </c>
    </row>
    <row r="329" spans="1:29">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192.3</v>
      </c>
      <c r="Q329">
        <v>175.4</v>
      </c>
      <c r="R329">
        <v>173.2</v>
      </c>
      <c r="S329" t="s">
        <v>32</v>
      </c>
      <c r="T329">
        <v>168.9</v>
      </c>
      <c r="U329">
        <v>166.5</v>
      </c>
      <c r="V329">
        <v>176</v>
      </c>
      <c r="W329">
        <v>162</v>
      </c>
      <c r="X329">
        <v>166.6</v>
      </c>
      <c r="Y329">
        <v>170.6</v>
      </c>
      <c r="Z329">
        <v>167.4</v>
      </c>
      <c r="AA329">
        <v>168.3</v>
      </c>
      <c r="AB329">
        <f t="shared" si="5"/>
        <v>169.5521739130435</v>
      </c>
      <c r="AC329">
        <v>168.7</v>
      </c>
    </row>
    <row r="330" spans="1:29">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197.5</v>
      </c>
      <c r="Q330">
        <v>167.1</v>
      </c>
      <c r="R330">
        <v>152.6</v>
      </c>
      <c r="S330">
        <v>165.3</v>
      </c>
      <c r="T330">
        <v>164.5</v>
      </c>
      <c r="U330">
        <v>158.6</v>
      </c>
      <c r="V330">
        <v>168.2</v>
      </c>
      <c r="W330">
        <v>154.19999999999999</v>
      </c>
      <c r="X330">
        <v>160.80000000000001</v>
      </c>
      <c r="Y330">
        <v>162.69999999999999</v>
      </c>
      <c r="Z330">
        <v>166.8</v>
      </c>
      <c r="AA330">
        <v>160.6</v>
      </c>
      <c r="AB330">
        <f t="shared" si="5"/>
        <v>166.82083333333333</v>
      </c>
      <c r="AC330">
        <v>166.5</v>
      </c>
    </row>
    <row r="331" spans="1:29">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193.7</v>
      </c>
      <c r="Q331">
        <v>172.1</v>
      </c>
      <c r="R331">
        <v>164.6</v>
      </c>
      <c r="S331">
        <v>165.3</v>
      </c>
      <c r="T331">
        <v>167.2</v>
      </c>
      <c r="U331">
        <v>162.80000000000001</v>
      </c>
      <c r="V331">
        <v>173</v>
      </c>
      <c r="W331">
        <v>157.9</v>
      </c>
      <c r="X331">
        <v>163.30000000000001</v>
      </c>
      <c r="Y331">
        <v>166</v>
      </c>
      <c r="Z331">
        <v>167.2</v>
      </c>
      <c r="AA331">
        <v>164.6</v>
      </c>
      <c r="AB331">
        <f t="shared" si="5"/>
        <v>168.0625</v>
      </c>
      <c r="AC331">
        <v>167.7</v>
      </c>
    </row>
    <row r="332" spans="1:29">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192.8</v>
      </c>
      <c r="Q332">
        <v>177.5</v>
      </c>
      <c r="R332">
        <v>175.1</v>
      </c>
      <c r="S332" t="s">
        <v>32</v>
      </c>
      <c r="T332">
        <v>173.3</v>
      </c>
      <c r="U332">
        <v>167.7</v>
      </c>
      <c r="V332">
        <v>177</v>
      </c>
      <c r="W332">
        <v>166.2</v>
      </c>
      <c r="X332">
        <v>167.2</v>
      </c>
      <c r="Y332">
        <v>170.9</v>
      </c>
      <c r="Z332">
        <v>169</v>
      </c>
      <c r="AA332">
        <v>170.2</v>
      </c>
      <c r="AB332">
        <f t="shared" si="5"/>
        <v>171.5173913043478</v>
      </c>
      <c r="AC332">
        <v>170.8</v>
      </c>
    </row>
    <row r="333" spans="1:29">
      <c r="A333" t="s">
        <v>33</v>
      </c>
      <c r="B333">
        <v>2022</v>
      </c>
      <c r="C333" t="s">
        <v>37</v>
      </c>
      <c r="D333">
        <v>155.4</v>
      </c>
      <c r="E333">
        <v>215.8</v>
      </c>
      <c r="F333">
        <v>164.6</v>
      </c>
      <c r="G333">
        <v>164.2</v>
      </c>
      <c r="H333">
        <v>186</v>
      </c>
      <c r="I333">
        <v>175.9</v>
      </c>
      <c r="J333">
        <v>190.7</v>
      </c>
      <c r="K333">
        <v>164</v>
      </c>
      <c r="L333">
        <v>120.5</v>
      </c>
      <c r="M333">
        <v>178</v>
      </c>
      <c r="N333">
        <v>157.5</v>
      </c>
      <c r="O333">
        <v>183.3</v>
      </c>
      <c r="P333">
        <v>197.1</v>
      </c>
      <c r="Q333">
        <v>168.4</v>
      </c>
      <c r="R333">
        <v>154.5</v>
      </c>
      <c r="S333">
        <v>167</v>
      </c>
      <c r="T333">
        <v>170.5</v>
      </c>
      <c r="U333">
        <v>159.80000000000001</v>
      </c>
      <c r="V333">
        <v>169</v>
      </c>
      <c r="W333">
        <v>159.30000000000001</v>
      </c>
      <c r="X333">
        <v>162.19999999999999</v>
      </c>
      <c r="Y333">
        <v>164</v>
      </c>
      <c r="Z333">
        <v>168.4</v>
      </c>
      <c r="AA333">
        <v>163.1</v>
      </c>
      <c r="AB333">
        <f t="shared" si="5"/>
        <v>169.13333333333335</v>
      </c>
      <c r="AC333">
        <v>169.2</v>
      </c>
    </row>
    <row r="334" spans="1:29">
      <c r="A334" t="s">
        <v>34</v>
      </c>
      <c r="B334">
        <v>2022</v>
      </c>
      <c r="C334" t="s">
        <v>37</v>
      </c>
      <c r="D334">
        <v>152.9</v>
      </c>
      <c r="E334">
        <v>211.8</v>
      </c>
      <c r="F334">
        <v>164.5</v>
      </c>
      <c r="G334">
        <v>163.9</v>
      </c>
      <c r="H334">
        <v>199.5</v>
      </c>
      <c r="I334">
        <v>172.6</v>
      </c>
      <c r="J334">
        <v>166.2</v>
      </c>
      <c r="K334">
        <v>164.7</v>
      </c>
      <c r="L334">
        <v>119</v>
      </c>
      <c r="M334">
        <v>181.3</v>
      </c>
      <c r="N334">
        <v>166.2</v>
      </c>
      <c r="O334">
        <v>180.9</v>
      </c>
      <c r="P334">
        <v>193.9</v>
      </c>
      <c r="Q334">
        <v>173.9</v>
      </c>
      <c r="R334">
        <v>166.5</v>
      </c>
      <c r="S334">
        <v>167</v>
      </c>
      <c r="T334">
        <v>172.2</v>
      </c>
      <c r="U334">
        <v>164</v>
      </c>
      <c r="V334">
        <v>174</v>
      </c>
      <c r="W334">
        <v>162.6</v>
      </c>
      <c r="X334">
        <v>164.4</v>
      </c>
      <c r="Y334">
        <v>166.9</v>
      </c>
      <c r="Z334">
        <v>168.8</v>
      </c>
      <c r="AA334">
        <v>166.8</v>
      </c>
      <c r="AB334">
        <f t="shared" si="5"/>
        <v>170.18750000000003</v>
      </c>
      <c r="AC334">
        <v>170.1</v>
      </c>
    </row>
    <row r="335" spans="1:29">
      <c r="A335" t="s">
        <v>30</v>
      </c>
      <c r="B335">
        <v>2022</v>
      </c>
      <c r="C335" t="s">
        <v>38</v>
      </c>
      <c r="D335">
        <v>152.9</v>
      </c>
      <c r="E335">
        <v>214.7</v>
      </c>
      <c r="F335">
        <v>161.4</v>
      </c>
      <c r="G335">
        <v>164.6</v>
      </c>
      <c r="H335">
        <v>209.9</v>
      </c>
      <c r="I335">
        <v>168</v>
      </c>
      <c r="J335">
        <v>160.4</v>
      </c>
      <c r="K335">
        <v>165</v>
      </c>
      <c r="L335">
        <v>118.9</v>
      </c>
      <c r="M335">
        <v>186.6</v>
      </c>
      <c r="N335">
        <v>173.2</v>
      </c>
      <c r="O335">
        <v>180.4</v>
      </c>
      <c r="P335">
        <v>192.9</v>
      </c>
      <c r="Q335">
        <v>179.3</v>
      </c>
      <c r="R335">
        <v>177.2</v>
      </c>
      <c r="S335" t="s">
        <v>32</v>
      </c>
      <c r="T335">
        <v>175.3</v>
      </c>
      <c r="U335">
        <v>168.9</v>
      </c>
      <c r="V335">
        <v>177.7</v>
      </c>
      <c r="W335">
        <v>167.1</v>
      </c>
      <c r="X335">
        <v>167.6</v>
      </c>
      <c r="Y335">
        <v>171.8</v>
      </c>
      <c r="Z335">
        <v>168.5</v>
      </c>
      <c r="AA335">
        <v>170.9</v>
      </c>
      <c r="AB335">
        <f t="shared" si="5"/>
        <v>172.74782608695654</v>
      </c>
      <c r="AC335">
        <v>172.5</v>
      </c>
    </row>
    <row r="336" spans="1:29">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197.5</v>
      </c>
      <c r="Q336">
        <v>170</v>
      </c>
      <c r="R336">
        <v>155.9</v>
      </c>
      <c r="S336">
        <v>167.5</v>
      </c>
      <c r="T336">
        <v>173.5</v>
      </c>
      <c r="U336">
        <v>161.1</v>
      </c>
      <c r="V336">
        <v>170.1</v>
      </c>
      <c r="W336">
        <v>159.4</v>
      </c>
      <c r="X336">
        <v>163.19999999999999</v>
      </c>
      <c r="Y336">
        <v>165.2</v>
      </c>
      <c r="Z336">
        <v>168.2</v>
      </c>
      <c r="AA336">
        <v>163.80000000000001</v>
      </c>
      <c r="AB336">
        <f t="shared" si="5"/>
        <v>170.83749999999998</v>
      </c>
      <c r="AC336">
        <v>170.8</v>
      </c>
    </row>
    <row r="337" spans="1:29">
      <c r="A337" t="s">
        <v>34</v>
      </c>
      <c r="B337">
        <v>2022</v>
      </c>
      <c r="C337" t="s">
        <v>38</v>
      </c>
      <c r="D337">
        <v>154.1</v>
      </c>
      <c r="E337">
        <v>217</v>
      </c>
      <c r="F337">
        <v>162.4</v>
      </c>
      <c r="G337">
        <v>164.9</v>
      </c>
      <c r="H337">
        <v>202.4</v>
      </c>
      <c r="I337">
        <v>171</v>
      </c>
      <c r="J337">
        <v>174.9</v>
      </c>
      <c r="K337">
        <v>164.7</v>
      </c>
      <c r="L337">
        <v>119.7</v>
      </c>
      <c r="M337">
        <v>184.9</v>
      </c>
      <c r="N337">
        <v>167.1</v>
      </c>
      <c r="O337">
        <v>182.5</v>
      </c>
      <c r="P337">
        <v>194.1</v>
      </c>
      <c r="Q337">
        <v>175.6</v>
      </c>
      <c r="R337">
        <v>168.4</v>
      </c>
      <c r="S337">
        <v>167.5</v>
      </c>
      <c r="T337">
        <v>174.6</v>
      </c>
      <c r="U337">
        <v>165.2</v>
      </c>
      <c r="V337">
        <v>174.8</v>
      </c>
      <c r="W337">
        <v>163</v>
      </c>
      <c r="X337">
        <v>165.1</v>
      </c>
      <c r="Y337">
        <v>167.9</v>
      </c>
      <c r="Z337">
        <v>168.4</v>
      </c>
      <c r="AA337">
        <v>167.5</v>
      </c>
      <c r="AB337">
        <f t="shared" si="5"/>
        <v>171.57083333333335</v>
      </c>
      <c r="AC337">
        <v>171.7</v>
      </c>
    </row>
    <row r="338" spans="1:29">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192.9</v>
      </c>
      <c r="Q338">
        <v>180.7</v>
      </c>
      <c r="R338">
        <v>178.7</v>
      </c>
      <c r="S338" t="s">
        <v>32</v>
      </c>
      <c r="T338">
        <v>176.7</v>
      </c>
      <c r="U338">
        <v>170.3</v>
      </c>
      <c r="V338">
        <v>178.2</v>
      </c>
      <c r="W338">
        <v>165.5</v>
      </c>
      <c r="X338">
        <v>168</v>
      </c>
      <c r="Y338">
        <v>172.6</v>
      </c>
      <c r="Z338">
        <v>169.5</v>
      </c>
      <c r="AA338">
        <v>171</v>
      </c>
      <c r="AB338">
        <f t="shared" si="5"/>
        <v>173.91304347826085</v>
      </c>
      <c r="AC338">
        <v>173.6</v>
      </c>
    </row>
    <row r="339" spans="1:29">
      <c r="A339" t="s">
        <v>33</v>
      </c>
      <c r="B339">
        <v>2022</v>
      </c>
      <c r="C339" t="s">
        <v>39</v>
      </c>
      <c r="D339">
        <v>157.5</v>
      </c>
      <c r="E339">
        <v>223.4</v>
      </c>
      <c r="F339">
        <v>172.8</v>
      </c>
      <c r="G339">
        <v>166.4</v>
      </c>
      <c r="H339">
        <v>188.6</v>
      </c>
      <c r="I339">
        <v>174.1</v>
      </c>
      <c r="J339">
        <v>211.5</v>
      </c>
      <c r="K339">
        <v>163.6</v>
      </c>
      <c r="L339">
        <v>121.4</v>
      </c>
      <c r="M339">
        <v>183.5</v>
      </c>
      <c r="N339">
        <v>159.1</v>
      </c>
      <c r="O339">
        <v>186.3</v>
      </c>
      <c r="P339">
        <v>198.3</v>
      </c>
      <c r="Q339">
        <v>171.6</v>
      </c>
      <c r="R339">
        <v>157.4</v>
      </c>
      <c r="S339">
        <v>166.8</v>
      </c>
      <c r="T339">
        <v>174.9</v>
      </c>
      <c r="U339">
        <v>162.1</v>
      </c>
      <c r="V339">
        <v>170.9</v>
      </c>
      <c r="W339">
        <v>157.19999999999999</v>
      </c>
      <c r="X339">
        <v>164.1</v>
      </c>
      <c r="Y339">
        <v>166.5</v>
      </c>
      <c r="Z339">
        <v>169.2</v>
      </c>
      <c r="AA339">
        <v>163.80000000000001</v>
      </c>
      <c r="AB339">
        <f t="shared" si="5"/>
        <v>172.125</v>
      </c>
      <c r="AC339">
        <v>171.4</v>
      </c>
    </row>
    <row r="340" spans="1:29">
      <c r="A340" t="s">
        <v>34</v>
      </c>
      <c r="B340">
        <v>2022</v>
      </c>
      <c r="C340" t="s">
        <v>39</v>
      </c>
      <c r="D340">
        <v>155</v>
      </c>
      <c r="E340">
        <v>219.4</v>
      </c>
      <c r="F340">
        <v>170.8</v>
      </c>
      <c r="G340">
        <v>165.8</v>
      </c>
      <c r="H340">
        <v>200.9</v>
      </c>
      <c r="I340">
        <v>169.7</v>
      </c>
      <c r="J340">
        <v>182.3</v>
      </c>
      <c r="K340">
        <v>164.3</v>
      </c>
      <c r="L340">
        <v>119.9</v>
      </c>
      <c r="M340">
        <v>187.1</v>
      </c>
      <c r="N340">
        <v>167.9</v>
      </c>
      <c r="O340">
        <v>183.9</v>
      </c>
      <c r="P340">
        <v>194.3</v>
      </c>
      <c r="Q340">
        <v>177.1</v>
      </c>
      <c r="R340">
        <v>169.9</v>
      </c>
      <c r="S340">
        <v>166.8</v>
      </c>
      <c r="T340">
        <v>176</v>
      </c>
      <c r="U340">
        <v>166.4</v>
      </c>
      <c r="V340">
        <v>175.4</v>
      </c>
      <c r="W340">
        <v>161.1</v>
      </c>
      <c r="X340">
        <v>165.8</v>
      </c>
      <c r="Y340">
        <v>169</v>
      </c>
      <c r="Z340">
        <v>169.4</v>
      </c>
      <c r="AA340">
        <v>167.5</v>
      </c>
      <c r="AB340">
        <f t="shared" si="5"/>
        <v>172.73750000000004</v>
      </c>
      <c r="AC340">
        <v>172.6</v>
      </c>
    </row>
    <row r="341" spans="1:29">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193.2</v>
      </c>
      <c r="Q341">
        <v>182</v>
      </c>
      <c r="R341">
        <v>180.3</v>
      </c>
      <c r="S341" t="s">
        <v>32</v>
      </c>
      <c r="T341">
        <v>179.6</v>
      </c>
      <c r="U341">
        <v>171.3</v>
      </c>
      <c r="V341">
        <v>178.8</v>
      </c>
      <c r="W341">
        <v>166.3</v>
      </c>
      <c r="X341">
        <v>168.6</v>
      </c>
      <c r="Y341">
        <v>174.7</v>
      </c>
      <c r="Z341">
        <v>169.7</v>
      </c>
      <c r="AA341">
        <v>171.8</v>
      </c>
      <c r="AB341">
        <f t="shared" si="5"/>
        <v>174.6217391304348</v>
      </c>
      <c r="AC341">
        <v>174.3</v>
      </c>
    </row>
    <row r="342" spans="1:29">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198.6</v>
      </c>
      <c r="Q342">
        <v>172.7</v>
      </c>
      <c r="R342">
        <v>158.69999999999999</v>
      </c>
      <c r="S342">
        <v>167.8</v>
      </c>
      <c r="T342">
        <v>179.5</v>
      </c>
      <c r="U342">
        <v>163.1</v>
      </c>
      <c r="V342">
        <v>171.7</v>
      </c>
      <c r="W342">
        <v>157.4</v>
      </c>
      <c r="X342">
        <v>164.6</v>
      </c>
      <c r="Y342">
        <v>169.1</v>
      </c>
      <c r="Z342">
        <v>169.8</v>
      </c>
      <c r="AA342">
        <v>164.7</v>
      </c>
      <c r="AB342">
        <f t="shared" si="5"/>
        <v>172.91249999999999</v>
      </c>
      <c r="AC342">
        <v>172.3</v>
      </c>
    </row>
    <row r="343" spans="1:29">
      <c r="A343" t="s">
        <v>34</v>
      </c>
      <c r="B343">
        <v>2022</v>
      </c>
      <c r="C343" t="s">
        <v>40</v>
      </c>
      <c r="D343">
        <v>156.5</v>
      </c>
      <c r="E343">
        <v>213</v>
      </c>
      <c r="F343">
        <v>175.2</v>
      </c>
      <c r="G343">
        <v>166.6</v>
      </c>
      <c r="H343">
        <v>195.8</v>
      </c>
      <c r="I343">
        <v>174.2</v>
      </c>
      <c r="J343">
        <v>182.1</v>
      </c>
      <c r="K343">
        <v>164.3</v>
      </c>
      <c r="L343">
        <v>120</v>
      </c>
      <c r="M343">
        <v>190</v>
      </c>
      <c r="N343">
        <v>168.4</v>
      </c>
      <c r="O343">
        <v>185.2</v>
      </c>
      <c r="P343">
        <v>194.6</v>
      </c>
      <c r="Q343">
        <v>178.3</v>
      </c>
      <c r="R343">
        <v>171.3</v>
      </c>
      <c r="S343">
        <v>167.8</v>
      </c>
      <c r="T343">
        <v>179.6</v>
      </c>
      <c r="U343">
        <v>167.4</v>
      </c>
      <c r="V343">
        <v>176.1</v>
      </c>
      <c r="W343">
        <v>161.6</v>
      </c>
      <c r="X343">
        <v>166.3</v>
      </c>
      <c r="Y343">
        <v>171.4</v>
      </c>
      <c r="Z343">
        <v>169.7</v>
      </c>
      <c r="AA343">
        <v>168.4</v>
      </c>
      <c r="AB343">
        <f t="shared" si="5"/>
        <v>173.49166666666667</v>
      </c>
      <c r="AC343">
        <v>173.4</v>
      </c>
    </row>
    <row r="344" spans="1:29">
      <c r="A344" t="s">
        <v>30</v>
      </c>
      <c r="B344">
        <v>2022</v>
      </c>
      <c r="C344" t="s">
        <v>41</v>
      </c>
      <c r="D344">
        <v>159.5</v>
      </c>
      <c r="E344">
        <v>204.1</v>
      </c>
      <c r="F344">
        <v>168.3</v>
      </c>
      <c r="G344">
        <v>167.9</v>
      </c>
      <c r="H344">
        <v>198.1</v>
      </c>
      <c r="I344">
        <v>169.2</v>
      </c>
      <c r="J344">
        <v>173.1</v>
      </c>
      <c r="K344">
        <v>167.1</v>
      </c>
      <c r="L344">
        <v>120.2</v>
      </c>
      <c r="M344">
        <v>195.6</v>
      </c>
      <c r="N344">
        <v>174.8</v>
      </c>
      <c r="O344">
        <v>184</v>
      </c>
      <c r="P344">
        <v>193.7</v>
      </c>
      <c r="Q344">
        <v>183.2</v>
      </c>
      <c r="R344">
        <v>181.7</v>
      </c>
      <c r="S344" t="s">
        <v>32</v>
      </c>
      <c r="T344">
        <v>179.1</v>
      </c>
      <c r="U344">
        <v>172.3</v>
      </c>
      <c r="V344">
        <v>179.4</v>
      </c>
      <c r="W344">
        <v>166.6</v>
      </c>
      <c r="X344">
        <v>169.3</v>
      </c>
      <c r="Y344">
        <v>175.7</v>
      </c>
      <c r="Z344">
        <v>171.1</v>
      </c>
      <c r="AA344">
        <v>172.6</v>
      </c>
      <c r="AB344">
        <f t="shared" si="5"/>
        <v>175.06956521739127</v>
      </c>
      <c r="AC344">
        <v>175.3</v>
      </c>
    </row>
    <row r="345" spans="1:29">
      <c r="A345" t="s">
        <v>33</v>
      </c>
      <c r="B345">
        <v>2022</v>
      </c>
      <c r="C345" t="s">
        <v>41</v>
      </c>
      <c r="D345">
        <v>162.1</v>
      </c>
      <c r="E345">
        <v>210.9</v>
      </c>
      <c r="F345">
        <v>170.6</v>
      </c>
      <c r="G345">
        <v>168.4</v>
      </c>
      <c r="H345">
        <v>182.5</v>
      </c>
      <c r="I345">
        <v>177.1</v>
      </c>
      <c r="J345">
        <v>213.1</v>
      </c>
      <c r="K345">
        <v>167.3</v>
      </c>
      <c r="L345">
        <v>122.2</v>
      </c>
      <c r="M345">
        <v>189.7</v>
      </c>
      <c r="N345">
        <v>160.5</v>
      </c>
      <c r="O345">
        <v>188.9</v>
      </c>
      <c r="P345">
        <v>198.7</v>
      </c>
      <c r="Q345">
        <v>173.7</v>
      </c>
      <c r="R345">
        <v>160</v>
      </c>
      <c r="S345">
        <v>169</v>
      </c>
      <c r="T345">
        <v>178.4</v>
      </c>
      <c r="U345">
        <v>164.2</v>
      </c>
      <c r="V345">
        <v>172.6</v>
      </c>
      <c r="W345">
        <v>157.69999999999999</v>
      </c>
      <c r="X345">
        <v>165.1</v>
      </c>
      <c r="Y345">
        <v>169.9</v>
      </c>
      <c r="Z345">
        <v>171.4</v>
      </c>
      <c r="AA345">
        <v>165.4</v>
      </c>
      <c r="AB345">
        <f t="shared" si="5"/>
        <v>173.30833333333328</v>
      </c>
      <c r="AC345">
        <v>173.1</v>
      </c>
    </row>
    <row r="346" spans="1:29">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195</v>
      </c>
      <c r="Q346">
        <v>179.5</v>
      </c>
      <c r="R346">
        <v>172.7</v>
      </c>
      <c r="S346">
        <v>169</v>
      </c>
      <c r="T346">
        <v>178.8</v>
      </c>
      <c r="U346">
        <v>168.5</v>
      </c>
      <c r="V346">
        <v>176.8</v>
      </c>
      <c r="W346">
        <v>161.9</v>
      </c>
      <c r="X346">
        <v>166.9</v>
      </c>
      <c r="Y346">
        <v>172.3</v>
      </c>
      <c r="Z346">
        <v>171.2</v>
      </c>
      <c r="AA346">
        <v>169.1</v>
      </c>
      <c r="AB346">
        <f t="shared" si="5"/>
        <v>173.94166666666669</v>
      </c>
      <c r="AC346">
        <v>174.3</v>
      </c>
    </row>
    <row r="347" spans="1:29">
      <c r="A347" t="s">
        <v>30</v>
      </c>
      <c r="B347">
        <v>2022</v>
      </c>
      <c r="C347" t="s">
        <v>42</v>
      </c>
      <c r="D347">
        <v>162.9</v>
      </c>
      <c r="E347">
        <v>206.7</v>
      </c>
      <c r="F347">
        <v>169</v>
      </c>
      <c r="G347">
        <v>169.5</v>
      </c>
      <c r="H347">
        <v>194.1</v>
      </c>
      <c r="I347">
        <v>164.1</v>
      </c>
      <c r="J347">
        <v>176.9</v>
      </c>
      <c r="K347">
        <v>169</v>
      </c>
      <c r="L347">
        <v>120.8</v>
      </c>
      <c r="M347">
        <v>199.1</v>
      </c>
      <c r="N347">
        <v>175.4</v>
      </c>
      <c r="O347">
        <v>184.8</v>
      </c>
      <c r="P347">
        <v>194.5</v>
      </c>
      <c r="Q347">
        <v>184.7</v>
      </c>
      <c r="R347">
        <v>183.3</v>
      </c>
      <c r="S347" t="s">
        <v>32</v>
      </c>
      <c r="T347">
        <v>179.7</v>
      </c>
      <c r="U347">
        <v>173.6</v>
      </c>
      <c r="V347">
        <v>180.2</v>
      </c>
      <c r="W347">
        <v>166.9</v>
      </c>
      <c r="X347">
        <v>170</v>
      </c>
      <c r="Y347">
        <v>176.2</v>
      </c>
      <c r="Z347">
        <v>170.8</v>
      </c>
      <c r="AA347">
        <v>173.1</v>
      </c>
      <c r="AB347">
        <f t="shared" si="5"/>
        <v>175.88260869565215</v>
      </c>
      <c r="AC347">
        <v>176.4</v>
      </c>
    </row>
    <row r="348" spans="1:29">
      <c r="A348" t="s">
        <v>33</v>
      </c>
      <c r="B348">
        <v>2022</v>
      </c>
      <c r="C348" t="s">
        <v>42</v>
      </c>
      <c r="D348">
        <v>164.9</v>
      </c>
      <c r="E348">
        <v>213.7</v>
      </c>
      <c r="F348">
        <v>170.9</v>
      </c>
      <c r="G348">
        <v>170.1</v>
      </c>
      <c r="H348">
        <v>179.3</v>
      </c>
      <c r="I348">
        <v>167.5</v>
      </c>
      <c r="J348">
        <v>220.8</v>
      </c>
      <c r="K348">
        <v>169.2</v>
      </c>
      <c r="L348">
        <v>123.1</v>
      </c>
      <c r="M348">
        <v>193.6</v>
      </c>
      <c r="N348">
        <v>161.1</v>
      </c>
      <c r="O348">
        <v>190.4</v>
      </c>
      <c r="P348">
        <v>199.7</v>
      </c>
      <c r="Q348">
        <v>175</v>
      </c>
      <c r="R348">
        <v>161.69999999999999</v>
      </c>
      <c r="S348">
        <v>169.5</v>
      </c>
      <c r="T348">
        <v>179.2</v>
      </c>
      <c r="U348">
        <v>165</v>
      </c>
      <c r="V348">
        <v>173.8</v>
      </c>
      <c r="W348">
        <v>158.19999999999999</v>
      </c>
      <c r="X348">
        <v>165.8</v>
      </c>
      <c r="Y348">
        <v>170.9</v>
      </c>
      <c r="Z348">
        <v>171.1</v>
      </c>
      <c r="AA348">
        <v>166.1</v>
      </c>
      <c r="AB348">
        <f t="shared" si="5"/>
        <v>174.19166666666663</v>
      </c>
      <c r="AC348">
        <v>174.1</v>
      </c>
    </row>
    <row r="349" spans="1:29">
      <c r="A349" t="s">
        <v>34</v>
      </c>
      <c r="B349">
        <v>2022</v>
      </c>
      <c r="C349" t="s">
        <v>42</v>
      </c>
      <c r="D349">
        <v>163.5</v>
      </c>
      <c r="E349">
        <v>209.2</v>
      </c>
      <c r="F349">
        <v>169.7</v>
      </c>
      <c r="G349">
        <v>169.7</v>
      </c>
      <c r="H349">
        <v>188.7</v>
      </c>
      <c r="I349">
        <v>165.7</v>
      </c>
      <c r="J349">
        <v>191.8</v>
      </c>
      <c r="K349">
        <v>169.1</v>
      </c>
      <c r="L349">
        <v>121.6</v>
      </c>
      <c r="M349">
        <v>197.3</v>
      </c>
      <c r="N349">
        <v>169.4</v>
      </c>
      <c r="O349">
        <v>187.4</v>
      </c>
      <c r="P349">
        <v>195.9</v>
      </c>
      <c r="Q349">
        <v>180.9</v>
      </c>
      <c r="R349">
        <v>174.3</v>
      </c>
      <c r="S349">
        <v>169.5</v>
      </c>
      <c r="T349">
        <v>179.5</v>
      </c>
      <c r="U349">
        <v>169.5</v>
      </c>
      <c r="V349">
        <v>177.8</v>
      </c>
      <c r="W349">
        <v>162.30000000000001</v>
      </c>
      <c r="X349">
        <v>167.6</v>
      </c>
      <c r="Y349">
        <v>173.1</v>
      </c>
      <c r="Z349">
        <v>170.9</v>
      </c>
      <c r="AA349">
        <v>169.7</v>
      </c>
      <c r="AB349">
        <f t="shared" si="5"/>
        <v>174.75416666666669</v>
      </c>
      <c r="AC349">
        <v>175.3</v>
      </c>
    </row>
    <row r="350" spans="1:29">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194.9</v>
      </c>
      <c r="Q350">
        <v>186.1</v>
      </c>
      <c r="R350">
        <v>184.4</v>
      </c>
      <c r="S350" t="s">
        <v>32</v>
      </c>
      <c r="T350">
        <v>180.8</v>
      </c>
      <c r="U350">
        <v>174.4</v>
      </c>
      <c r="V350">
        <v>181.2</v>
      </c>
      <c r="W350">
        <v>167.4</v>
      </c>
      <c r="X350">
        <v>170.6</v>
      </c>
      <c r="Y350">
        <v>176.5</v>
      </c>
      <c r="Z350">
        <v>172</v>
      </c>
      <c r="AA350">
        <v>173.9</v>
      </c>
      <c r="AB350">
        <f t="shared" si="5"/>
        <v>176.92608695652174</v>
      </c>
      <c r="AC350">
        <v>177.9</v>
      </c>
    </row>
    <row r="351" spans="1:29">
      <c r="A351" t="s">
        <v>33</v>
      </c>
      <c r="B351">
        <v>2022</v>
      </c>
      <c r="C351" t="s">
        <v>43</v>
      </c>
      <c r="D351">
        <v>166.4</v>
      </c>
      <c r="E351">
        <v>214.9</v>
      </c>
      <c r="F351">
        <v>171.9</v>
      </c>
      <c r="G351">
        <v>171</v>
      </c>
      <c r="H351">
        <v>177.7</v>
      </c>
      <c r="I351">
        <v>165.7</v>
      </c>
      <c r="J351">
        <v>228.6</v>
      </c>
      <c r="K351">
        <v>169.9</v>
      </c>
      <c r="L351">
        <v>123.4</v>
      </c>
      <c r="M351">
        <v>196.4</v>
      </c>
      <c r="N351">
        <v>161.6</v>
      </c>
      <c r="O351">
        <v>191.5</v>
      </c>
      <c r="P351">
        <v>200.1</v>
      </c>
      <c r="Q351">
        <v>175.5</v>
      </c>
      <c r="R351">
        <v>162.6</v>
      </c>
      <c r="S351">
        <v>171.2</v>
      </c>
      <c r="T351">
        <v>180</v>
      </c>
      <c r="U351">
        <v>166</v>
      </c>
      <c r="V351">
        <v>174.7</v>
      </c>
      <c r="W351">
        <v>158.80000000000001</v>
      </c>
      <c r="X351">
        <v>166.3</v>
      </c>
      <c r="Y351">
        <v>171.2</v>
      </c>
      <c r="Z351">
        <v>172.3</v>
      </c>
      <c r="AA351">
        <v>166.8</v>
      </c>
      <c r="AB351">
        <f t="shared" si="5"/>
        <v>175.1875</v>
      </c>
      <c r="AC351">
        <v>175.3</v>
      </c>
    </row>
    <row r="352" spans="1:29">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196.3</v>
      </c>
      <c r="Q352">
        <v>181.9</v>
      </c>
      <c r="R352">
        <v>175.3</v>
      </c>
      <c r="S352">
        <v>171.2</v>
      </c>
      <c r="T352">
        <v>180.5</v>
      </c>
      <c r="U352">
        <v>170.4</v>
      </c>
      <c r="V352">
        <v>178.7</v>
      </c>
      <c r="W352">
        <v>162.9</v>
      </c>
      <c r="X352">
        <v>168.2</v>
      </c>
      <c r="Y352">
        <v>173.4</v>
      </c>
      <c r="Z352">
        <v>172.1</v>
      </c>
      <c r="AA352">
        <v>170.5</v>
      </c>
      <c r="AB352">
        <f t="shared" si="5"/>
        <v>175.79583333333335</v>
      </c>
      <c r="AC352">
        <v>176.7</v>
      </c>
    </row>
    <row r="353" spans="1:29">
      <c r="A353" t="s">
        <v>30</v>
      </c>
      <c r="B353">
        <v>2022</v>
      </c>
      <c r="C353" t="s">
        <v>45</v>
      </c>
      <c r="D353">
        <v>166.9</v>
      </c>
      <c r="E353">
        <v>207.2</v>
      </c>
      <c r="F353">
        <v>180.2</v>
      </c>
      <c r="G353">
        <v>172.3</v>
      </c>
      <c r="H353">
        <v>194</v>
      </c>
      <c r="I353">
        <v>159.1</v>
      </c>
      <c r="J353">
        <v>171.6</v>
      </c>
      <c r="K353">
        <v>170.2</v>
      </c>
      <c r="L353">
        <v>121.5</v>
      </c>
      <c r="M353">
        <v>204.8</v>
      </c>
      <c r="N353">
        <v>176.4</v>
      </c>
      <c r="O353">
        <v>186.9</v>
      </c>
      <c r="P353">
        <v>195.5</v>
      </c>
      <c r="Q353">
        <v>187.2</v>
      </c>
      <c r="R353">
        <v>185.2</v>
      </c>
      <c r="S353" t="s">
        <v>32</v>
      </c>
      <c r="T353">
        <v>181.9</v>
      </c>
      <c r="U353">
        <v>175.5</v>
      </c>
      <c r="V353">
        <v>182.3</v>
      </c>
      <c r="W353">
        <v>167.5</v>
      </c>
      <c r="X353">
        <v>170.8</v>
      </c>
      <c r="Y353">
        <v>176.9</v>
      </c>
      <c r="Z353">
        <v>173.4</v>
      </c>
      <c r="AA353">
        <v>174.6</v>
      </c>
      <c r="AB353">
        <f t="shared" si="5"/>
        <v>177.47391304347826</v>
      </c>
      <c r="AC353">
        <v>177.8</v>
      </c>
    </row>
    <row r="354" spans="1:29">
      <c r="A354" t="s">
        <v>33</v>
      </c>
      <c r="B354">
        <v>2022</v>
      </c>
      <c r="C354" t="s">
        <v>45</v>
      </c>
      <c r="D354">
        <v>168.4</v>
      </c>
      <c r="E354">
        <v>213.4</v>
      </c>
      <c r="F354">
        <v>183.2</v>
      </c>
      <c r="G354">
        <v>172.3</v>
      </c>
      <c r="H354">
        <v>180</v>
      </c>
      <c r="I354">
        <v>162.6</v>
      </c>
      <c r="J354">
        <v>205.5</v>
      </c>
      <c r="K354">
        <v>171</v>
      </c>
      <c r="L354">
        <v>123.4</v>
      </c>
      <c r="M354">
        <v>198.8</v>
      </c>
      <c r="N354">
        <v>162.1</v>
      </c>
      <c r="O354">
        <v>192.4</v>
      </c>
      <c r="P354">
        <v>200.6</v>
      </c>
      <c r="Q354">
        <v>176.7</v>
      </c>
      <c r="R354">
        <v>163.5</v>
      </c>
      <c r="S354">
        <v>171.8</v>
      </c>
      <c r="T354">
        <v>180.3</v>
      </c>
      <c r="U354">
        <v>166.9</v>
      </c>
      <c r="V354">
        <v>175.8</v>
      </c>
      <c r="W354">
        <v>158.9</v>
      </c>
      <c r="X354">
        <v>166.7</v>
      </c>
      <c r="Y354">
        <v>171.5</v>
      </c>
      <c r="Z354">
        <v>173.8</v>
      </c>
      <c r="AA354">
        <v>167.4</v>
      </c>
      <c r="AB354">
        <f t="shared" si="5"/>
        <v>175.29166666666666</v>
      </c>
      <c r="AC354">
        <v>174.1</v>
      </c>
    </row>
    <row r="355" spans="1:29">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196.9</v>
      </c>
      <c r="Q355">
        <v>183.1</v>
      </c>
      <c r="R355">
        <v>176.2</v>
      </c>
      <c r="S355">
        <v>171.8</v>
      </c>
      <c r="T355">
        <v>181.3</v>
      </c>
      <c r="U355">
        <v>171.4</v>
      </c>
      <c r="V355">
        <v>179.8</v>
      </c>
      <c r="W355">
        <v>163</v>
      </c>
      <c r="X355">
        <v>168.5</v>
      </c>
      <c r="Y355">
        <v>173.7</v>
      </c>
      <c r="Z355">
        <v>173.6</v>
      </c>
      <c r="AA355">
        <v>171.1</v>
      </c>
      <c r="AB355">
        <f t="shared" si="5"/>
        <v>176.20416666666668</v>
      </c>
      <c r="AC355">
        <v>176.5</v>
      </c>
    </row>
    <row r="356" spans="1:29">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195.9</v>
      </c>
      <c r="Q356">
        <v>188.1</v>
      </c>
      <c r="R356">
        <v>185.9</v>
      </c>
      <c r="S356" t="s">
        <v>32</v>
      </c>
      <c r="T356">
        <v>182.8</v>
      </c>
      <c r="U356">
        <v>176.4</v>
      </c>
      <c r="V356">
        <v>183.5</v>
      </c>
      <c r="W356">
        <v>167.8</v>
      </c>
      <c r="X356">
        <v>171.2</v>
      </c>
      <c r="Y356">
        <v>177.3</v>
      </c>
      <c r="Z356">
        <v>175.7</v>
      </c>
      <c r="AA356">
        <v>175.5</v>
      </c>
      <c r="AB356">
        <f t="shared" si="5"/>
        <v>177.51304347826087</v>
      </c>
      <c r="AC356">
        <v>177.1</v>
      </c>
    </row>
    <row r="357" spans="1:29">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201.1</v>
      </c>
      <c r="Q357">
        <v>177.7</v>
      </c>
      <c r="R357">
        <v>164.5</v>
      </c>
      <c r="S357">
        <v>170.7</v>
      </c>
      <c r="T357">
        <v>180.6</v>
      </c>
      <c r="U357">
        <v>167.3</v>
      </c>
      <c r="V357">
        <v>177.2</v>
      </c>
      <c r="W357">
        <v>159.4</v>
      </c>
      <c r="X357">
        <v>167.1</v>
      </c>
      <c r="Y357">
        <v>171.8</v>
      </c>
      <c r="Z357">
        <v>176</v>
      </c>
      <c r="AA357">
        <v>168.2</v>
      </c>
      <c r="AB357">
        <f t="shared" si="5"/>
        <v>174.94999999999996</v>
      </c>
      <c r="AC357">
        <v>174.1</v>
      </c>
    </row>
    <row r="358" spans="1:29">
      <c r="A358" t="s">
        <v>34</v>
      </c>
      <c r="B358">
        <v>2022</v>
      </c>
      <c r="C358" t="s">
        <v>46</v>
      </c>
      <c r="D358">
        <v>169.2</v>
      </c>
      <c r="E358">
        <v>209</v>
      </c>
      <c r="F358">
        <v>190.2</v>
      </c>
      <c r="G358">
        <v>173.6</v>
      </c>
      <c r="H358">
        <v>188.5</v>
      </c>
      <c r="I358">
        <v>158</v>
      </c>
      <c r="J358">
        <v>159.9</v>
      </c>
      <c r="K358">
        <v>170.8</v>
      </c>
      <c r="L358">
        <v>121.8</v>
      </c>
      <c r="M358">
        <v>205.2</v>
      </c>
      <c r="N358">
        <v>171</v>
      </c>
      <c r="O358">
        <v>190.3</v>
      </c>
      <c r="P358">
        <v>197.3</v>
      </c>
      <c r="Q358">
        <v>184</v>
      </c>
      <c r="R358">
        <v>177</v>
      </c>
      <c r="S358">
        <v>170.7</v>
      </c>
      <c r="T358">
        <v>182</v>
      </c>
      <c r="U358">
        <v>172.1</v>
      </c>
      <c r="V358">
        <v>181.1</v>
      </c>
      <c r="W358">
        <v>163.4</v>
      </c>
      <c r="X358">
        <v>168.9</v>
      </c>
      <c r="Y358">
        <v>174.1</v>
      </c>
      <c r="Z358">
        <v>175.8</v>
      </c>
      <c r="AA358">
        <v>172</v>
      </c>
      <c r="AB358">
        <f t="shared" si="5"/>
        <v>176.07916666666665</v>
      </c>
      <c r="AC358">
        <v>175.7</v>
      </c>
    </row>
    <row r="359" spans="1:29">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196.9</v>
      </c>
      <c r="Q359">
        <v>189</v>
      </c>
      <c r="R359">
        <v>186.3</v>
      </c>
      <c r="S359" t="s">
        <v>32</v>
      </c>
      <c r="T359">
        <v>183.2</v>
      </c>
      <c r="U359">
        <v>177.2</v>
      </c>
      <c r="V359">
        <v>184.7</v>
      </c>
      <c r="W359">
        <v>168.2</v>
      </c>
      <c r="X359">
        <v>171.8</v>
      </c>
      <c r="Y359">
        <v>177.8</v>
      </c>
      <c r="Z359">
        <v>178.4</v>
      </c>
      <c r="AA359">
        <v>176.5</v>
      </c>
      <c r="AB359">
        <f t="shared" si="5"/>
        <v>178.18260869565219</v>
      </c>
      <c r="AC359">
        <v>177.8</v>
      </c>
    </row>
    <row r="360" spans="1:29">
      <c r="A360" t="s">
        <v>33</v>
      </c>
      <c r="B360">
        <v>2023</v>
      </c>
      <c r="C360" t="s">
        <v>31</v>
      </c>
      <c r="D360">
        <v>173.3</v>
      </c>
      <c r="E360">
        <v>215.2</v>
      </c>
      <c r="F360">
        <v>197</v>
      </c>
      <c r="G360">
        <v>175.2</v>
      </c>
      <c r="H360">
        <v>178</v>
      </c>
      <c r="I360">
        <v>160.5</v>
      </c>
      <c r="J360">
        <v>175.3</v>
      </c>
      <c r="K360">
        <v>171.2</v>
      </c>
      <c r="L360">
        <v>122.7</v>
      </c>
      <c r="M360">
        <v>204.3</v>
      </c>
      <c r="N360">
        <v>163.69999999999999</v>
      </c>
      <c r="O360">
        <v>194.3</v>
      </c>
      <c r="P360">
        <v>201.6</v>
      </c>
      <c r="Q360">
        <v>178.7</v>
      </c>
      <c r="R360">
        <v>165.3</v>
      </c>
      <c r="S360">
        <v>172.1</v>
      </c>
      <c r="T360">
        <v>180.1</v>
      </c>
      <c r="U360">
        <v>168</v>
      </c>
      <c r="V360">
        <v>178.5</v>
      </c>
      <c r="W360">
        <v>159.5</v>
      </c>
      <c r="X360">
        <v>167.8</v>
      </c>
      <c r="Y360">
        <v>171.8</v>
      </c>
      <c r="Z360">
        <v>178.8</v>
      </c>
      <c r="AA360">
        <v>168.9</v>
      </c>
      <c r="AB360">
        <f t="shared" si="5"/>
        <v>175.90833333333333</v>
      </c>
      <c r="AC360">
        <v>174.9</v>
      </c>
    </row>
    <row r="361" spans="1:29">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198.2</v>
      </c>
      <c r="Q361">
        <v>184.9</v>
      </c>
      <c r="R361">
        <v>177.6</v>
      </c>
      <c r="S361">
        <v>172.1</v>
      </c>
      <c r="T361">
        <v>182</v>
      </c>
      <c r="U361">
        <v>172.9</v>
      </c>
      <c r="V361">
        <v>182.3</v>
      </c>
      <c r="W361">
        <v>163.6</v>
      </c>
      <c r="X361">
        <v>169.5</v>
      </c>
      <c r="Y361">
        <v>174.3</v>
      </c>
      <c r="Z361">
        <v>178.6</v>
      </c>
      <c r="AA361">
        <v>172.8</v>
      </c>
      <c r="AB361">
        <f t="shared" si="5"/>
        <v>176.86666666666667</v>
      </c>
      <c r="AC361">
        <v>176.5</v>
      </c>
    </row>
    <row r="362" spans="1:29">
      <c r="A362" t="s">
        <v>30</v>
      </c>
      <c r="B362">
        <v>2023</v>
      </c>
      <c r="C362" t="s">
        <v>35</v>
      </c>
      <c r="D362">
        <v>174.2</v>
      </c>
      <c r="E362">
        <v>205.2</v>
      </c>
      <c r="F362">
        <v>173.9</v>
      </c>
      <c r="G362">
        <v>177</v>
      </c>
      <c r="H362">
        <v>183.4</v>
      </c>
      <c r="I362">
        <v>167.2</v>
      </c>
      <c r="J362">
        <v>140.9</v>
      </c>
      <c r="K362">
        <v>170.4</v>
      </c>
      <c r="L362">
        <v>119.1</v>
      </c>
      <c r="M362">
        <v>212.1</v>
      </c>
      <c r="N362">
        <v>177.6</v>
      </c>
      <c r="O362">
        <v>189.9</v>
      </c>
      <c r="P362">
        <v>198.3</v>
      </c>
      <c r="Q362">
        <v>190</v>
      </c>
      <c r="R362">
        <v>187</v>
      </c>
      <c r="S362" t="s">
        <v>32</v>
      </c>
      <c r="T362">
        <v>181.6</v>
      </c>
      <c r="U362">
        <v>178.6</v>
      </c>
      <c r="V362">
        <v>186.6</v>
      </c>
      <c r="W362">
        <v>169</v>
      </c>
      <c r="X362">
        <v>172.8</v>
      </c>
      <c r="Y362">
        <v>178.5</v>
      </c>
      <c r="Z362">
        <v>180.7</v>
      </c>
      <c r="AA362">
        <v>177.9</v>
      </c>
      <c r="AB362">
        <f t="shared" si="5"/>
        <v>177.90869565217389</v>
      </c>
      <c r="AC362">
        <v>178</v>
      </c>
    </row>
    <row r="363" spans="1:29">
      <c r="A363" t="s">
        <v>33</v>
      </c>
      <c r="B363">
        <v>2023</v>
      </c>
      <c r="C363" t="s">
        <v>35</v>
      </c>
      <c r="D363">
        <v>174.7</v>
      </c>
      <c r="E363">
        <v>212.2</v>
      </c>
      <c r="F363">
        <v>177.2</v>
      </c>
      <c r="G363">
        <v>177.9</v>
      </c>
      <c r="H363">
        <v>172.2</v>
      </c>
      <c r="I363">
        <v>172.1</v>
      </c>
      <c r="J363">
        <v>175.8</v>
      </c>
      <c r="K363">
        <v>172.2</v>
      </c>
      <c r="L363">
        <v>121.9</v>
      </c>
      <c r="M363">
        <v>204.8</v>
      </c>
      <c r="N363">
        <v>164.9</v>
      </c>
      <c r="O363">
        <v>196.6</v>
      </c>
      <c r="P363">
        <v>202.7</v>
      </c>
      <c r="Q363">
        <v>180.3</v>
      </c>
      <c r="R363">
        <v>167</v>
      </c>
      <c r="S363">
        <v>173.5</v>
      </c>
      <c r="T363">
        <v>182.8</v>
      </c>
      <c r="U363">
        <v>169.2</v>
      </c>
      <c r="V363">
        <v>180.8</v>
      </c>
      <c r="W363">
        <v>159.80000000000001</v>
      </c>
      <c r="X363">
        <v>168.4</v>
      </c>
      <c r="Y363">
        <v>172.5</v>
      </c>
      <c r="Z363">
        <v>181.4</v>
      </c>
      <c r="AA363">
        <v>170</v>
      </c>
      <c r="AB363">
        <f t="shared" si="5"/>
        <v>176.28750000000002</v>
      </c>
      <c r="AC363">
        <v>176.3</v>
      </c>
    </row>
    <row r="364" spans="1:29">
      <c r="A364" t="s">
        <v>34</v>
      </c>
      <c r="B364">
        <v>2023</v>
      </c>
      <c r="C364" t="s">
        <v>35</v>
      </c>
      <c r="D364">
        <v>174.4</v>
      </c>
      <c r="E364">
        <v>207.7</v>
      </c>
      <c r="F364">
        <v>175.2</v>
      </c>
      <c r="G364">
        <v>177.3</v>
      </c>
      <c r="H364">
        <v>179.3</v>
      </c>
      <c r="I364">
        <v>169.5</v>
      </c>
      <c r="J364">
        <v>152.69999999999999</v>
      </c>
      <c r="K364">
        <v>171</v>
      </c>
      <c r="L364">
        <v>120</v>
      </c>
      <c r="M364">
        <v>209.7</v>
      </c>
      <c r="N364">
        <v>172.3</v>
      </c>
      <c r="O364">
        <v>193</v>
      </c>
      <c r="P364">
        <v>199.5</v>
      </c>
      <c r="Q364">
        <v>186.2</v>
      </c>
      <c r="R364">
        <v>178.7</v>
      </c>
      <c r="S364">
        <v>173.5</v>
      </c>
      <c r="T364">
        <v>182.1</v>
      </c>
      <c r="U364">
        <v>174.2</v>
      </c>
      <c r="V364">
        <v>184.4</v>
      </c>
      <c r="W364">
        <v>164.2</v>
      </c>
      <c r="X364">
        <v>170.3</v>
      </c>
      <c r="Y364">
        <v>175</v>
      </c>
      <c r="Z364">
        <v>181</v>
      </c>
      <c r="AA364">
        <v>174.1</v>
      </c>
      <c r="AB364">
        <f t="shared" si="5"/>
        <v>176.88749999999996</v>
      </c>
      <c r="AC364">
        <v>177.2</v>
      </c>
    </row>
    <row r="365" spans="1:29">
      <c r="A365" t="s">
        <v>30</v>
      </c>
      <c r="B365">
        <v>2023</v>
      </c>
      <c r="C365" t="s">
        <v>36</v>
      </c>
      <c r="D365">
        <v>174.3</v>
      </c>
      <c r="E365">
        <v>205.2</v>
      </c>
      <c r="F365">
        <v>173.9</v>
      </c>
      <c r="G365">
        <v>177</v>
      </c>
      <c r="H365">
        <v>183.3</v>
      </c>
      <c r="I365">
        <v>167.2</v>
      </c>
      <c r="J365">
        <v>140.9</v>
      </c>
      <c r="K365">
        <v>170.5</v>
      </c>
      <c r="L365">
        <v>119.1</v>
      </c>
      <c r="M365">
        <v>212.1</v>
      </c>
      <c r="N365">
        <v>177.6</v>
      </c>
      <c r="O365">
        <v>189.9</v>
      </c>
      <c r="P365">
        <v>198.4</v>
      </c>
      <c r="Q365">
        <v>190</v>
      </c>
      <c r="R365">
        <v>187</v>
      </c>
      <c r="S365" t="s">
        <v>32</v>
      </c>
      <c r="T365">
        <v>181.4</v>
      </c>
      <c r="U365">
        <v>178.6</v>
      </c>
      <c r="V365">
        <v>186.6</v>
      </c>
      <c r="W365">
        <v>169</v>
      </c>
      <c r="X365">
        <v>172.8</v>
      </c>
      <c r="Y365">
        <v>178.5</v>
      </c>
      <c r="Z365">
        <v>180.7</v>
      </c>
      <c r="AA365">
        <v>177.9</v>
      </c>
      <c r="AB365">
        <f t="shared" si="5"/>
        <v>177.90869565217392</v>
      </c>
      <c r="AC365">
        <v>178</v>
      </c>
    </row>
    <row r="366" spans="1:29">
      <c r="A366" t="s">
        <v>33</v>
      </c>
      <c r="B366">
        <v>2023</v>
      </c>
      <c r="C366" t="s">
        <v>36</v>
      </c>
      <c r="D366">
        <v>174.7</v>
      </c>
      <c r="E366">
        <v>212.2</v>
      </c>
      <c r="F366">
        <v>177.2</v>
      </c>
      <c r="G366">
        <v>177.9</v>
      </c>
      <c r="H366">
        <v>172.2</v>
      </c>
      <c r="I366">
        <v>172.1</v>
      </c>
      <c r="J366">
        <v>175.9</v>
      </c>
      <c r="K366">
        <v>172.2</v>
      </c>
      <c r="L366">
        <v>121.9</v>
      </c>
      <c r="M366">
        <v>204.8</v>
      </c>
      <c r="N366">
        <v>164.9</v>
      </c>
      <c r="O366">
        <v>196.6</v>
      </c>
      <c r="P366">
        <v>202.7</v>
      </c>
      <c r="Q366">
        <v>180.2</v>
      </c>
      <c r="R366">
        <v>167</v>
      </c>
      <c r="S366">
        <v>173.5</v>
      </c>
      <c r="T366">
        <v>182.6</v>
      </c>
      <c r="U366">
        <v>169.2</v>
      </c>
      <c r="V366">
        <v>180.8</v>
      </c>
      <c r="W366">
        <v>159.80000000000001</v>
      </c>
      <c r="X366">
        <v>168.4</v>
      </c>
      <c r="Y366">
        <v>172.5</v>
      </c>
      <c r="Z366">
        <v>181.5</v>
      </c>
      <c r="AA366">
        <v>170</v>
      </c>
      <c r="AB366">
        <f t="shared" si="5"/>
        <v>176.2833333333333</v>
      </c>
      <c r="AC366">
        <v>176.3</v>
      </c>
    </row>
    <row r="367" spans="1:29">
      <c r="A367" t="s">
        <v>34</v>
      </c>
      <c r="B367">
        <v>2023</v>
      </c>
      <c r="C367" t="s">
        <v>36</v>
      </c>
      <c r="D367">
        <v>174.4</v>
      </c>
      <c r="E367">
        <v>207.7</v>
      </c>
      <c r="F367">
        <v>175.2</v>
      </c>
      <c r="G367">
        <v>177.3</v>
      </c>
      <c r="H367">
        <v>179.2</v>
      </c>
      <c r="I367">
        <v>169.5</v>
      </c>
      <c r="J367">
        <v>152.80000000000001</v>
      </c>
      <c r="K367">
        <v>171.1</v>
      </c>
      <c r="L367">
        <v>120</v>
      </c>
      <c r="M367">
        <v>209.7</v>
      </c>
      <c r="N367">
        <v>172.3</v>
      </c>
      <c r="O367">
        <v>193</v>
      </c>
      <c r="P367">
        <v>199.5</v>
      </c>
      <c r="Q367">
        <v>186.1</v>
      </c>
      <c r="R367">
        <v>178.7</v>
      </c>
      <c r="S367">
        <v>173.5</v>
      </c>
      <c r="T367">
        <v>181.9</v>
      </c>
      <c r="U367">
        <v>174.2</v>
      </c>
      <c r="V367">
        <v>184.4</v>
      </c>
      <c r="W367">
        <v>164.2</v>
      </c>
      <c r="X367">
        <v>170.3</v>
      </c>
      <c r="Y367">
        <v>175</v>
      </c>
      <c r="Z367">
        <v>181</v>
      </c>
      <c r="AA367">
        <v>174.1</v>
      </c>
      <c r="AB367">
        <f t="shared" si="5"/>
        <v>176.87916666666663</v>
      </c>
      <c r="AC367">
        <v>177.2</v>
      </c>
    </row>
    <row r="368" spans="1:29">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199.5</v>
      </c>
      <c r="Q368">
        <v>190.7</v>
      </c>
      <c r="R368">
        <v>187.3</v>
      </c>
      <c r="S368" t="s">
        <v>48</v>
      </c>
      <c r="T368">
        <v>181.5</v>
      </c>
      <c r="U368">
        <v>179.1</v>
      </c>
      <c r="V368">
        <v>187.2</v>
      </c>
      <c r="W368">
        <v>169.4</v>
      </c>
      <c r="X368">
        <v>173.2</v>
      </c>
      <c r="Y368">
        <v>179.4</v>
      </c>
      <c r="Z368">
        <v>183.8</v>
      </c>
      <c r="AA368">
        <v>178.9</v>
      </c>
      <c r="AB368">
        <f t="shared" si="5"/>
        <v>178.6391304347826</v>
      </c>
      <c r="AC368">
        <v>178.8</v>
      </c>
    </row>
    <row r="369" spans="1:29">
      <c r="A369" t="s">
        <v>33</v>
      </c>
      <c r="B369">
        <v>2023</v>
      </c>
      <c r="C369" t="s">
        <v>37</v>
      </c>
      <c r="D369">
        <v>174.8</v>
      </c>
      <c r="E369">
        <v>213.7</v>
      </c>
      <c r="F369">
        <v>172.4</v>
      </c>
      <c r="G369">
        <v>178.8</v>
      </c>
      <c r="H369">
        <v>168.7</v>
      </c>
      <c r="I369">
        <v>179.2</v>
      </c>
      <c r="J369">
        <v>179.9</v>
      </c>
      <c r="K369">
        <v>174.7</v>
      </c>
      <c r="L369">
        <v>123.1</v>
      </c>
      <c r="M369">
        <v>207.8</v>
      </c>
      <c r="N369">
        <v>165.5</v>
      </c>
      <c r="O369">
        <v>197</v>
      </c>
      <c r="P369">
        <v>203.5</v>
      </c>
      <c r="Q369">
        <v>181</v>
      </c>
      <c r="R369">
        <v>167.7</v>
      </c>
      <c r="S369">
        <v>175.2</v>
      </c>
      <c r="T369">
        <v>182.1</v>
      </c>
      <c r="U369">
        <v>169.6</v>
      </c>
      <c r="V369">
        <v>181.5</v>
      </c>
      <c r="W369">
        <v>160.1</v>
      </c>
      <c r="X369">
        <v>168.8</v>
      </c>
      <c r="Y369">
        <v>174.2</v>
      </c>
      <c r="Z369">
        <v>184.4</v>
      </c>
      <c r="AA369">
        <v>170.9</v>
      </c>
      <c r="AB369">
        <f t="shared" si="5"/>
        <v>177.27499999999998</v>
      </c>
      <c r="AC369">
        <v>177.4</v>
      </c>
    </row>
    <row r="370" spans="1:29">
      <c r="A370" t="s">
        <v>34</v>
      </c>
      <c r="B370">
        <v>2023</v>
      </c>
      <c r="C370" t="s">
        <v>37</v>
      </c>
      <c r="D370">
        <v>173.8</v>
      </c>
      <c r="E370">
        <v>209.3</v>
      </c>
      <c r="F370">
        <v>169.6</v>
      </c>
      <c r="G370">
        <v>178.4</v>
      </c>
      <c r="H370">
        <v>174.9</v>
      </c>
      <c r="I370">
        <v>176.3</v>
      </c>
      <c r="J370">
        <v>155.4</v>
      </c>
      <c r="K370">
        <v>173.4</v>
      </c>
      <c r="L370">
        <v>121.3</v>
      </c>
      <c r="M370">
        <v>212.9</v>
      </c>
      <c r="N370">
        <v>172.9</v>
      </c>
      <c r="O370">
        <v>193.5</v>
      </c>
      <c r="P370">
        <v>200.6</v>
      </c>
      <c r="Q370">
        <v>186.9</v>
      </c>
      <c r="R370">
        <v>179.2</v>
      </c>
      <c r="S370">
        <v>175.2</v>
      </c>
      <c r="T370">
        <v>181.7</v>
      </c>
      <c r="U370">
        <v>174.6</v>
      </c>
      <c r="V370">
        <v>185</v>
      </c>
      <c r="W370">
        <v>164.5</v>
      </c>
      <c r="X370">
        <v>170.7</v>
      </c>
      <c r="Y370">
        <v>176.4</v>
      </c>
      <c r="Z370">
        <v>184</v>
      </c>
      <c r="AA370">
        <v>175</v>
      </c>
      <c r="AB370">
        <f t="shared" si="5"/>
        <v>177.72916666666666</v>
      </c>
      <c r="AC370">
        <v>178.1</v>
      </c>
    </row>
    <row r="371" spans="1:29">
      <c r="A371" t="s">
        <v>30</v>
      </c>
      <c r="B371">
        <v>2023</v>
      </c>
      <c r="C371" t="s">
        <v>38</v>
      </c>
      <c r="D371">
        <v>173.2</v>
      </c>
      <c r="E371">
        <v>211.5</v>
      </c>
      <c r="F371">
        <v>171</v>
      </c>
      <c r="G371">
        <v>179.6</v>
      </c>
      <c r="H371">
        <v>173.3</v>
      </c>
      <c r="I371">
        <v>169</v>
      </c>
      <c r="J371">
        <v>148.69999999999999</v>
      </c>
      <c r="K371">
        <v>174.9</v>
      </c>
      <c r="L371">
        <v>121.9</v>
      </c>
      <c r="M371">
        <v>221</v>
      </c>
      <c r="N371">
        <v>178.7</v>
      </c>
      <c r="O371">
        <v>191.1</v>
      </c>
      <c r="P371">
        <v>199.9</v>
      </c>
      <c r="Q371">
        <v>191.2</v>
      </c>
      <c r="R371">
        <v>187.9</v>
      </c>
      <c r="S371" t="s">
        <v>48</v>
      </c>
      <c r="T371">
        <v>182.5</v>
      </c>
      <c r="U371">
        <v>179.8</v>
      </c>
      <c r="V371">
        <v>187.8</v>
      </c>
      <c r="W371">
        <v>169.7</v>
      </c>
      <c r="X371">
        <v>173.8</v>
      </c>
      <c r="Y371">
        <v>180.3</v>
      </c>
      <c r="Z371">
        <v>184.9</v>
      </c>
      <c r="AA371">
        <v>179.5</v>
      </c>
      <c r="AB371">
        <f t="shared" si="5"/>
        <v>179.61739130434785</v>
      </c>
      <c r="AC371">
        <v>179.8</v>
      </c>
    </row>
    <row r="372" spans="1:29">
      <c r="A372" t="s">
        <v>33</v>
      </c>
      <c r="B372">
        <v>2023</v>
      </c>
      <c r="C372" t="s">
        <v>38</v>
      </c>
      <c r="D372">
        <v>174.7</v>
      </c>
      <c r="E372">
        <v>219.4</v>
      </c>
      <c r="F372">
        <v>176.7</v>
      </c>
      <c r="G372">
        <v>179.4</v>
      </c>
      <c r="H372">
        <v>164.4</v>
      </c>
      <c r="I372">
        <v>175.8</v>
      </c>
      <c r="J372">
        <v>185</v>
      </c>
      <c r="K372">
        <v>176.9</v>
      </c>
      <c r="L372">
        <v>124.2</v>
      </c>
      <c r="M372">
        <v>211.9</v>
      </c>
      <c r="N372">
        <v>165.9</v>
      </c>
      <c r="O372">
        <v>197.7</v>
      </c>
      <c r="P372">
        <v>204.2</v>
      </c>
      <c r="Q372">
        <v>181.3</v>
      </c>
      <c r="R372">
        <v>168.1</v>
      </c>
      <c r="S372">
        <v>175.6</v>
      </c>
      <c r="T372">
        <v>183.4</v>
      </c>
      <c r="U372">
        <v>170.1</v>
      </c>
      <c r="V372">
        <v>182.2</v>
      </c>
      <c r="W372">
        <v>160.4</v>
      </c>
      <c r="X372">
        <v>169.2</v>
      </c>
      <c r="Y372">
        <v>174.8</v>
      </c>
      <c r="Z372">
        <v>185.6</v>
      </c>
      <c r="AA372">
        <v>171.6</v>
      </c>
      <c r="AB372">
        <f t="shared" si="5"/>
        <v>178.27083333333334</v>
      </c>
      <c r="AC372">
        <v>178.2</v>
      </c>
    </row>
    <row r="373" spans="1:29">
      <c r="A373" t="s">
        <v>34</v>
      </c>
      <c r="B373">
        <v>2023</v>
      </c>
      <c r="C373" t="s">
        <v>38</v>
      </c>
      <c r="D373">
        <v>173.7</v>
      </c>
      <c r="E373">
        <v>214.3</v>
      </c>
      <c r="F373">
        <v>173.2</v>
      </c>
      <c r="G373">
        <v>179.5</v>
      </c>
      <c r="H373">
        <v>170</v>
      </c>
      <c r="I373">
        <v>172.2</v>
      </c>
      <c r="J373">
        <v>161</v>
      </c>
      <c r="K373">
        <v>175.6</v>
      </c>
      <c r="L373">
        <v>122.7</v>
      </c>
      <c r="M373">
        <v>218</v>
      </c>
      <c r="N373">
        <v>173.4</v>
      </c>
      <c r="O373">
        <v>194.2</v>
      </c>
      <c r="P373">
        <v>201</v>
      </c>
      <c r="Q373">
        <v>187.3</v>
      </c>
      <c r="R373">
        <v>179.7</v>
      </c>
      <c r="S373">
        <v>175.6</v>
      </c>
      <c r="T373">
        <v>182.8</v>
      </c>
      <c r="U373">
        <v>175.2</v>
      </c>
      <c r="V373">
        <v>185.7</v>
      </c>
      <c r="W373">
        <v>164.8</v>
      </c>
      <c r="X373">
        <v>171.2</v>
      </c>
      <c r="Y373">
        <v>177.1</v>
      </c>
      <c r="Z373">
        <v>185.2</v>
      </c>
      <c r="AA373">
        <v>175.7</v>
      </c>
      <c r="AB373">
        <f t="shared" si="5"/>
        <v>178.71249999999998</v>
      </c>
      <c r="AC373">
        <v>179.1</v>
      </c>
    </row>
  </sheetData>
  <conditionalFormatting sqref="D2:AC373">
    <cfRule type="containsText" dxfId="8" priority="2" operator="containsText" text="NA">
      <formula>NOT(ISERROR(SEARCH("NA",D2)))</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6E59B943-081C-4EEB-8B8A-4268F137CD9E}">
            <xm:f>NOT(ISERROR(SEARCH("-",D2)))</xm:f>
            <xm:f>"-"</xm:f>
            <x14:dxf>
              <font>
                <color rgb="FF9C0006"/>
              </font>
              <fill>
                <patternFill>
                  <bgColor rgb="FFFFC7CE"/>
                </patternFill>
              </fill>
            </x14:dxf>
          </x14:cfRule>
          <xm:sqref>D2:AC373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D3741-94C0-42B2-9020-55A0F41AA81C}">
  <dimension ref="A1:AD373"/>
  <sheetViews>
    <sheetView topLeftCell="U1" workbookViewId="0">
      <pane ySplit="1" topLeftCell="A353" activePane="bottomLeft" state="frozen"/>
      <selection activeCell="U1" sqref="U1"/>
      <selection pane="bottomLeft" sqref="A1:AD373"/>
    </sheetView>
  </sheetViews>
  <sheetFormatPr defaultRowHeight="15"/>
  <cols>
    <col min="1" max="1" width="11.85546875" bestFit="1" customWidth="1"/>
    <col min="2" max="2" width="5" bestFit="1" customWidth="1"/>
    <col min="3" max="3" width="10.85546875" bestFit="1" customWidth="1"/>
    <col min="4" max="4" width="19.7109375" bestFit="1" customWidth="1"/>
    <col min="5" max="5" width="13.140625" bestFit="1" customWidth="1"/>
    <col min="6" max="6" width="6" bestFit="1" customWidth="1"/>
    <col min="7" max="7" width="16.85546875" bestFit="1" customWidth="1"/>
    <col min="8" max="8" width="11.85546875" bestFit="1" customWidth="1"/>
    <col min="9" max="9" width="6" bestFit="1" customWidth="1"/>
    <col min="10" max="10" width="11" bestFit="1" customWidth="1"/>
    <col min="11" max="11" width="18.85546875" bestFit="1" customWidth="1"/>
    <col min="12" max="12" width="23" bestFit="1" customWidth="1"/>
    <col min="13" max="13" width="6.5703125" bestFit="1" customWidth="1"/>
    <col min="14" max="14" width="23.28515625" bestFit="1" customWidth="1"/>
    <col min="15" max="15" width="33.28515625" bestFit="1" customWidth="1"/>
    <col min="16" max="16" width="19" bestFit="1" customWidth="1"/>
    <col min="17" max="17" width="26.5703125" bestFit="1" customWidth="1"/>
    <col min="18" max="18" width="8.42578125" bestFit="1" customWidth="1"/>
    <col min="19" max="19" width="9.42578125" bestFit="1" customWidth="1"/>
    <col min="20" max="20" width="21" bestFit="1" customWidth="1"/>
    <col min="21" max="21" width="8.140625" bestFit="1" customWidth="1"/>
    <col min="22" max="22" width="13.140625" bestFit="1" customWidth="1"/>
    <col min="23" max="23" width="28.140625" bestFit="1" customWidth="1"/>
    <col min="24" max="24" width="6.85546875" bestFit="1" customWidth="1"/>
    <col min="25" max="25" width="27.85546875" bestFit="1" customWidth="1"/>
    <col min="26" max="26" width="25.85546875" bestFit="1" customWidth="1"/>
    <col min="27" max="27" width="9.7109375" bestFit="1" customWidth="1"/>
    <col min="28" max="28" width="23.5703125" bestFit="1" customWidth="1"/>
    <col min="29" max="29" width="13.85546875" bestFit="1" customWidth="1"/>
    <col min="30" max="30" width="13.5703125" bestFit="1" customWidth="1"/>
  </cols>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c r="A46" t="s">
        <v>34</v>
      </c>
      <c r="B46">
        <v>2014</v>
      </c>
      <c r="C46" s="2" t="s">
        <v>36</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c r="A260" t="s">
        <v>30</v>
      </c>
      <c r="B260">
        <v>2020</v>
      </c>
      <c r="C260" t="s">
        <v>37</v>
      </c>
      <c r="D260">
        <v>147.19999999999999</v>
      </c>
      <c r="E260">
        <v>167.15</v>
      </c>
      <c r="F260">
        <v>146.9</v>
      </c>
      <c r="G260">
        <v>155.6</v>
      </c>
      <c r="H260">
        <v>137.1</v>
      </c>
      <c r="I260">
        <v>147.30000000000001</v>
      </c>
      <c r="J260">
        <v>162.69999999999999</v>
      </c>
      <c r="K260">
        <v>150.19999999999999</v>
      </c>
      <c r="L260">
        <v>119.8</v>
      </c>
      <c r="M260">
        <v>158.69999999999999</v>
      </c>
      <c r="N260">
        <v>139.19999999999999</v>
      </c>
      <c r="O260">
        <v>159.6</v>
      </c>
      <c r="P260">
        <v>150.1</v>
      </c>
      <c r="Q260">
        <v>169.95</v>
      </c>
      <c r="R260">
        <v>153.19999999999999</v>
      </c>
      <c r="S260">
        <v>147.55000000000001</v>
      </c>
      <c r="T260">
        <v>152</v>
      </c>
      <c r="U260" t="s">
        <v>32</v>
      </c>
      <c r="V260">
        <v>148.4</v>
      </c>
      <c r="W260">
        <v>151.6</v>
      </c>
      <c r="X260">
        <v>154.30000000000001</v>
      </c>
      <c r="Y260">
        <v>135.9</v>
      </c>
      <c r="Z260">
        <v>150.80000000000001</v>
      </c>
      <c r="AA260">
        <v>161.55000000000001</v>
      </c>
      <c r="AB260">
        <v>144.25</v>
      </c>
      <c r="AC260">
        <v>148.5</v>
      </c>
      <c r="AD260">
        <v>150.10000000000002</v>
      </c>
    </row>
    <row r="261" spans="1:30">
      <c r="A261" t="s">
        <v>33</v>
      </c>
      <c r="B261">
        <v>2020</v>
      </c>
      <c r="C261" t="s">
        <v>37</v>
      </c>
      <c r="D261">
        <v>151.80000000000001</v>
      </c>
      <c r="E261">
        <v>167.55</v>
      </c>
      <c r="F261">
        <v>151.9</v>
      </c>
      <c r="G261">
        <v>155.5</v>
      </c>
      <c r="H261">
        <v>131.6</v>
      </c>
      <c r="I261">
        <v>152.9</v>
      </c>
      <c r="J261">
        <v>180</v>
      </c>
      <c r="K261">
        <v>150.80000000000001</v>
      </c>
      <c r="L261">
        <v>121.2</v>
      </c>
      <c r="M261">
        <v>154</v>
      </c>
      <c r="N261">
        <v>133.5</v>
      </c>
      <c r="O261">
        <v>159.05000000000001</v>
      </c>
      <c r="P261">
        <v>153.5</v>
      </c>
      <c r="Q261">
        <v>172.65</v>
      </c>
      <c r="R261">
        <v>147.5</v>
      </c>
      <c r="S261">
        <v>133.65</v>
      </c>
      <c r="T261">
        <v>145.4</v>
      </c>
      <c r="U261">
        <v>155.6</v>
      </c>
      <c r="V261">
        <v>137.1</v>
      </c>
      <c r="W261">
        <v>140.6</v>
      </c>
      <c r="X261">
        <v>144.80000000000001</v>
      </c>
      <c r="Y261">
        <v>124.9</v>
      </c>
      <c r="Z261">
        <v>137.80000000000001</v>
      </c>
      <c r="AA261">
        <v>152.35</v>
      </c>
      <c r="AB261">
        <v>144.4</v>
      </c>
      <c r="AC261">
        <v>138.55000000000001</v>
      </c>
      <c r="AD261">
        <v>147.5</v>
      </c>
    </row>
    <row r="262" spans="1:30">
      <c r="A262" t="s">
        <v>34</v>
      </c>
      <c r="B262">
        <v>2020</v>
      </c>
      <c r="C262" t="s">
        <v>37</v>
      </c>
      <c r="D262">
        <v>148.69999999999999</v>
      </c>
      <c r="E262">
        <v>167.3</v>
      </c>
      <c r="F262">
        <v>148.80000000000001</v>
      </c>
      <c r="G262">
        <v>155.6</v>
      </c>
      <c r="H262">
        <v>135.1</v>
      </c>
      <c r="I262">
        <v>149.9</v>
      </c>
      <c r="J262">
        <v>168.6</v>
      </c>
      <c r="K262">
        <v>150.4</v>
      </c>
      <c r="L262">
        <v>120.3</v>
      </c>
      <c r="M262">
        <v>157.1</v>
      </c>
      <c r="N262">
        <v>136.80000000000001</v>
      </c>
      <c r="O262">
        <v>159.35</v>
      </c>
      <c r="P262">
        <v>151.4</v>
      </c>
      <c r="Q262">
        <v>170.65</v>
      </c>
      <c r="R262">
        <v>151</v>
      </c>
      <c r="S262">
        <v>141.80000000000001</v>
      </c>
      <c r="T262">
        <v>149.65</v>
      </c>
      <c r="U262">
        <v>155.6</v>
      </c>
      <c r="V262">
        <v>144.1</v>
      </c>
      <c r="W262">
        <v>146.4</v>
      </c>
      <c r="X262">
        <v>150.69999999999999</v>
      </c>
      <c r="Y262">
        <v>130.1</v>
      </c>
      <c r="Z262">
        <v>143.44999999999999</v>
      </c>
      <c r="AA262">
        <v>156.15</v>
      </c>
      <c r="AB262">
        <v>144.30000000000001</v>
      </c>
      <c r="AC262">
        <v>143.69999999999999</v>
      </c>
      <c r="AD262">
        <v>148.85</v>
      </c>
    </row>
    <row r="263" spans="1:30">
      <c r="A263" t="s">
        <v>30</v>
      </c>
      <c r="B263">
        <v>2020</v>
      </c>
      <c r="C263" t="s">
        <v>38</v>
      </c>
      <c r="D263">
        <v>145.80000000000001</v>
      </c>
      <c r="E263">
        <v>166.8</v>
      </c>
      <c r="F263">
        <v>147.25</v>
      </c>
      <c r="G263">
        <v>153.64999999999998</v>
      </c>
      <c r="H263">
        <v>135.19999999999999</v>
      </c>
      <c r="I263">
        <v>144.55000000000001</v>
      </c>
      <c r="J263">
        <v>157.5</v>
      </c>
      <c r="K263">
        <v>146</v>
      </c>
      <c r="L263">
        <v>116.19999999999999</v>
      </c>
      <c r="M263">
        <v>156.35</v>
      </c>
      <c r="N263">
        <v>139.64999999999998</v>
      </c>
      <c r="O263">
        <v>160</v>
      </c>
      <c r="P263">
        <v>149.14999999999998</v>
      </c>
      <c r="Q263">
        <v>170.5</v>
      </c>
      <c r="R263">
        <v>153.4</v>
      </c>
      <c r="S263">
        <v>147.6</v>
      </c>
      <c r="T263">
        <v>152.5</v>
      </c>
      <c r="U263" t="s">
        <v>32</v>
      </c>
      <c r="V263">
        <v>150.9</v>
      </c>
      <c r="W263">
        <v>151.5</v>
      </c>
      <c r="X263">
        <v>155.5</v>
      </c>
      <c r="Y263">
        <v>135.80000000000001</v>
      </c>
      <c r="Z263">
        <v>151.19999999999999</v>
      </c>
      <c r="AA263">
        <v>161.19999999999999</v>
      </c>
      <c r="AB263">
        <v>145.1</v>
      </c>
      <c r="AC263">
        <v>148.6</v>
      </c>
      <c r="AD263">
        <v>149.80000000000001</v>
      </c>
    </row>
    <row r="264" spans="1:30">
      <c r="A264" t="s">
        <v>33</v>
      </c>
      <c r="B264">
        <v>2020</v>
      </c>
      <c r="C264" t="s">
        <v>38</v>
      </c>
      <c r="D264">
        <v>149.15</v>
      </c>
      <c r="E264">
        <v>167.5</v>
      </c>
      <c r="F264">
        <v>150.4</v>
      </c>
      <c r="G264">
        <v>153.30000000000001</v>
      </c>
      <c r="H264">
        <v>129.55000000000001</v>
      </c>
      <c r="I264">
        <v>148.10000000000002</v>
      </c>
      <c r="J264">
        <v>173.5</v>
      </c>
      <c r="K264">
        <v>145.25</v>
      </c>
      <c r="L264">
        <v>117.80000000000001</v>
      </c>
      <c r="M264">
        <v>152.75</v>
      </c>
      <c r="N264">
        <v>132.69999999999999</v>
      </c>
      <c r="O264">
        <v>159.1</v>
      </c>
      <c r="P264">
        <v>151.80000000000001</v>
      </c>
      <c r="Q264">
        <v>173.3</v>
      </c>
      <c r="R264">
        <v>147.69999999999999</v>
      </c>
      <c r="S264">
        <v>133.80000000000001</v>
      </c>
      <c r="T264">
        <v>145.6</v>
      </c>
      <c r="U264">
        <v>155.05000000000001</v>
      </c>
      <c r="V264">
        <v>139.25</v>
      </c>
      <c r="W264">
        <v>140.80000000000001</v>
      </c>
      <c r="X264">
        <v>144.9</v>
      </c>
      <c r="Y264">
        <v>124.6</v>
      </c>
      <c r="Z264">
        <v>137.9</v>
      </c>
      <c r="AA264">
        <v>152.5</v>
      </c>
      <c r="AB264">
        <v>145.30000000000001</v>
      </c>
      <c r="AC264">
        <v>138.69999999999999</v>
      </c>
      <c r="AD264">
        <v>147.30000000000001</v>
      </c>
    </row>
    <row r="265" spans="1:30">
      <c r="A265" t="s">
        <v>34</v>
      </c>
      <c r="B265">
        <v>2020</v>
      </c>
      <c r="C265" t="s">
        <v>38</v>
      </c>
      <c r="D265">
        <v>146.89999999999998</v>
      </c>
      <c r="E265">
        <v>167</v>
      </c>
      <c r="F265">
        <v>148.44999999999999</v>
      </c>
      <c r="G265">
        <v>153.55000000000001</v>
      </c>
      <c r="H265">
        <v>133.14999999999998</v>
      </c>
      <c r="I265">
        <v>146.19999999999999</v>
      </c>
      <c r="J265">
        <v>162.94999999999999</v>
      </c>
      <c r="K265">
        <v>145.75</v>
      </c>
      <c r="L265">
        <v>116.75</v>
      </c>
      <c r="M265">
        <v>155.14999999999998</v>
      </c>
      <c r="N265">
        <v>136.75</v>
      </c>
      <c r="O265">
        <v>159.6</v>
      </c>
      <c r="P265">
        <v>150.15</v>
      </c>
      <c r="Q265">
        <v>171.2</v>
      </c>
      <c r="R265">
        <v>151.19999999999999</v>
      </c>
      <c r="S265">
        <v>141.9</v>
      </c>
      <c r="T265">
        <v>149.80000000000001</v>
      </c>
      <c r="U265">
        <v>155.05000000000001</v>
      </c>
      <c r="V265">
        <v>146.5</v>
      </c>
      <c r="W265">
        <v>146.4</v>
      </c>
      <c r="X265">
        <v>151.5</v>
      </c>
      <c r="Y265">
        <v>129.9</v>
      </c>
      <c r="Z265">
        <v>143.69999999999999</v>
      </c>
      <c r="AA265">
        <v>156.1</v>
      </c>
      <c r="AB265">
        <v>145.19999999999999</v>
      </c>
      <c r="AC265">
        <v>143.80000000000001</v>
      </c>
      <c r="AD265">
        <v>148.6</v>
      </c>
    </row>
    <row r="266" spans="1:30">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autoFilter ref="A1:AD373" xr:uid="{E79D3741-94C0-42B2-9020-55A0F41AA81C}"/>
  <conditionalFormatting sqref="D2:AD373">
    <cfRule type="containsText" dxfId="6" priority="2" operator="containsText" text="NA">
      <formula>NOT(ISERROR(SEARCH("NA",D2)))</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1" operator="containsText" id="{1F8E27AC-68F3-4A7D-B729-21CA92E5C3A7}">
            <xm:f>NOT(ISERROR(SEARCH("-",D2)))</xm:f>
            <xm:f>"-"</xm:f>
            <x14:dxf>
              <font>
                <color rgb="FF9C0006"/>
              </font>
              <fill>
                <patternFill>
                  <bgColor rgb="FFFFC7CE"/>
                </patternFill>
              </fill>
            </x14:dxf>
          </x14:cfRule>
          <xm:sqref>D2:AD373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B9630-A302-4244-BAEE-A913A17FCED7}">
  <dimension ref="A1:AD373"/>
  <sheetViews>
    <sheetView topLeftCell="H1" workbookViewId="0">
      <selection activeCell="K11" sqref="K11"/>
    </sheetView>
  </sheetViews>
  <sheetFormatPr defaultRowHeight="15"/>
  <cols>
    <col min="1" max="1" width="11.85546875" bestFit="1" customWidth="1"/>
    <col min="2" max="2" width="5" bestFit="1" customWidth="1"/>
    <col min="3" max="3" width="10.85546875" bestFit="1" customWidth="1"/>
    <col min="4" max="4" width="19.7109375" bestFit="1" customWidth="1"/>
    <col min="5" max="5" width="13.140625" bestFit="1" customWidth="1"/>
    <col min="6" max="6" width="7" bestFit="1" customWidth="1"/>
    <col min="7" max="7" width="16.85546875" bestFit="1" customWidth="1"/>
    <col min="8" max="8" width="11.85546875" bestFit="1" customWidth="1"/>
    <col min="9" max="9" width="7" bestFit="1" customWidth="1"/>
    <col min="10" max="10" width="11" bestFit="1" customWidth="1"/>
    <col min="11" max="11" width="18.85546875" bestFit="1" customWidth="1"/>
    <col min="12" max="12" width="23" bestFit="1" customWidth="1"/>
    <col min="13" max="13" width="7" bestFit="1" customWidth="1"/>
    <col min="14" max="14" width="23.28515625" bestFit="1" customWidth="1"/>
    <col min="15" max="15" width="33.28515625" bestFit="1" customWidth="1"/>
    <col min="16" max="16" width="19" bestFit="1" customWidth="1"/>
    <col min="17" max="17" width="26.5703125" bestFit="1" customWidth="1"/>
    <col min="18" max="18" width="8.42578125" bestFit="1" customWidth="1"/>
    <col min="19" max="19" width="9.42578125" bestFit="1" customWidth="1"/>
    <col min="20" max="20" width="21" bestFit="1" customWidth="1"/>
    <col min="21" max="21" width="8.140625" bestFit="1" customWidth="1"/>
    <col min="22" max="22" width="13.140625" bestFit="1" customWidth="1"/>
    <col min="23" max="23" width="28.140625" bestFit="1" customWidth="1"/>
    <col min="24" max="24" width="6.85546875" bestFit="1" customWidth="1"/>
    <col min="25" max="25" width="27.85546875" bestFit="1" customWidth="1"/>
    <col min="26" max="26" width="25.85546875" bestFit="1" customWidth="1"/>
    <col min="27" max="27" width="9.7109375" bestFit="1" customWidth="1"/>
    <col min="28" max="28" width="23.5703125" bestFit="1" customWidth="1"/>
    <col min="29" max="29" width="13.85546875" bestFit="1" customWidth="1"/>
    <col min="30" max="30" width="13.5703125" bestFit="1" customWidth="1"/>
  </cols>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c r="A46" t="s">
        <v>34</v>
      </c>
      <c r="B46">
        <v>2014</v>
      </c>
      <c r="C46" t="s">
        <v>36</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c r="A260" t="s">
        <v>30</v>
      </c>
      <c r="B260">
        <v>2020</v>
      </c>
      <c r="C260" t="s">
        <v>37</v>
      </c>
      <c r="D260">
        <v>147.19999999999999</v>
      </c>
      <c r="E260">
        <v>167.15</v>
      </c>
      <c r="F260">
        <v>146.9</v>
      </c>
      <c r="G260">
        <v>155.6</v>
      </c>
      <c r="H260">
        <v>137.1</v>
      </c>
      <c r="I260">
        <v>147.30000000000001</v>
      </c>
      <c r="J260">
        <v>162.69999999999999</v>
      </c>
      <c r="K260">
        <v>150.19999999999999</v>
      </c>
      <c r="L260">
        <v>119.8</v>
      </c>
      <c r="M260">
        <v>158.69999999999999</v>
      </c>
      <c r="N260">
        <v>139.19999999999999</v>
      </c>
      <c r="O260">
        <v>159.6</v>
      </c>
      <c r="P260">
        <v>150.1</v>
      </c>
      <c r="Q260">
        <v>169.95</v>
      </c>
      <c r="R260">
        <v>153.19999999999999</v>
      </c>
      <c r="S260">
        <v>147.55000000000001</v>
      </c>
      <c r="T260">
        <v>152</v>
      </c>
      <c r="U260" t="s">
        <v>32</v>
      </c>
      <c r="V260">
        <v>148.4</v>
      </c>
      <c r="W260">
        <v>151.6</v>
      </c>
      <c r="X260">
        <v>154.30000000000001</v>
      </c>
      <c r="Y260">
        <v>135.9</v>
      </c>
      <c r="Z260">
        <v>150.80000000000001</v>
      </c>
      <c r="AA260">
        <v>161.55000000000001</v>
      </c>
      <c r="AB260">
        <v>144.25</v>
      </c>
      <c r="AC260">
        <v>148.5</v>
      </c>
      <c r="AD260">
        <v>150.10000000000002</v>
      </c>
    </row>
    <row r="261" spans="1:30">
      <c r="A261" t="s">
        <v>33</v>
      </c>
      <c r="B261">
        <v>2020</v>
      </c>
      <c r="C261" t="s">
        <v>37</v>
      </c>
      <c r="D261">
        <v>151.80000000000001</v>
      </c>
      <c r="E261">
        <v>167.55</v>
      </c>
      <c r="F261">
        <v>151.9</v>
      </c>
      <c r="G261">
        <v>155.5</v>
      </c>
      <c r="H261">
        <v>131.6</v>
      </c>
      <c r="I261">
        <v>152.9</v>
      </c>
      <c r="J261">
        <v>180</v>
      </c>
      <c r="K261">
        <v>150.80000000000001</v>
      </c>
      <c r="L261">
        <v>121.2</v>
      </c>
      <c r="M261">
        <v>154</v>
      </c>
      <c r="N261">
        <v>133.5</v>
      </c>
      <c r="O261">
        <v>159.05000000000001</v>
      </c>
      <c r="P261">
        <v>153.5</v>
      </c>
      <c r="Q261">
        <v>172.65</v>
      </c>
      <c r="R261">
        <v>147.5</v>
      </c>
      <c r="S261">
        <v>133.65</v>
      </c>
      <c r="T261">
        <v>145.4</v>
      </c>
      <c r="U261">
        <v>155.6</v>
      </c>
      <c r="V261">
        <v>137.1</v>
      </c>
      <c r="W261">
        <v>140.6</v>
      </c>
      <c r="X261">
        <v>144.80000000000001</v>
      </c>
      <c r="Y261">
        <v>124.9</v>
      </c>
      <c r="Z261">
        <v>137.80000000000001</v>
      </c>
      <c r="AA261">
        <v>152.35</v>
      </c>
      <c r="AB261">
        <v>144.4</v>
      </c>
      <c r="AC261">
        <v>138.55000000000001</v>
      </c>
      <c r="AD261">
        <v>147.5</v>
      </c>
    </row>
    <row r="262" spans="1:30">
      <c r="A262" t="s">
        <v>34</v>
      </c>
      <c r="B262">
        <v>2020</v>
      </c>
      <c r="C262" t="s">
        <v>37</v>
      </c>
      <c r="D262">
        <v>148.69999999999999</v>
      </c>
      <c r="E262">
        <v>167.3</v>
      </c>
      <c r="F262">
        <v>148.80000000000001</v>
      </c>
      <c r="G262">
        <v>155.6</v>
      </c>
      <c r="H262">
        <v>135.1</v>
      </c>
      <c r="I262">
        <v>149.9</v>
      </c>
      <c r="J262">
        <v>168.6</v>
      </c>
      <c r="K262">
        <v>150.4</v>
      </c>
      <c r="L262">
        <v>120.3</v>
      </c>
      <c r="M262">
        <v>157.1</v>
      </c>
      <c r="N262">
        <v>136.80000000000001</v>
      </c>
      <c r="O262">
        <v>159.35</v>
      </c>
      <c r="P262">
        <v>151.4</v>
      </c>
      <c r="Q262">
        <v>170.65</v>
      </c>
      <c r="R262">
        <v>151</v>
      </c>
      <c r="S262">
        <v>141.80000000000001</v>
      </c>
      <c r="T262">
        <v>149.65</v>
      </c>
      <c r="U262">
        <v>155.6</v>
      </c>
      <c r="V262">
        <v>144.1</v>
      </c>
      <c r="W262">
        <v>146.4</v>
      </c>
      <c r="X262">
        <v>150.69999999999999</v>
      </c>
      <c r="Y262">
        <v>130.1</v>
      </c>
      <c r="Z262">
        <v>143.44999999999999</v>
      </c>
      <c r="AA262">
        <v>156.15</v>
      </c>
      <c r="AB262">
        <v>144.30000000000001</v>
      </c>
      <c r="AC262">
        <v>143.69999999999999</v>
      </c>
      <c r="AD262">
        <v>148.85</v>
      </c>
    </row>
    <row r="263" spans="1:30">
      <c r="A263" t="s">
        <v>30</v>
      </c>
      <c r="B263">
        <v>2020</v>
      </c>
      <c r="C263" t="s">
        <v>38</v>
      </c>
      <c r="D263">
        <v>145.80000000000001</v>
      </c>
      <c r="E263">
        <v>166.8</v>
      </c>
      <c r="F263">
        <v>147.25</v>
      </c>
      <c r="G263">
        <v>153.64999999999998</v>
      </c>
      <c r="H263">
        <v>135.19999999999999</v>
      </c>
      <c r="I263">
        <v>144.55000000000001</v>
      </c>
      <c r="J263">
        <v>157.5</v>
      </c>
      <c r="K263">
        <v>146</v>
      </c>
      <c r="L263">
        <v>116.19999999999999</v>
      </c>
      <c r="M263">
        <v>156.35</v>
      </c>
      <c r="N263">
        <v>139.64999999999998</v>
      </c>
      <c r="O263">
        <v>160</v>
      </c>
      <c r="P263">
        <v>149.14999999999998</v>
      </c>
      <c r="Q263">
        <v>170.5</v>
      </c>
      <c r="R263">
        <v>153.4</v>
      </c>
      <c r="S263">
        <v>147.6</v>
      </c>
      <c r="T263">
        <v>152.5</v>
      </c>
      <c r="U263" t="s">
        <v>32</v>
      </c>
      <c r="V263">
        <v>150.9</v>
      </c>
      <c r="W263">
        <v>151.5</v>
      </c>
      <c r="X263">
        <v>155.5</v>
      </c>
      <c r="Y263">
        <v>135.80000000000001</v>
      </c>
      <c r="Z263">
        <v>151.19999999999999</v>
      </c>
      <c r="AA263">
        <v>161.19999999999999</v>
      </c>
      <c r="AB263">
        <v>145.1</v>
      </c>
      <c r="AC263">
        <v>148.6</v>
      </c>
      <c r="AD263">
        <v>149.80000000000001</v>
      </c>
    </row>
    <row r="264" spans="1:30">
      <c r="A264" t="s">
        <v>33</v>
      </c>
      <c r="B264">
        <v>2020</v>
      </c>
      <c r="C264" t="s">
        <v>38</v>
      </c>
      <c r="D264">
        <v>149.15</v>
      </c>
      <c r="E264">
        <v>167.5</v>
      </c>
      <c r="F264">
        <v>150.4</v>
      </c>
      <c r="G264">
        <v>153.30000000000001</v>
      </c>
      <c r="H264">
        <v>129.55000000000001</v>
      </c>
      <c r="I264">
        <v>148.10000000000002</v>
      </c>
      <c r="J264">
        <v>173.5</v>
      </c>
      <c r="K264">
        <v>145.25</v>
      </c>
      <c r="L264">
        <v>117.80000000000001</v>
      </c>
      <c r="M264">
        <v>152.75</v>
      </c>
      <c r="N264">
        <v>132.69999999999999</v>
      </c>
      <c r="O264">
        <v>159.1</v>
      </c>
      <c r="P264">
        <v>151.80000000000001</v>
      </c>
      <c r="Q264">
        <v>173.3</v>
      </c>
      <c r="R264">
        <v>147.69999999999999</v>
      </c>
      <c r="S264">
        <v>133.80000000000001</v>
      </c>
      <c r="T264">
        <v>145.6</v>
      </c>
      <c r="U264">
        <v>155.05000000000001</v>
      </c>
      <c r="V264">
        <v>139.25</v>
      </c>
      <c r="W264">
        <v>140.80000000000001</v>
      </c>
      <c r="X264">
        <v>144.9</v>
      </c>
      <c r="Y264">
        <v>124.6</v>
      </c>
      <c r="Z264">
        <v>137.9</v>
      </c>
      <c r="AA264">
        <v>152.5</v>
      </c>
      <c r="AB264">
        <v>145.30000000000001</v>
      </c>
      <c r="AC264">
        <v>138.69999999999999</v>
      </c>
      <c r="AD264">
        <v>147.30000000000001</v>
      </c>
    </row>
    <row r="265" spans="1:30">
      <c r="A265" t="s">
        <v>34</v>
      </c>
      <c r="B265">
        <v>2020</v>
      </c>
      <c r="C265" t="s">
        <v>38</v>
      </c>
      <c r="D265">
        <v>146.89999999999998</v>
      </c>
      <c r="E265">
        <v>167</v>
      </c>
      <c r="F265">
        <v>148.44999999999999</v>
      </c>
      <c r="G265">
        <v>153.55000000000001</v>
      </c>
      <c r="H265">
        <v>133.14999999999998</v>
      </c>
      <c r="I265">
        <v>146.19999999999999</v>
      </c>
      <c r="J265">
        <v>162.94999999999999</v>
      </c>
      <c r="K265">
        <v>145.75</v>
      </c>
      <c r="L265">
        <v>116.75</v>
      </c>
      <c r="M265">
        <v>155.14999999999998</v>
      </c>
      <c r="N265">
        <v>136.75</v>
      </c>
      <c r="O265">
        <v>159.6</v>
      </c>
      <c r="P265">
        <v>150.15</v>
      </c>
      <c r="Q265">
        <v>171.2</v>
      </c>
      <c r="R265">
        <v>151.19999999999999</v>
      </c>
      <c r="S265">
        <v>141.9</v>
      </c>
      <c r="T265">
        <v>149.80000000000001</v>
      </c>
      <c r="U265">
        <v>155.05000000000001</v>
      </c>
      <c r="V265">
        <v>146.5</v>
      </c>
      <c r="W265">
        <v>146.4</v>
      </c>
      <c r="X265">
        <v>151.5</v>
      </c>
      <c r="Y265">
        <v>129.9</v>
      </c>
      <c r="Z265">
        <v>143.69999999999999</v>
      </c>
      <c r="AA265">
        <v>156.1</v>
      </c>
      <c r="AB265">
        <v>145.19999999999999</v>
      </c>
      <c r="AC265">
        <v>143.80000000000001</v>
      </c>
      <c r="AD265">
        <v>148.6</v>
      </c>
    </row>
    <row r="266" spans="1:30">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0506A-6E19-423B-A021-480E4030D023}">
  <dimension ref="A1:AF373"/>
  <sheetViews>
    <sheetView workbookViewId="0">
      <selection activeCell="J9" sqref="A1:AF373"/>
    </sheetView>
  </sheetViews>
  <sheetFormatPr defaultRowHeight="15"/>
  <cols>
    <col min="1" max="1" width="11.85546875" bestFit="1" customWidth="1"/>
    <col min="2" max="2" width="5" bestFit="1" customWidth="1"/>
    <col min="3" max="3" width="10.85546875" bestFit="1" customWidth="1"/>
    <col min="4" max="4" width="19.7109375" bestFit="1" customWidth="1"/>
    <col min="5" max="5" width="13.140625" bestFit="1" customWidth="1"/>
    <col min="6" max="6" width="7" bestFit="1" customWidth="1"/>
    <col min="7" max="7" width="16.85546875" bestFit="1" customWidth="1"/>
    <col min="8" max="8" width="11.85546875" bestFit="1" customWidth="1"/>
    <col min="9" max="9" width="7" bestFit="1" customWidth="1"/>
    <col min="10" max="10" width="11" bestFit="1" customWidth="1"/>
    <col min="11" max="11" width="18.85546875" bestFit="1" customWidth="1"/>
    <col min="12" max="12" width="23" bestFit="1" customWidth="1"/>
    <col min="13" max="13" width="7" bestFit="1" customWidth="1"/>
    <col min="14" max="14" width="23.28515625" bestFit="1" customWidth="1"/>
    <col min="15" max="15" width="33.28515625" bestFit="1" customWidth="1"/>
    <col min="16" max="16" width="33.28515625" customWidth="1"/>
    <col min="17" max="17" width="19" bestFit="1" customWidth="1"/>
    <col min="18" max="18" width="26.5703125" bestFit="1" customWidth="1"/>
    <col min="19" max="19" width="8.42578125" bestFit="1" customWidth="1"/>
    <col min="20" max="20" width="9.42578125" bestFit="1" customWidth="1"/>
    <col min="21" max="21" width="10.140625" bestFit="1" customWidth="1"/>
    <col min="22" max="22" width="21" bestFit="1" customWidth="1"/>
    <col min="23" max="23" width="8.140625" bestFit="1" customWidth="1"/>
    <col min="24" max="24" width="13.140625" bestFit="1" customWidth="1"/>
    <col min="25" max="25" width="28.140625" bestFit="1" customWidth="1"/>
    <col min="26" max="26" width="6.85546875" bestFit="1" customWidth="1"/>
    <col min="27" max="27" width="27.85546875" bestFit="1" customWidth="1"/>
    <col min="28" max="28" width="25.85546875" bestFit="1" customWidth="1"/>
    <col min="29" max="29" width="9.7109375" bestFit="1" customWidth="1"/>
    <col min="30" max="30" width="23.5703125" bestFit="1" customWidth="1"/>
    <col min="31" max="31" width="13.85546875" bestFit="1" customWidth="1"/>
    <col min="32" max="32" width="13.5703125" bestFit="1" customWidth="1"/>
  </cols>
  <sheetData>
    <row r="1" spans="1:32">
      <c r="A1" t="s">
        <v>0</v>
      </c>
      <c r="B1" t="s">
        <v>1</v>
      </c>
      <c r="C1" t="s">
        <v>2</v>
      </c>
      <c r="D1" t="s">
        <v>3</v>
      </c>
      <c r="E1" t="s">
        <v>4</v>
      </c>
      <c r="F1" t="s">
        <v>5</v>
      </c>
      <c r="G1" t="s">
        <v>6</v>
      </c>
      <c r="H1" t="s">
        <v>7</v>
      </c>
      <c r="I1" t="s">
        <v>8</v>
      </c>
      <c r="J1" t="s">
        <v>9</v>
      </c>
      <c r="K1" t="s">
        <v>10</v>
      </c>
      <c r="L1" t="s">
        <v>11</v>
      </c>
      <c r="M1" t="s">
        <v>12</v>
      </c>
      <c r="N1" t="s">
        <v>13</v>
      </c>
      <c r="O1" t="s">
        <v>14</v>
      </c>
      <c r="P1" t="s">
        <v>89</v>
      </c>
      <c r="Q1" t="s">
        <v>15</v>
      </c>
      <c r="R1" t="s">
        <v>16</v>
      </c>
      <c r="S1" t="s">
        <v>17</v>
      </c>
      <c r="T1" t="s">
        <v>18</v>
      </c>
      <c r="U1" t="s">
        <v>95</v>
      </c>
      <c r="V1" t="s">
        <v>19</v>
      </c>
      <c r="W1" t="s">
        <v>20</v>
      </c>
      <c r="X1" t="s">
        <v>21</v>
      </c>
      <c r="Y1" t="s">
        <v>22</v>
      </c>
      <c r="Z1" t="s">
        <v>23</v>
      </c>
      <c r="AA1" t="s">
        <v>24</v>
      </c>
      <c r="AB1" t="s">
        <v>25</v>
      </c>
      <c r="AC1" t="s">
        <v>26</v>
      </c>
      <c r="AD1" t="s">
        <v>27</v>
      </c>
      <c r="AE1" t="s">
        <v>28</v>
      </c>
      <c r="AF1" t="s">
        <v>29</v>
      </c>
    </row>
    <row r="2" spans="1:32">
      <c r="A2" t="s">
        <v>30</v>
      </c>
      <c r="B2">
        <v>2013</v>
      </c>
      <c r="C2" t="s">
        <v>31</v>
      </c>
      <c r="D2">
        <v>107.5</v>
      </c>
      <c r="E2">
        <v>106.3</v>
      </c>
      <c r="F2">
        <v>108.1</v>
      </c>
      <c r="G2">
        <v>104.9</v>
      </c>
      <c r="H2">
        <v>106.1</v>
      </c>
      <c r="I2">
        <v>103.9</v>
      </c>
      <c r="J2">
        <v>101.9</v>
      </c>
      <c r="K2">
        <v>106.1</v>
      </c>
      <c r="L2">
        <v>106.8</v>
      </c>
      <c r="M2">
        <v>103.1</v>
      </c>
      <c r="N2">
        <v>104.8</v>
      </c>
      <c r="O2">
        <v>106.7</v>
      </c>
      <c r="P2">
        <f>AVERAGE(D2:O2)</f>
        <v>105.51666666666665</v>
      </c>
      <c r="Q2">
        <v>105.5</v>
      </c>
      <c r="R2">
        <v>105.1</v>
      </c>
      <c r="S2">
        <v>106.5</v>
      </c>
      <c r="T2">
        <v>105.8</v>
      </c>
      <c r="U2">
        <f>AVERAGE(S2,T2)</f>
        <v>106.15</v>
      </c>
      <c r="V2">
        <v>106.4</v>
      </c>
      <c r="W2" t="s">
        <v>32</v>
      </c>
      <c r="X2">
        <v>105.5</v>
      </c>
      <c r="Y2">
        <v>104.8</v>
      </c>
      <c r="Z2">
        <v>104</v>
      </c>
      <c r="AA2">
        <v>103.3</v>
      </c>
      <c r="AB2">
        <v>103.4</v>
      </c>
      <c r="AC2">
        <v>103.8</v>
      </c>
      <c r="AD2">
        <v>104.7</v>
      </c>
      <c r="AE2">
        <v>104</v>
      </c>
      <c r="AF2">
        <v>105.1</v>
      </c>
    </row>
    <row r="3" spans="1:32">
      <c r="A3" t="s">
        <v>33</v>
      </c>
      <c r="B3">
        <v>2013</v>
      </c>
      <c r="C3" t="s">
        <v>31</v>
      </c>
      <c r="D3">
        <v>110.5</v>
      </c>
      <c r="E3">
        <v>109.1</v>
      </c>
      <c r="F3">
        <v>113</v>
      </c>
      <c r="G3">
        <v>103.6</v>
      </c>
      <c r="H3">
        <v>103.4</v>
      </c>
      <c r="I3">
        <v>102.3</v>
      </c>
      <c r="J3">
        <v>102.9</v>
      </c>
      <c r="K3">
        <v>105.8</v>
      </c>
      <c r="L3">
        <v>105.1</v>
      </c>
      <c r="M3">
        <v>101.8</v>
      </c>
      <c r="N3">
        <v>105.1</v>
      </c>
      <c r="O3">
        <v>107.9</v>
      </c>
      <c r="P3">
        <f t="shared" ref="P3:P66" si="0">AVERAGE(D3:O3)</f>
        <v>105.875</v>
      </c>
      <c r="Q3">
        <v>105.9</v>
      </c>
      <c r="R3">
        <v>105.2</v>
      </c>
      <c r="S3">
        <v>105.9</v>
      </c>
      <c r="T3">
        <v>105</v>
      </c>
      <c r="U3">
        <f t="shared" ref="U3:U66" si="1">AVERAGE(S3,T3)</f>
        <v>105.45</v>
      </c>
      <c r="V3">
        <v>105.8</v>
      </c>
      <c r="W3">
        <v>100.3</v>
      </c>
      <c r="X3">
        <v>105.4</v>
      </c>
      <c r="Y3">
        <v>104.8</v>
      </c>
      <c r="Z3">
        <v>104.1</v>
      </c>
      <c r="AA3">
        <v>103.2</v>
      </c>
      <c r="AB3">
        <v>102.9</v>
      </c>
      <c r="AC3">
        <v>103.5</v>
      </c>
      <c r="AD3">
        <v>104.3</v>
      </c>
      <c r="AE3">
        <v>103.7</v>
      </c>
      <c r="AF3">
        <v>104</v>
      </c>
    </row>
    <row r="4" spans="1:32">
      <c r="A4" t="s">
        <v>34</v>
      </c>
      <c r="B4">
        <v>2013</v>
      </c>
      <c r="C4" t="s">
        <v>31</v>
      </c>
      <c r="D4">
        <v>108.4</v>
      </c>
      <c r="E4">
        <v>107.3</v>
      </c>
      <c r="F4">
        <v>110</v>
      </c>
      <c r="G4">
        <v>104.4</v>
      </c>
      <c r="H4">
        <v>105.1</v>
      </c>
      <c r="I4">
        <v>103.2</v>
      </c>
      <c r="J4">
        <v>102.2</v>
      </c>
      <c r="K4">
        <v>106</v>
      </c>
      <c r="L4">
        <v>106.2</v>
      </c>
      <c r="M4">
        <v>102.7</v>
      </c>
      <c r="N4">
        <v>104.9</v>
      </c>
      <c r="O4">
        <v>107.3</v>
      </c>
      <c r="P4">
        <f t="shared" si="0"/>
        <v>105.64166666666669</v>
      </c>
      <c r="Q4">
        <v>105.6</v>
      </c>
      <c r="R4">
        <v>105.1</v>
      </c>
      <c r="S4">
        <v>106.3</v>
      </c>
      <c r="T4">
        <v>105.5</v>
      </c>
      <c r="U4">
        <f t="shared" si="1"/>
        <v>105.9</v>
      </c>
      <c r="V4">
        <v>106.2</v>
      </c>
      <c r="W4">
        <v>100.3</v>
      </c>
      <c r="X4">
        <v>105.5</v>
      </c>
      <c r="Y4">
        <v>104.8</v>
      </c>
      <c r="Z4">
        <v>104</v>
      </c>
      <c r="AA4">
        <v>103.2</v>
      </c>
      <c r="AB4">
        <v>103.1</v>
      </c>
      <c r="AC4">
        <v>103.6</v>
      </c>
      <c r="AD4">
        <v>104.5</v>
      </c>
      <c r="AE4">
        <v>103.9</v>
      </c>
      <c r="AF4">
        <v>104.6</v>
      </c>
    </row>
    <row r="5" spans="1:32">
      <c r="A5" t="s">
        <v>30</v>
      </c>
      <c r="B5">
        <v>2013</v>
      </c>
      <c r="C5" t="s">
        <v>35</v>
      </c>
      <c r="D5">
        <v>109.2</v>
      </c>
      <c r="E5">
        <v>108.7</v>
      </c>
      <c r="F5">
        <v>110.2</v>
      </c>
      <c r="G5">
        <v>105.4</v>
      </c>
      <c r="H5">
        <v>106.7</v>
      </c>
      <c r="I5">
        <v>104</v>
      </c>
      <c r="J5">
        <v>102.4</v>
      </c>
      <c r="K5">
        <v>105.9</v>
      </c>
      <c r="L5">
        <v>105.7</v>
      </c>
      <c r="M5">
        <v>103.1</v>
      </c>
      <c r="N5">
        <v>105.1</v>
      </c>
      <c r="O5">
        <v>107.7</v>
      </c>
      <c r="P5">
        <f t="shared" si="0"/>
        <v>106.175</v>
      </c>
      <c r="Q5">
        <v>106.3</v>
      </c>
      <c r="R5">
        <v>105.6</v>
      </c>
      <c r="S5">
        <v>107.1</v>
      </c>
      <c r="T5">
        <v>106.3</v>
      </c>
      <c r="U5">
        <f t="shared" si="1"/>
        <v>106.69999999999999</v>
      </c>
      <c r="V5">
        <v>107</v>
      </c>
      <c r="W5" t="s">
        <v>32</v>
      </c>
      <c r="X5">
        <v>106.2</v>
      </c>
      <c r="Y5">
        <v>105.2</v>
      </c>
      <c r="Z5">
        <v>104.4</v>
      </c>
      <c r="AA5">
        <v>103.9</v>
      </c>
      <c r="AB5">
        <v>104</v>
      </c>
      <c r="AC5">
        <v>104.1</v>
      </c>
      <c r="AD5">
        <v>104.6</v>
      </c>
      <c r="AE5">
        <v>104.4</v>
      </c>
      <c r="AF5">
        <v>105.8</v>
      </c>
    </row>
    <row r="6" spans="1:32">
      <c r="A6" t="s">
        <v>33</v>
      </c>
      <c r="B6">
        <v>2013</v>
      </c>
      <c r="C6" t="s">
        <v>35</v>
      </c>
      <c r="D6">
        <v>112.9</v>
      </c>
      <c r="E6">
        <v>112.9</v>
      </c>
      <c r="F6">
        <v>116.9</v>
      </c>
      <c r="G6">
        <v>104</v>
      </c>
      <c r="H6">
        <v>103.5</v>
      </c>
      <c r="I6">
        <v>103.1</v>
      </c>
      <c r="J6">
        <v>104.9</v>
      </c>
      <c r="K6">
        <v>104.1</v>
      </c>
      <c r="L6">
        <v>103.8</v>
      </c>
      <c r="M6">
        <v>102.3</v>
      </c>
      <c r="N6">
        <v>106</v>
      </c>
      <c r="O6">
        <v>109</v>
      </c>
      <c r="P6">
        <f t="shared" si="0"/>
        <v>106.95</v>
      </c>
      <c r="Q6">
        <v>107.2</v>
      </c>
      <c r="R6">
        <v>106</v>
      </c>
      <c r="S6">
        <v>106.6</v>
      </c>
      <c r="T6">
        <v>105.5</v>
      </c>
      <c r="U6">
        <f t="shared" si="1"/>
        <v>106.05</v>
      </c>
      <c r="V6">
        <v>106.4</v>
      </c>
      <c r="W6">
        <v>100.4</v>
      </c>
      <c r="X6">
        <v>105.7</v>
      </c>
      <c r="Y6">
        <v>105.2</v>
      </c>
      <c r="Z6">
        <v>104.7</v>
      </c>
      <c r="AA6">
        <v>104.4</v>
      </c>
      <c r="AB6">
        <v>103.3</v>
      </c>
      <c r="AC6">
        <v>103.7</v>
      </c>
      <c r="AD6">
        <v>104.3</v>
      </c>
      <c r="AE6">
        <v>104.3</v>
      </c>
      <c r="AF6">
        <v>104.7</v>
      </c>
    </row>
    <row r="7" spans="1:32">
      <c r="A7" t="s">
        <v>34</v>
      </c>
      <c r="B7">
        <v>2013</v>
      </c>
      <c r="C7" t="s">
        <v>35</v>
      </c>
      <c r="D7">
        <v>110.4</v>
      </c>
      <c r="E7">
        <v>110.2</v>
      </c>
      <c r="F7">
        <v>112.8</v>
      </c>
      <c r="G7">
        <v>104.9</v>
      </c>
      <c r="H7">
        <v>105.5</v>
      </c>
      <c r="I7">
        <v>103.6</v>
      </c>
      <c r="J7">
        <v>103.2</v>
      </c>
      <c r="K7">
        <v>105.3</v>
      </c>
      <c r="L7">
        <v>105.1</v>
      </c>
      <c r="M7">
        <v>102.8</v>
      </c>
      <c r="N7">
        <v>105.5</v>
      </c>
      <c r="O7">
        <v>108.3</v>
      </c>
      <c r="P7">
        <f t="shared" si="0"/>
        <v>106.46666666666668</v>
      </c>
      <c r="Q7">
        <v>106.6</v>
      </c>
      <c r="R7">
        <v>105.7</v>
      </c>
      <c r="S7">
        <v>106.9</v>
      </c>
      <c r="T7">
        <v>106</v>
      </c>
      <c r="U7">
        <f t="shared" si="1"/>
        <v>106.45</v>
      </c>
      <c r="V7">
        <v>106.8</v>
      </c>
      <c r="W7">
        <v>100.4</v>
      </c>
      <c r="X7">
        <v>106</v>
      </c>
      <c r="Y7">
        <v>105.2</v>
      </c>
      <c r="Z7">
        <v>104.5</v>
      </c>
      <c r="AA7">
        <v>104.2</v>
      </c>
      <c r="AB7">
        <v>103.6</v>
      </c>
      <c r="AC7">
        <v>103.9</v>
      </c>
      <c r="AD7">
        <v>104.5</v>
      </c>
      <c r="AE7">
        <v>104.4</v>
      </c>
      <c r="AF7">
        <v>105.3</v>
      </c>
    </row>
    <row r="8" spans="1:32">
      <c r="A8" t="s">
        <v>30</v>
      </c>
      <c r="B8">
        <v>2013</v>
      </c>
      <c r="C8" t="s">
        <v>36</v>
      </c>
      <c r="D8">
        <v>110.2</v>
      </c>
      <c r="E8">
        <v>108.8</v>
      </c>
      <c r="F8">
        <v>109.9</v>
      </c>
      <c r="G8">
        <v>105.6</v>
      </c>
      <c r="H8">
        <v>106.2</v>
      </c>
      <c r="I8">
        <v>105.7</v>
      </c>
      <c r="J8">
        <v>101.4</v>
      </c>
      <c r="K8">
        <v>105.7</v>
      </c>
      <c r="L8">
        <v>105</v>
      </c>
      <c r="M8">
        <v>103.3</v>
      </c>
      <c r="N8">
        <v>105.6</v>
      </c>
      <c r="O8">
        <v>108.2</v>
      </c>
      <c r="P8">
        <f t="shared" si="0"/>
        <v>106.30000000000001</v>
      </c>
      <c r="Q8">
        <v>106.6</v>
      </c>
      <c r="R8">
        <v>106.5</v>
      </c>
      <c r="S8">
        <v>107.6</v>
      </c>
      <c r="T8">
        <v>106.8</v>
      </c>
      <c r="U8">
        <f t="shared" si="1"/>
        <v>107.19999999999999</v>
      </c>
      <c r="V8">
        <v>107.5</v>
      </c>
      <c r="W8" t="s">
        <v>32</v>
      </c>
      <c r="X8">
        <v>106.1</v>
      </c>
      <c r="Y8">
        <v>105.6</v>
      </c>
      <c r="Z8">
        <v>104.7</v>
      </c>
      <c r="AA8">
        <v>104.6</v>
      </c>
      <c r="AB8">
        <v>104</v>
      </c>
      <c r="AC8">
        <v>104.3</v>
      </c>
      <c r="AD8">
        <v>104.3</v>
      </c>
      <c r="AE8">
        <v>104.6</v>
      </c>
      <c r="AF8">
        <v>106</v>
      </c>
    </row>
    <row r="9" spans="1:32">
      <c r="A9" t="s">
        <v>33</v>
      </c>
      <c r="B9">
        <v>2013</v>
      </c>
      <c r="C9" t="s">
        <v>36</v>
      </c>
      <c r="D9">
        <v>113.9</v>
      </c>
      <c r="E9">
        <v>111.4</v>
      </c>
      <c r="F9">
        <v>113.2</v>
      </c>
      <c r="G9">
        <v>104.3</v>
      </c>
      <c r="H9">
        <v>102.7</v>
      </c>
      <c r="I9">
        <v>104.9</v>
      </c>
      <c r="J9">
        <v>103.8</v>
      </c>
      <c r="K9">
        <v>103.5</v>
      </c>
      <c r="L9">
        <v>102.6</v>
      </c>
      <c r="M9">
        <v>102.4</v>
      </c>
      <c r="N9">
        <v>107</v>
      </c>
      <c r="O9">
        <v>109.8</v>
      </c>
      <c r="P9">
        <f t="shared" si="0"/>
        <v>106.625</v>
      </c>
      <c r="Q9">
        <v>107.3</v>
      </c>
      <c r="R9">
        <v>106.8</v>
      </c>
      <c r="S9">
        <v>107.2</v>
      </c>
      <c r="T9">
        <v>106</v>
      </c>
      <c r="U9">
        <f t="shared" si="1"/>
        <v>106.6</v>
      </c>
      <c r="V9">
        <v>107</v>
      </c>
      <c r="W9">
        <v>100.4</v>
      </c>
      <c r="X9">
        <v>106</v>
      </c>
      <c r="Y9">
        <v>105.7</v>
      </c>
      <c r="Z9">
        <v>105.2</v>
      </c>
      <c r="AA9">
        <v>105.5</v>
      </c>
      <c r="AB9">
        <v>103.5</v>
      </c>
      <c r="AC9">
        <v>103.8</v>
      </c>
      <c r="AD9">
        <v>104.2</v>
      </c>
      <c r="AE9">
        <v>104.9</v>
      </c>
      <c r="AF9">
        <v>105</v>
      </c>
    </row>
    <row r="10" spans="1:32">
      <c r="A10" t="s">
        <v>34</v>
      </c>
      <c r="B10">
        <v>2013</v>
      </c>
      <c r="C10" t="s">
        <v>36</v>
      </c>
      <c r="D10">
        <v>111.4</v>
      </c>
      <c r="E10">
        <v>109.7</v>
      </c>
      <c r="F10">
        <v>111.2</v>
      </c>
      <c r="G10">
        <v>105.1</v>
      </c>
      <c r="H10">
        <v>104.9</v>
      </c>
      <c r="I10">
        <v>105.3</v>
      </c>
      <c r="J10">
        <v>102.2</v>
      </c>
      <c r="K10">
        <v>105</v>
      </c>
      <c r="L10">
        <v>104.2</v>
      </c>
      <c r="M10">
        <v>103</v>
      </c>
      <c r="N10">
        <v>106.2</v>
      </c>
      <c r="O10">
        <v>108.9</v>
      </c>
      <c r="P10">
        <f t="shared" si="0"/>
        <v>106.42500000000001</v>
      </c>
      <c r="Q10">
        <v>106.9</v>
      </c>
      <c r="R10">
        <v>106.6</v>
      </c>
      <c r="S10">
        <v>107.4</v>
      </c>
      <c r="T10">
        <v>106.5</v>
      </c>
      <c r="U10">
        <f t="shared" si="1"/>
        <v>106.95</v>
      </c>
      <c r="V10">
        <v>107.3</v>
      </c>
      <c r="W10">
        <v>100.4</v>
      </c>
      <c r="X10">
        <v>106.1</v>
      </c>
      <c r="Y10">
        <v>105.6</v>
      </c>
      <c r="Z10">
        <v>104.9</v>
      </c>
      <c r="AA10">
        <v>105.1</v>
      </c>
      <c r="AB10">
        <v>103.7</v>
      </c>
      <c r="AC10">
        <v>104</v>
      </c>
      <c r="AD10">
        <v>104.3</v>
      </c>
      <c r="AE10">
        <v>104.7</v>
      </c>
      <c r="AF10">
        <v>105.5</v>
      </c>
    </row>
    <row r="11" spans="1:32">
      <c r="A11" t="s">
        <v>30</v>
      </c>
      <c r="B11">
        <v>2013</v>
      </c>
      <c r="C11" t="s">
        <v>37</v>
      </c>
      <c r="D11">
        <v>110.2</v>
      </c>
      <c r="E11">
        <v>109.5</v>
      </c>
      <c r="F11">
        <v>106.9</v>
      </c>
      <c r="G11">
        <v>106.3</v>
      </c>
      <c r="H11">
        <v>105.7</v>
      </c>
      <c r="I11">
        <v>108.3</v>
      </c>
      <c r="J11">
        <v>103.4</v>
      </c>
      <c r="K11">
        <v>105.7</v>
      </c>
      <c r="L11">
        <v>104.2</v>
      </c>
      <c r="M11">
        <v>103.2</v>
      </c>
      <c r="N11">
        <v>106.5</v>
      </c>
      <c r="O11">
        <v>108.8</v>
      </c>
      <c r="P11">
        <f t="shared" si="0"/>
        <v>106.55833333333334</v>
      </c>
      <c r="Q11">
        <v>107.1</v>
      </c>
      <c r="R11">
        <v>107.1</v>
      </c>
      <c r="S11">
        <v>108.1</v>
      </c>
      <c r="T11">
        <v>107.4</v>
      </c>
      <c r="U11">
        <f t="shared" si="1"/>
        <v>107.75</v>
      </c>
      <c r="V11">
        <v>108</v>
      </c>
      <c r="W11" t="s">
        <v>32</v>
      </c>
      <c r="X11">
        <v>106.5</v>
      </c>
      <c r="Y11">
        <v>106.1</v>
      </c>
      <c r="Z11">
        <v>105.1</v>
      </c>
      <c r="AA11">
        <v>104.4</v>
      </c>
      <c r="AB11">
        <v>104.5</v>
      </c>
      <c r="AC11">
        <v>104.8</v>
      </c>
      <c r="AD11">
        <v>102.7</v>
      </c>
      <c r="AE11">
        <v>104.6</v>
      </c>
      <c r="AF11">
        <v>106.4</v>
      </c>
    </row>
    <row r="12" spans="1:32">
      <c r="A12" t="s">
        <v>33</v>
      </c>
      <c r="B12">
        <v>2013</v>
      </c>
      <c r="C12" t="s">
        <v>37</v>
      </c>
      <c r="D12">
        <v>114.6</v>
      </c>
      <c r="E12">
        <v>113.4</v>
      </c>
      <c r="F12">
        <v>106</v>
      </c>
      <c r="G12">
        <v>104.7</v>
      </c>
      <c r="H12">
        <v>102.1</v>
      </c>
      <c r="I12">
        <v>109.5</v>
      </c>
      <c r="J12">
        <v>109.7</v>
      </c>
      <c r="K12">
        <v>104.6</v>
      </c>
      <c r="L12">
        <v>102</v>
      </c>
      <c r="M12">
        <v>103.5</v>
      </c>
      <c r="N12">
        <v>108.2</v>
      </c>
      <c r="O12">
        <v>110.6</v>
      </c>
      <c r="P12">
        <f t="shared" si="0"/>
        <v>107.40833333333332</v>
      </c>
      <c r="Q12">
        <v>108.8</v>
      </c>
      <c r="R12">
        <v>108.5</v>
      </c>
      <c r="S12">
        <v>107.9</v>
      </c>
      <c r="T12">
        <v>106.4</v>
      </c>
      <c r="U12">
        <f t="shared" si="1"/>
        <v>107.15</v>
      </c>
      <c r="V12">
        <v>107.7</v>
      </c>
      <c r="W12">
        <v>100.5</v>
      </c>
      <c r="X12">
        <v>106.4</v>
      </c>
      <c r="Y12">
        <v>106.5</v>
      </c>
      <c r="Z12">
        <v>105.7</v>
      </c>
      <c r="AA12">
        <v>105</v>
      </c>
      <c r="AB12">
        <v>104</v>
      </c>
      <c r="AC12">
        <v>105.2</v>
      </c>
      <c r="AD12">
        <v>103.2</v>
      </c>
      <c r="AE12">
        <v>105.1</v>
      </c>
      <c r="AF12">
        <v>105.7</v>
      </c>
    </row>
    <row r="13" spans="1:32">
      <c r="A13" t="s">
        <v>34</v>
      </c>
      <c r="B13">
        <v>2013</v>
      </c>
      <c r="C13" t="s">
        <v>37</v>
      </c>
      <c r="D13">
        <v>111.6</v>
      </c>
      <c r="E13">
        <v>110.9</v>
      </c>
      <c r="F13">
        <v>106.6</v>
      </c>
      <c r="G13">
        <v>105.7</v>
      </c>
      <c r="H13">
        <v>104.4</v>
      </c>
      <c r="I13">
        <v>108.9</v>
      </c>
      <c r="J13">
        <v>105.5</v>
      </c>
      <c r="K13">
        <v>105.3</v>
      </c>
      <c r="L13">
        <v>103.5</v>
      </c>
      <c r="M13">
        <v>103.3</v>
      </c>
      <c r="N13">
        <v>107.2</v>
      </c>
      <c r="O13">
        <v>109.6</v>
      </c>
      <c r="P13">
        <f t="shared" si="0"/>
        <v>106.875</v>
      </c>
      <c r="Q13">
        <v>107.7</v>
      </c>
      <c r="R13">
        <v>107.5</v>
      </c>
      <c r="S13">
        <v>108</v>
      </c>
      <c r="T13">
        <v>107</v>
      </c>
      <c r="U13">
        <f t="shared" si="1"/>
        <v>107.5</v>
      </c>
      <c r="V13">
        <v>107.9</v>
      </c>
      <c r="W13">
        <v>100.5</v>
      </c>
      <c r="X13">
        <v>106.5</v>
      </c>
      <c r="Y13">
        <v>106.3</v>
      </c>
      <c r="Z13">
        <v>105.3</v>
      </c>
      <c r="AA13">
        <v>104.7</v>
      </c>
      <c r="AB13">
        <v>104.2</v>
      </c>
      <c r="AC13">
        <v>105</v>
      </c>
      <c r="AD13">
        <v>102.9</v>
      </c>
      <c r="AE13">
        <v>104.8</v>
      </c>
      <c r="AF13">
        <v>106.1</v>
      </c>
    </row>
    <row r="14" spans="1:32">
      <c r="A14" t="s">
        <v>30</v>
      </c>
      <c r="B14">
        <v>2013</v>
      </c>
      <c r="C14" t="s">
        <v>38</v>
      </c>
      <c r="D14">
        <v>110.9</v>
      </c>
      <c r="E14">
        <v>109.8</v>
      </c>
      <c r="F14">
        <v>105.9</v>
      </c>
      <c r="G14">
        <v>107.5</v>
      </c>
      <c r="H14">
        <v>105.3</v>
      </c>
      <c r="I14">
        <v>108.1</v>
      </c>
      <c r="J14">
        <v>107.3</v>
      </c>
      <c r="K14">
        <v>106.1</v>
      </c>
      <c r="L14">
        <v>103.7</v>
      </c>
      <c r="M14">
        <v>104</v>
      </c>
      <c r="N14">
        <v>107.4</v>
      </c>
      <c r="O14">
        <v>109.9</v>
      </c>
      <c r="P14">
        <f t="shared" si="0"/>
        <v>107.15833333333335</v>
      </c>
      <c r="Q14">
        <v>108.1</v>
      </c>
      <c r="R14">
        <v>108.1</v>
      </c>
      <c r="S14">
        <v>108.8</v>
      </c>
      <c r="T14">
        <v>107.9</v>
      </c>
      <c r="U14">
        <f t="shared" si="1"/>
        <v>108.35</v>
      </c>
      <c r="V14">
        <v>108.6</v>
      </c>
      <c r="W14" t="s">
        <v>32</v>
      </c>
      <c r="X14">
        <v>107.5</v>
      </c>
      <c r="Y14">
        <v>106.8</v>
      </c>
      <c r="Z14">
        <v>105.7</v>
      </c>
      <c r="AA14">
        <v>104.1</v>
      </c>
      <c r="AB14">
        <v>105</v>
      </c>
      <c r="AC14">
        <v>105.5</v>
      </c>
      <c r="AD14">
        <v>102.1</v>
      </c>
      <c r="AE14">
        <v>104.8</v>
      </c>
      <c r="AF14">
        <v>107.2</v>
      </c>
    </row>
    <row r="15" spans="1:32">
      <c r="A15" t="s">
        <v>33</v>
      </c>
      <c r="B15">
        <v>2013</v>
      </c>
      <c r="C15" t="s">
        <v>38</v>
      </c>
      <c r="D15">
        <v>115.4</v>
      </c>
      <c r="E15">
        <v>114.2</v>
      </c>
      <c r="F15">
        <v>102.7</v>
      </c>
      <c r="G15">
        <v>105.5</v>
      </c>
      <c r="H15">
        <v>101.5</v>
      </c>
      <c r="I15">
        <v>110.6</v>
      </c>
      <c r="J15">
        <v>123.7</v>
      </c>
      <c r="K15">
        <v>105.2</v>
      </c>
      <c r="L15">
        <v>101.9</v>
      </c>
      <c r="M15">
        <v>105</v>
      </c>
      <c r="N15">
        <v>109.1</v>
      </c>
      <c r="O15">
        <v>111.3</v>
      </c>
      <c r="P15">
        <f t="shared" si="0"/>
        <v>108.84166666666665</v>
      </c>
      <c r="Q15">
        <v>111.1</v>
      </c>
      <c r="R15">
        <v>109.8</v>
      </c>
      <c r="S15">
        <v>108.5</v>
      </c>
      <c r="T15">
        <v>106.7</v>
      </c>
      <c r="U15">
        <f t="shared" si="1"/>
        <v>107.6</v>
      </c>
      <c r="V15">
        <v>108.3</v>
      </c>
      <c r="W15">
        <v>100.5</v>
      </c>
      <c r="X15">
        <v>107.2</v>
      </c>
      <c r="Y15">
        <v>107.1</v>
      </c>
      <c r="Z15">
        <v>106.2</v>
      </c>
      <c r="AA15">
        <v>103.9</v>
      </c>
      <c r="AB15">
        <v>104.6</v>
      </c>
      <c r="AC15">
        <v>105.7</v>
      </c>
      <c r="AD15">
        <v>102.6</v>
      </c>
      <c r="AE15">
        <v>104.9</v>
      </c>
      <c r="AF15">
        <v>106.6</v>
      </c>
    </row>
    <row r="16" spans="1:32">
      <c r="A16" t="s">
        <v>34</v>
      </c>
      <c r="B16">
        <v>2013</v>
      </c>
      <c r="C16" t="s">
        <v>38</v>
      </c>
      <c r="D16">
        <v>112.3</v>
      </c>
      <c r="E16">
        <v>111.3</v>
      </c>
      <c r="F16">
        <v>104.7</v>
      </c>
      <c r="G16">
        <v>106.8</v>
      </c>
      <c r="H16">
        <v>103.9</v>
      </c>
      <c r="I16">
        <v>109.3</v>
      </c>
      <c r="J16">
        <v>112.9</v>
      </c>
      <c r="K16">
        <v>105.8</v>
      </c>
      <c r="L16">
        <v>103.1</v>
      </c>
      <c r="M16">
        <v>104.3</v>
      </c>
      <c r="N16">
        <v>108.1</v>
      </c>
      <c r="O16">
        <v>110.5</v>
      </c>
      <c r="P16">
        <f t="shared" si="0"/>
        <v>107.74999999999999</v>
      </c>
      <c r="Q16">
        <v>109.2</v>
      </c>
      <c r="R16">
        <v>108.6</v>
      </c>
      <c r="S16">
        <v>108.7</v>
      </c>
      <c r="T16">
        <v>107.4</v>
      </c>
      <c r="U16">
        <f t="shared" si="1"/>
        <v>108.05000000000001</v>
      </c>
      <c r="V16">
        <v>108.5</v>
      </c>
      <c r="W16">
        <v>100.5</v>
      </c>
      <c r="X16">
        <v>107.4</v>
      </c>
      <c r="Y16">
        <v>106.9</v>
      </c>
      <c r="Z16">
        <v>105.9</v>
      </c>
      <c r="AA16">
        <v>104</v>
      </c>
      <c r="AB16">
        <v>104.8</v>
      </c>
      <c r="AC16">
        <v>105.6</v>
      </c>
      <c r="AD16">
        <v>102.3</v>
      </c>
      <c r="AE16">
        <v>104.8</v>
      </c>
      <c r="AF16">
        <v>106.9</v>
      </c>
    </row>
    <row r="17" spans="1:32">
      <c r="A17" t="s">
        <v>30</v>
      </c>
      <c r="B17">
        <v>2013</v>
      </c>
      <c r="C17" t="s">
        <v>39</v>
      </c>
      <c r="D17">
        <v>112.3</v>
      </c>
      <c r="E17">
        <v>112.1</v>
      </c>
      <c r="F17">
        <v>108.1</v>
      </c>
      <c r="G17">
        <v>108.3</v>
      </c>
      <c r="H17">
        <v>105.9</v>
      </c>
      <c r="I17">
        <v>109.2</v>
      </c>
      <c r="J17">
        <v>118</v>
      </c>
      <c r="K17">
        <v>106.8</v>
      </c>
      <c r="L17">
        <v>104.1</v>
      </c>
      <c r="M17">
        <v>105.4</v>
      </c>
      <c r="N17">
        <v>108.2</v>
      </c>
      <c r="O17">
        <v>111</v>
      </c>
      <c r="P17">
        <f t="shared" si="0"/>
        <v>109.11666666666667</v>
      </c>
      <c r="Q17">
        <v>110.6</v>
      </c>
      <c r="R17">
        <v>109</v>
      </c>
      <c r="S17">
        <v>109.7</v>
      </c>
      <c r="T17">
        <v>108.8</v>
      </c>
      <c r="U17">
        <f t="shared" si="1"/>
        <v>109.25</v>
      </c>
      <c r="V17">
        <v>109.5</v>
      </c>
      <c r="W17" t="s">
        <v>32</v>
      </c>
      <c r="X17">
        <v>108.5</v>
      </c>
      <c r="Y17">
        <v>107.5</v>
      </c>
      <c r="Z17">
        <v>106.3</v>
      </c>
      <c r="AA17">
        <v>105</v>
      </c>
      <c r="AB17">
        <v>105.6</v>
      </c>
      <c r="AC17">
        <v>106.5</v>
      </c>
      <c r="AD17">
        <v>102.5</v>
      </c>
      <c r="AE17">
        <v>105.5</v>
      </c>
      <c r="AF17">
        <v>108.9</v>
      </c>
    </row>
    <row r="18" spans="1:32">
      <c r="A18" t="s">
        <v>33</v>
      </c>
      <c r="B18">
        <v>2013</v>
      </c>
      <c r="C18" t="s">
        <v>39</v>
      </c>
      <c r="D18">
        <v>117</v>
      </c>
      <c r="E18">
        <v>120.1</v>
      </c>
      <c r="F18">
        <v>112.5</v>
      </c>
      <c r="G18">
        <v>107.3</v>
      </c>
      <c r="H18">
        <v>101.3</v>
      </c>
      <c r="I18">
        <v>112.4</v>
      </c>
      <c r="J18">
        <v>143.6</v>
      </c>
      <c r="K18">
        <v>105.4</v>
      </c>
      <c r="L18">
        <v>101.4</v>
      </c>
      <c r="M18">
        <v>106.4</v>
      </c>
      <c r="N18">
        <v>110</v>
      </c>
      <c r="O18">
        <v>112.2</v>
      </c>
      <c r="P18">
        <f t="shared" si="0"/>
        <v>112.46666666666668</v>
      </c>
      <c r="Q18">
        <v>115</v>
      </c>
      <c r="R18">
        <v>110.9</v>
      </c>
      <c r="S18">
        <v>109.2</v>
      </c>
      <c r="T18">
        <v>107.2</v>
      </c>
      <c r="U18">
        <f t="shared" si="1"/>
        <v>108.2</v>
      </c>
      <c r="V18">
        <v>108.9</v>
      </c>
      <c r="W18">
        <v>106.6</v>
      </c>
      <c r="X18">
        <v>108</v>
      </c>
      <c r="Y18">
        <v>107.7</v>
      </c>
      <c r="Z18">
        <v>106.5</v>
      </c>
      <c r="AA18">
        <v>105.2</v>
      </c>
      <c r="AB18">
        <v>105.2</v>
      </c>
      <c r="AC18">
        <v>108.1</v>
      </c>
      <c r="AD18">
        <v>103.3</v>
      </c>
      <c r="AE18">
        <v>106.1</v>
      </c>
      <c r="AF18">
        <v>109.7</v>
      </c>
    </row>
    <row r="19" spans="1:32">
      <c r="A19" t="s">
        <v>34</v>
      </c>
      <c r="B19">
        <v>2013</v>
      </c>
      <c r="C19" t="s">
        <v>39</v>
      </c>
      <c r="D19">
        <v>113.8</v>
      </c>
      <c r="E19">
        <v>114.9</v>
      </c>
      <c r="F19">
        <v>109.8</v>
      </c>
      <c r="G19">
        <v>107.9</v>
      </c>
      <c r="H19">
        <v>104.2</v>
      </c>
      <c r="I19">
        <v>110.7</v>
      </c>
      <c r="J19">
        <v>126.7</v>
      </c>
      <c r="K19">
        <v>106.3</v>
      </c>
      <c r="L19">
        <v>103.2</v>
      </c>
      <c r="M19">
        <v>105.7</v>
      </c>
      <c r="N19">
        <v>109</v>
      </c>
      <c r="O19">
        <v>111.6</v>
      </c>
      <c r="P19">
        <f t="shared" si="0"/>
        <v>110.31666666666666</v>
      </c>
      <c r="Q19">
        <v>112.2</v>
      </c>
      <c r="R19">
        <v>109.5</v>
      </c>
      <c r="S19">
        <v>109.5</v>
      </c>
      <c r="T19">
        <v>108.1</v>
      </c>
      <c r="U19">
        <f t="shared" si="1"/>
        <v>108.8</v>
      </c>
      <c r="V19">
        <v>109.3</v>
      </c>
      <c r="W19">
        <v>106.6</v>
      </c>
      <c r="X19">
        <v>108.3</v>
      </c>
      <c r="Y19">
        <v>107.6</v>
      </c>
      <c r="Z19">
        <v>106.4</v>
      </c>
      <c r="AA19">
        <v>105.1</v>
      </c>
      <c r="AB19">
        <v>105.4</v>
      </c>
      <c r="AC19">
        <v>107.4</v>
      </c>
      <c r="AD19">
        <v>102.8</v>
      </c>
      <c r="AE19">
        <v>105.8</v>
      </c>
      <c r="AF19">
        <v>109.3</v>
      </c>
    </row>
    <row r="20" spans="1:32">
      <c r="A20" t="s">
        <v>30</v>
      </c>
      <c r="B20">
        <v>2013</v>
      </c>
      <c r="C20" t="s">
        <v>40</v>
      </c>
      <c r="D20">
        <v>113.4</v>
      </c>
      <c r="E20">
        <v>114.9</v>
      </c>
      <c r="F20">
        <v>110.5</v>
      </c>
      <c r="G20">
        <v>109.3</v>
      </c>
      <c r="H20">
        <v>106.2</v>
      </c>
      <c r="I20">
        <v>110.3</v>
      </c>
      <c r="J20">
        <v>129.19999999999999</v>
      </c>
      <c r="K20">
        <v>107.1</v>
      </c>
      <c r="L20">
        <v>104.3</v>
      </c>
      <c r="M20">
        <v>106.4</v>
      </c>
      <c r="N20">
        <v>109.1</v>
      </c>
      <c r="O20">
        <v>112.1</v>
      </c>
      <c r="P20">
        <f t="shared" si="0"/>
        <v>111.06666666666665</v>
      </c>
      <c r="Q20">
        <v>113.1</v>
      </c>
      <c r="R20">
        <v>109.8</v>
      </c>
      <c r="S20">
        <v>110.5</v>
      </c>
      <c r="T20">
        <v>109.5</v>
      </c>
      <c r="U20">
        <f t="shared" si="1"/>
        <v>110</v>
      </c>
      <c r="V20">
        <v>110.3</v>
      </c>
      <c r="W20" t="s">
        <v>32</v>
      </c>
      <c r="X20">
        <v>109.5</v>
      </c>
      <c r="Y20">
        <v>108.3</v>
      </c>
      <c r="Z20">
        <v>106.9</v>
      </c>
      <c r="AA20">
        <v>106.8</v>
      </c>
      <c r="AB20">
        <v>106.4</v>
      </c>
      <c r="AC20">
        <v>107.8</v>
      </c>
      <c r="AD20">
        <v>102.5</v>
      </c>
      <c r="AE20">
        <v>106.5</v>
      </c>
      <c r="AF20">
        <v>110.7</v>
      </c>
    </row>
    <row r="21" spans="1:32">
      <c r="A21" t="s">
        <v>33</v>
      </c>
      <c r="B21">
        <v>2013</v>
      </c>
      <c r="C21" t="s">
        <v>40</v>
      </c>
      <c r="D21">
        <v>117.8</v>
      </c>
      <c r="E21">
        <v>119.2</v>
      </c>
      <c r="F21">
        <v>114</v>
      </c>
      <c r="G21">
        <v>108.3</v>
      </c>
      <c r="H21">
        <v>101.1</v>
      </c>
      <c r="I21">
        <v>113.2</v>
      </c>
      <c r="J21">
        <v>160.9</v>
      </c>
      <c r="K21">
        <v>105.1</v>
      </c>
      <c r="L21">
        <v>101.3</v>
      </c>
      <c r="M21">
        <v>107.5</v>
      </c>
      <c r="N21">
        <v>110.4</v>
      </c>
      <c r="O21">
        <v>113.1</v>
      </c>
      <c r="P21">
        <f t="shared" si="0"/>
        <v>114.325</v>
      </c>
      <c r="Q21">
        <v>117.5</v>
      </c>
      <c r="R21">
        <v>111.7</v>
      </c>
      <c r="S21">
        <v>109.8</v>
      </c>
      <c r="T21">
        <v>107.8</v>
      </c>
      <c r="U21">
        <f t="shared" si="1"/>
        <v>108.8</v>
      </c>
      <c r="V21">
        <v>109.5</v>
      </c>
      <c r="W21">
        <v>107.7</v>
      </c>
      <c r="X21">
        <v>108.6</v>
      </c>
      <c r="Y21">
        <v>108.1</v>
      </c>
      <c r="Z21">
        <v>107.1</v>
      </c>
      <c r="AA21">
        <v>107.3</v>
      </c>
      <c r="AB21">
        <v>105.9</v>
      </c>
      <c r="AC21">
        <v>110.1</v>
      </c>
      <c r="AD21">
        <v>103.2</v>
      </c>
      <c r="AE21">
        <v>107.3</v>
      </c>
      <c r="AF21">
        <v>111.4</v>
      </c>
    </row>
    <row r="22" spans="1:32">
      <c r="A22" t="s">
        <v>34</v>
      </c>
      <c r="B22">
        <v>2013</v>
      </c>
      <c r="C22" t="s">
        <v>40</v>
      </c>
      <c r="D22">
        <v>114.8</v>
      </c>
      <c r="E22">
        <v>116.4</v>
      </c>
      <c r="F22">
        <v>111.9</v>
      </c>
      <c r="G22">
        <v>108.9</v>
      </c>
      <c r="H22">
        <v>104.3</v>
      </c>
      <c r="I22">
        <v>111.7</v>
      </c>
      <c r="J22">
        <v>140</v>
      </c>
      <c r="K22">
        <v>106.4</v>
      </c>
      <c r="L22">
        <v>103.3</v>
      </c>
      <c r="M22">
        <v>106.8</v>
      </c>
      <c r="N22">
        <v>109.6</v>
      </c>
      <c r="O22">
        <v>112.6</v>
      </c>
      <c r="P22">
        <f t="shared" si="0"/>
        <v>112.22499999999998</v>
      </c>
      <c r="Q22">
        <v>114.7</v>
      </c>
      <c r="R22">
        <v>110.3</v>
      </c>
      <c r="S22">
        <v>110.2</v>
      </c>
      <c r="T22">
        <v>108.8</v>
      </c>
      <c r="U22">
        <f t="shared" si="1"/>
        <v>109.5</v>
      </c>
      <c r="V22">
        <v>110</v>
      </c>
      <c r="W22">
        <v>107.7</v>
      </c>
      <c r="X22">
        <v>109.2</v>
      </c>
      <c r="Y22">
        <v>108.2</v>
      </c>
      <c r="Z22">
        <v>107</v>
      </c>
      <c r="AA22">
        <v>107.1</v>
      </c>
      <c r="AB22">
        <v>106.1</v>
      </c>
      <c r="AC22">
        <v>109.1</v>
      </c>
      <c r="AD22">
        <v>102.8</v>
      </c>
      <c r="AE22">
        <v>106.9</v>
      </c>
      <c r="AF22">
        <v>111</v>
      </c>
    </row>
    <row r="23" spans="1:32">
      <c r="A23" t="s">
        <v>30</v>
      </c>
      <c r="B23">
        <v>2013</v>
      </c>
      <c r="C23" t="s">
        <v>41</v>
      </c>
      <c r="D23">
        <v>114.3</v>
      </c>
      <c r="E23">
        <v>115.4</v>
      </c>
      <c r="F23">
        <v>111.1</v>
      </c>
      <c r="G23">
        <v>110</v>
      </c>
      <c r="H23">
        <v>106.4</v>
      </c>
      <c r="I23">
        <v>110.8</v>
      </c>
      <c r="J23">
        <v>138.9</v>
      </c>
      <c r="K23">
        <v>107.4</v>
      </c>
      <c r="L23">
        <v>104.1</v>
      </c>
      <c r="M23">
        <v>106.9</v>
      </c>
      <c r="N23">
        <v>109.7</v>
      </c>
      <c r="O23">
        <v>112.6</v>
      </c>
      <c r="P23">
        <f t="shared" si="0"/>
        <v>112.3</v>
      </c>
      <c r="Q23">
        <v>114.9</v>
      </c>
      <c r="R23">
        <v>110.7</v>
      </c>
      <c r="S23">
        <v>111.3</v>
      </c>
      <c r="T23">
        <v>110.2</v>
      </c>
      <c r="U23">
        <f t="shared" si="1"/>
        <v>110.75</v>
      </c>
      <c r="V23">
        <v>111.1</v>
      </c>
      <c r="W23" t="s">
        <v>32</v>
      </c>
      <c r="X23">
        <v>109.9</v>
      </c>
      <c r="Y23">
        <v>108.7</v>
      </c>
      <c r="Z23">
        <v>107.5</v>
      </c>
      <c r="AA23">
        <v>107.8</v>
      </c>
      <c r="AB23">
        <v>106.8</v>
      </c>
      <c r="AC23">
        <v>108.7</v>
      </c>
      <c r="AD23">
        <v>105</v>
      </c>
      <c r="AE23">
        <v>107.5</v>
      </c>
      <c r="AF23">
        <v>112.1</v>
      </c>
    </row>
    <row r="24" spans="1:32">
      <c r="A24" t="s">
        <v>33</v>
      </c>
      <c r="B24">
        <v>2013</v>
      </c>
      <c r="C24" t="s">
        <v>41</v>
      </c>
      <c r="D24">
        <v>118.3</v>
      </c>
      <c r="E24">
        <v>120.4</v>
      </c>
      <c r="F24">
        <v>112.7</v>
      </c>
      <c r="G24">
        <v>108.9</v>
      </c>
      <c r="H24">
        <v>101.1</v>
      </c>
      <c r="I24">
        <v>108.7</v>
      </c>
      <c r="J24">
        <v>177</v>
      </c>
      <c r="K24">
        <v>104.7</v>
      </c>
      <c r="L24">
        <v>101</v>
      </c>
      <c r="M24">
        <v>108.5</v>
      </c>
      <c r="N24">
        <v>110.9</v>
      </c>
      <c r="O24">
        <v>114.3</v>
      </c>
      <c r="P24">
        <f t="shared" si="0"/>
        <v>115.54166666666669</v>
      </c>
      <c r="Q24">
        <v>119.6</v>
      </c>
      <c r="R24">
        <v>112.4</v>
      </c>
      <c r="S24">
        <v>110.6</v>
      </c>
      <c r="T24">
        <v>108.3</v>
      </c>
      <c r="U24">
        <f t="shared" si="1"/>
        <v>109.44999999999999</v>
      </c>
      <c r="V24">
        <v>110.2</v>
      </c>
      <c r="W24">
        <v>108.9</v>
      </c>
      <c r="X24">
        <v>109.3</v>
      </c>
      <c r="Y24">
        <v>108.7</v>
      </c>
      <c r="Z24">
        <v>107.6</v>
      </c>
      <c r="AA24">
        <v>108.1</v>
      </c>
      <c r="AB24">
        <v>106.5</v>
      </c>
      <c r="AC24">
        <v>110.8</v>
      </c>
      <c r="AD24">
        <v>106</v>
      </c>
      <c r="AE24">
        <v>108.3</v>
      </c>
      <c r="AF24">
        <v>112.7</v>
      </c>
    </row>
    <row r="25" spans="1:32">
      <c r="A25" t="s">
        <v>34</v>
      </c>
      <c r="B25">
        <v>2013</v>
      </c>
      <c r="C25" t="s">
        <v>41</v>
      </c>
      <c r="D25">
        <v>115.6</v>
      </c>
      <c r="E25">
        <v>117.2</v>
      </c>
      <c r="F25">
        <v>111.7</v>
      </c>
      <c r="G25">
        <v>109.6</v>
      </c>
      <c r="H25">
        <v>104.5</v>
      </c>
      <c r="I25">
        <v>109.8</v>
      </c>
      <c r="J25">
        <v>151.80000000000001</v>
      </c>
      <c r="K25">
        <v>106.5</v>
      </c>
      <c r="L25">
        <v>103.1</v>
      </c>
      <c r="M25">
        <v>107.4</v>
      </c>
      <c r="N25">
        <v>110.2</v>
      </c>
      <c r="O25">
        <v>113.4</v>
      </c>
      <c r="P25">
        <f t="shared" si="0"/>
        <v>113.40000000000002</v>
      </c>
      <c r="Q25">
        <v>116.6</v>
      </c>
      <c r="R25">
        <v>111.2</v>
      </c>
      <c r="S25">
        <v>111</v>
      </c>
      <c r="T25">
        <v>109.4</v>
      </c>
      <c r="U25">
        <f t="shared" si="1"/>
        <v>110.2</v>
      </c>
      <c r="V25">
        <v>110.7</v>
      </c>
      <c r="W25">
        <v>108.9</v>
      </c>
      <c r="X25">
        <v>109.7</v>
      </c>
      <c r="Y25">
        <v>108.7</v>
      </c>
      <c r="Z25">
        <v>107.5</v>
      </c>
      <c r="AA25">
        <v>108</v>
      </c>
      <c r="AB25">
        <v>106.6</v>
      </c>
      <c r="AC25">
        <v>109.9</v>
      </c>
      <c r="AD25">
        <v>105.4</v>
      </c>
      <c r="AE25">
        <v>107.9</v>
      </c>
      <c r="AF25">
        <v>112.4</v>
      </c>
    </row>
    <row r="26" spans="1:32">
      <c r="A26" t="s">
        <v>30</v>
      </c>
      <c r="B26">
        <v>2013</v>
      </c>
      <c r="C26" t="s">
        <v>42</v>
      </c>
      <c r="D26">
        <v>115.4</v>
      </c>
      <c r="E26">
        <v>115.7</v>
      </c>
      <c r="F26">
        <v>111.7</v>
      </c>
      <c r="G26">
        <v>111</v>
      </c>
      <c r="H26">
        <v>107.4</v>
      </c>
      <c r="I26">
        <v>110.9</v>
      </c>
      <c r="J26">
        <v>154</v>
      </c>
      <c r="K26">
        <v>108.1</v>
      </c>
      <c r="L26">
        <v>104.2</v>
      </c>
      <c r="M26">
        <v>107.9</v>
      </c>
      <c r="N26">
        <v>110.4</v>
      </c>
      <c r="O26">
        <v>114</v>
      </c>
      <c r="P26">
        <f t="shared" si="0"/>
        <v>114.22500000000002</v>
      </c>
      <c r="Q26">
        <v>117.8</v>
      </c>
      <c r="R26">
        <v>111.7</v>
      </c>
      <c r="S26">
        <v>112.7</v>
      </c>
      <c r="T26">
        <v>111.4</v>
      </c>
      <c r="U26">
        <f t="shared" si="1"/>
        <v>112.05000000000001</v>
      </c>
      <c r="V26">
        <v>112.5</v>
      </c>
      <c r="W26" t="s">
        <v>32</v>
      </c>
      <c r="X26">
        <v>111.1</v>
      </c>
      <c r="Y26">
        <v>109.6</v>
      </c>
      <c r="Z26">
        <v>108.3</v>
      </c>
      <c r="AA26">
        <v>109.3</v>
      </c>
      <c r="AB26">
        <v>107.7</v>
      </c>
      <c r="AC26">
        <v>109.8</v>
      </c>
      <c r="AD26">
        <v>106.7</v>
      </c>
      <c r="AE26">
        <v>108.7</v>
      </c>
      <c r="AF26">
        <v>114.2</v>
      </c>
    </row>
    <row r="27" spans="1:32">
      <c r="A27" t="s">
        <v>33</v>
      </c>
      <c r="B27">
        <v>2013</v>
      </c>
      <c r="C27" t="s">
        <v>42</v>
      </c>
      <c r="D27">
        <v>118.6</v>
      </c>
      <c r="E27">
        <v>119.1</v>
      </c>
      <c r="F27">
        <v>113.2</v>
      </c>
      <c r="G27">
        <v>109.6</v>
      </c>
      <c r="H27">
        <v>101.7</v>
      </c>
      <c r="I27">
        <v>103.2</v>
      </c>
      <c r="J27">
        <v>174.3</v>
      </c>
      <c r="K27">
        <v>105.1</v>
      </c>
      <c r="L27">
        <v>100.8</v>
      </c>
      <c r="M27">
        <v>109.1</v>
      </c>
      <c r="N27">
        <v>111.1</v>
      </c>
      <c r="O27">
        <v>115.4</v>
      </c>
      <c r="P27">
        <f t="shared" si="0"/>
        <v>115.10000000000001</v>
      </c>
      <c r="Q27">
        <v>119.2</v>
      </c>
      <c r="R27">
        <v>112.9</v>
      </c>
      <c r="S27">
        <v>111.4</v>
      </c>
      <c r="T27">
        <v>109</v>
      </c>
      <c r="U27">
        <f t="shared" si="1"/>
        <v>110.2</v>
      </c>
      <c r="V27">
        <v>111.1</v>
      </c>
      <c r="W27">
        <v>109.7</v>
      </c>
      <c r="X27">
        <v>109.5</v>
      </c>
      <c r="Y27">
        <v>109.6</v>
      </c>
      <c r="Z27">
        <v>107.9</v>
      </c>
      <c r="AA27">
        <v>110.4</v>
      </c>
      <c r="AB27">
        <v>107.4</v>
      </c>
      <c r="AC27">
        <v>111.2</v>
      </c>
      <c r="AD27">
        <v>106.9</v>
      </c>
      <c r="AE27">
        <v>109.4</v>
      </c>
      <c r="AF27">
        <v>113.2</v>
      </c>
    </row>
    <row r="28" spans="1:32">
      <c r="A28" t="s">
        <v>34</v>
      </c>
      <c r="B28">
        <v>2013</v>
      </c>
      <c r="C28" t="s">
        <v>42</v>
      </c>
      <c r="D28">
        <v>116.4</v>
      </c>
      <c r="E28">
        <v>116.9</v>
      </c>
      <c r="F28">
        <v>112.3</v>
      </c>
      <c r="G28">
        <v>110.5</v>
      </c>
      <c r="H28">
        <v>105.3</v>
      </c>
      <c r="I28">
        <v>107.3</v>
      </c>
      <c r="J28">
        <v>160.9</v>
      </c>
      <c r="K28">
        <v>107.1</v>
      </c>
      <c r="L28">
        <v>103.1</v>
      </c>
      <c r="M28">
        <v>108.3</v>
      </c>
      <c r="N28">
        <v>110.7</v>
      </c>
      <c r="O28">
        <v>114.6</v>
      </c>
      <c r="P28">
        <f t="shared" si="0"/>
        <v>114.44999999999999</v>
      </c>
      <c r="Q28">
        <v>118.3</v>
      </c>
      <c r="R28">
        <v>112</v>
      </c>
      <c r="S28">
        <v>112.2</v>
      </c>
      <c r="T28">
        <v>110.4</v>
      </c>
      <c r="U28">
        <f t="shared" si="1"/>
        <v>111.30000000000001</v>
      </c>
      <c r="V28">
        <v>111.9</v>
      </c>
      <c r="W28">
        <v>109.7</v>
      </c>
      <c r="X28">
        <v>110.5</v>
      </c>
      <c r="Y28">
        <v>109.6</v>
      </c>
      <c r="Z28">
        <v>108.1</v>
      </c>
      <c r="AA28">
        <v>109.9</v>
      </c>
      <c r="AB28">
        <v>107.5</v>
      </c>
      <c r="AC28">
        <v>110.6</v>
      </c>
      <c r="AD28">
        <v>106.8</v>
      </c>
      <c r="AE28">
        <v>109</v>
      </c>
      <c r="AF28">
        <v>113.7</v>
      </c>
    </row>
    <row r="29" spans="1:32">
      <c r="A29" t="s">
        <v>30</v>
      </c>
      <c r="B29">
        <v>2013</v>
      </c>
      <c r="C29" t="s">
        <v>43</v>
      </c>
      <c r="D29">
        <v>116.3</v>
      </c>
      <c r="E29">
        <v>115.4</v>
      </c>
      <c r="F29">
        <v>112.6</v>
      </c>
      <c r="G29">
        <v>111.7</v>
      </c>
      <c r="H29">
        <v>107.7</v>
      </c>
      <c r="I29">
        <v>113.2</v>
      </c>
      <c r="J29">
        <v>164.9</v>
      </c>
      <c r="K29">
        <v>108.3</v>
      </c>
      <c r="L29">
        <v>103.9</v>
      </c>
      <c r="M29">
        <v>108.2</v>
      </c>
      <c r="N29">
        <v>111.1</v>
      </c>
      <c r="O29">
        <v>114.9</v>
      </c>
      <c r="P29">
        <f t="shared" si="0"/>
        <v>115.68333333333334</v>
      </c>
      <c r="Q29">
        <v>119.8</v>
      </c>
      <c r="R29">
        <v>112.2</v>
      </c>
      <c r="S29">
        <v>113.6</v>
      </c>
      <c r="T29">
        <v>112.3</v>
      </c>
      <c r="U29">
        <f t="shared" si="1"/>
        <v>112.94999999999999</v>
      </c>
      <c r="V29">
        <v>113.4</v>
      </c>
      <c r="W29" t="s">
        <v>32</v>
      </c>
      <c r="X29">
        <v>111.6</v>
      </c>
      <c r="Y29">
        <v>110.4</v>
      </c>
      <c r="Z29">
        <v>108.9</v>
      </c>
      <c r="AA29">
        <v>109.3</v>
      </c>
      <c r="AB29">
        <v>108.3</v>
      </c>
      <c r="AC29">
        <v>110.2</v>
      </c>
      <c r="AD29">
        <v>107.5</v>
      </c>
      <c r="AE29">
        <v>109.1</v>
      </c>
      <c r="AF29">
        <v>115.5</v>
      </c>
    </row>
    <row r="30" spans="1:32">
      <c r="A30" t="s">
        <v>33</v>
      </c>
      <c r="B30">
        <v>2013</v>
      </c>
      <c r="C30" t="s">
        <v>43</v>
      </c>
      <c r="D30">
        <v>118.9</v>
      </c>
      <c r="E30">
        <v>118.1</v>
      </c>
      <c r="F30">
        <v>114.5</v>
      </c>
      <c r="G30">
        <v>110.4</v>
      </c>
      <c r="H30">
        <v>102.3</v>
      </c>
      <c r="I30">
        <v>106.2</v>
      </c>
      <c r="J30">
        <v>183.5</v>
      </c>
      <c r="K30">
        <v>105.3</v>
      </c>
      <c r="L30">
        <v>100.2</v>
      </c>
      <c r="M30">
        <v>109.6</v>
      </c>
      <c r="N30">
        <v>111.4</v>
      </c>
      <c r="O30">
        <v>116</v>
      </c>
      <c r="P30">
        <f t="shared" si="0"/>
        <v>116.36666666666666</v>
      </c>
      <c r="Q30">
        <v>120.8</v>
      </c>
      <c r="R30">
        <v>113.5</v>
      </c>
      <c r="S30">
        <v>112.5</v>
      </c>
      <c r="T30">
        <v>109.7</v>
      </c>
      <c r="U30">
        <f t="shared" si="1"/>
        <v>111.1</v>
      </c>
      <c r="V30">
        <v>112</v>
      </c>
      <c r="W30">
        <v>110.5</v>
      </c>
      <c r="X30">
        <v>109.7</v>
      </c>
      <c r="Y30">
        <v>110.2</v>
      </c>
      <c r="Z30">
        <v>108.2</v>
      </c>
      <c r="AA30">
        <v>109.7</v>
      </c>
      <c r="AB30">
        <v>108</v>
      </c>
      <c r="AC30">
        <v>111.3</v>
      </c>
      <c r="AD30">
        <v>107.3</v>
      </c>
      <c r="AE30">
        <v>109.4</v>
      </c>
      <c r="AF30">
        <v>114</v>
      </c>
    </row>
    <row r="31" spans="1:32">
      <c r="A31" t="s">
        <v>34</v>
      </c>
      <c r="B31">
        <v>2013</v>
      </c>
      <c r="C31" t="s">
        <v>43</v>
      </c>
      <c r="D31">
        <v>117.1</v>
      </c>
      <c r="E31">
        <v>116.3</v>
      </c>
      <c r="F31">
        <v>113.3</v>
      </c>
      <c r="G31">
        <v>111.2</v>
      </c>
      <c r="H31">
        <v>105.7</v>
      </c>
      <c r="I31">
        <v>109.9</v>
      </c>
      <c r="J31">
        <v>171.2</v>
      </c>
      <c r="K31">
        <v>107.3</v>
      </c>
      <c r="L31">
        <v>102.7</v>
      </c>
      <c r="M31">
        <v>108.7</v>
      </c>
      <c r="N31">
        <v>111.2</v>
      </c>
      <c r="O31">
        <v>115.4</v>
      </c>
      <c r="P31">
        <f t="shared" si="0"/>
        <v>115.83333333333336</v>
      </c>
      <c r="Q31">
        <v>120.2</v>
      </c>
      <c r="R31">
        <v>112.5</v>
      </c>
      <c r="S31">
        <v>113.2</v>
      </c>
      <c r="T31">
        <v>111.2</v>
      </c>
      <c r="U31">
        <f t="shared" si="1"/>
        <v>112.2</v>
      </c>
      <c r="V31">
        <v>112.8</v>
      </c>
      <c r="W31">
        <v>110.5</v>
      </c>
      <c r="X31">
        <v>110.9</v>
      </c>
      <c r="Y31">
        <v>110.3</v>
      </c>
      <c r="Z31">
        <v>108.6</v>
      </c>
      <c r="AA31">
        <v>109.5</v>
      </c>
      <c r="AB31">
        <v>108.1</v>
      </c>
      <c r="AC31">
        <v>110.8</v>
      </c>
      <c r="AD31">
        <v>107.4</v>
      </c>
      <c r="AE31">
        <v>109.2</v>
      </c>
      <c r="AF31">
        <v>114.8</v>
      </c>
    </row>
    <row r="32" spans="1:32">
      <c r="A32" t="s">
        <v>30</v>
      </c>
      <c r="B32">
        <v>2013</v>
      </c>
      <c r="C32" t="s">
        <v>44</v>
      </c>
      <c r="D32">
        <v>117.3</v>
      </c>
      <c r="E32">
        <v>114.9</v>
      </c>
      <c r="F32">
        <v>116.2</v>
      </c>
      <c r="G32">
        <v>112.8</v>
      </c>
      <c r="H32">
        <v>108.9</v>
      </c>
      <c r="I32">
        <v>116.6</v>
      </c>
      <c r="J32">
        <v>178.1</v>
      </c>
      <c r="K32">
        <v>109.1</v>
      </c>
      <c r="L32">
        <v>103.6</v>
      </c>
      <c r="M32">
        <v>109</v>
      </c>
      <c r="N32">
        <v>111.8</v>
      </c>
      <c r="O32">
        <v>116</v>
      </c>
      <c r="P32">
        <f t="shared" si="0"/>
        <v>117.85833333333333</v>
      </c>
      <c r="Q32">
        <v>122.5</v>
      </c>
      <c r="R32">
        <v>112.8</v>
      </c>
      <c r="S32">
        <v>114.6</v>
      </c>
      <c r="T32">
        <v>113.1</v>
      </c>
      <c r="U32">
        <f t="shared" si="1"/>
        <v>113.85</v>
      </c>
      <c r="V32">
        <v>114.4</v>
      </c>
      <c r="W32" t="s">
        <v>32</v>
      </c>
      <c r="X32">
        <v>112.6</v>
      </c>
      <c r="Y32">
        <v>111.3</v>
      </c>
      <c r="Z32">
        <v>109.7</v>
      </c>
      <c r="AA32">
        <v>109.6</v>
      </c>
      <c r="AB32">
        <v>108.7</v>
      </c>
      <c r="AC32">
        <v>111</v>
      </c>
      <c r="AD32">
        <v>108.2</v>
      </c>
      <c r="AE32">
        <v>109.8</v>
      </c>
      <c r="AF32">
        <v>117.4</v>
      </c>
    </row>
    <row r="33" spans="1:32">
      <c r="A33" t="s">
        <v>33</v>
      </c>
      <c r="B33">
        <v>2013</v>
      </c>
      <c r="C33" t="s">
        <v>45</v>
      </c>
      <c r="D33">
        <v>119.8</v>
      </c>
      <c r="E33">
        <v>116.3</v>
      </c>
      <c r="F33">
        <v>122.6</v>
      </c>
      <c r="G33">
        <v>112</v>
      </c>
      <c r="H33">
        <v>103.2</v>
      </c>
      <c r="I33">
        <v>110</v>
      </c>
      <c r="J33">
        <v>192.8</v>
      </c>
      <c r="K33">
        <v>106.3</v>
      </c>
      <c r="L33">
        <v>99.5</v>
      </c>
      <c r="M33">
        <v>110.3</v>
      </c>
      <c r="N33">
        <v>111.8</v>
      </c>
      <c r="O33">
        <v>117.1</v>
      </c>
      <c r="P33">
        <f t="shared" si="0"/>
        <v>118.47499999999998</v>
      </c>
      <c r="Q33">
        <v>122.9</v>
      </c>
      <c r="R33">
        <v>114.1</v>
      </c>
      <c r="S33">
        <v>113.5</v>
      </c>
      <c r="T33">
        <v>110.3</v>
      </c>
      <c r="U33">
        <f t="shared" si="1"/>
        <v>111.9</v>
      </c>
      <c r="V33">
        <v>113</v>
      </c>
      <c r="W33">
        <v>111.1</v>
      </c>
      <c r="X33">
        <v>110</v>
      </c>
      <c r="Y33">
        <v>110.9</v>
      </c>
      <c r="Z33">
        <v>108.6</v>
      </c>
      <c r="AA33">
        <v>109.5</v>
      </c>
      <c r="AB33">
        <v>108.5</v>
      </c>
      <c r="AC33">
        <v>111.3</v>
      </c>
      <c r="AD33">
        <v>107.9</v>
      </c>
      <c r="AE33">
        <v>109.6</v>
      </c>
      <c r="AF33">
        <v>115</v>
      </c>
    </row>
    <row r="34" spans="1:32">
      <c r="A34" t="s">
        <v>34</v>
      </c>
      <c r="B34">
        <v>2013</v>
      </c>
      <c r="C34" t="s">
        <v>45</v>
      </c>
      <c r="D34">
        <v>118.1</v>
      </c>
      <c r="E34">
        <v>115.4</v>
      </c>
      <c r="F34">
        <v>118.7</v>
      </c>
      <c r="G34">
        <v>112.5</v>
      </c>
      <c r="H34">
        <v>106.8</v>
      </c>
      <c r="I34">
        <v>113.5</v>
      </c>
      <c r="J34">
        <v>183.1</v>
      </c>
      <c r="K34">
        <v>108.2</v>
      </c>
      <c r="L34">
        <v>102.2</v>
      </c>
      <c r="M34">
        <v>109.4</v>
      </c>
      <c r="N34">
        <v>111.8</v>
      </c>
      <c r="O34">
        <v>116.5</v>
      </c>
      <c r="P34">
        <f t="shared" si="0"/>
        <v>118.01666666666667</v>
      </c>
      <c r="Q34">
        <v>122.6</v>
      </c>
      <c r="R34">
        <v>113.1</v>
      </c>
      <c r="S34">
        <v>114.2</v>
      </c>
      <c r="T34">
        <v>111.9</v>
      </c>
      <c r="U34">
        <f t="shared" si="1"/>
        <v>113.05000000000001</v>
      </c>
      <c r="V34">
        <v>113.8</v>
      </c>
      <c r="W34">
        <v>111.1</v>
      </c>
      <c r="X34">
        <v>111.6</v>
      </c>
      <c r="Y34">
        <v>111.1</v>
      </c>
      <c r="Z34">
        <v>109.3</v>
      </c>
      <c r="AA34">
        <v>109.5</v>
      </c>
      <c r="AB34">
        <v>108.6</v>
      </c>
      <c r="AC34">
        <v>111.2</v>
      </c>
      <c r="AD34">
        <v>108.1</v>
      </c>
      <c r="AE34">
        <v>109.7</v>
      </c>
      <c r="AF34">
        <v>116.3</v>
      </c>
    </row>
    <row r="35" spans="1:32">
      <c r="A35" t="s">
        <v>30</v>
      </c>
      <c r="B35">
        <v>2013</v>
      </c>
      <c r="C35" t="s">
        <v>46</v>
      </c>
      <c r="D35">
        <v>118.4</v>
      </c>
      <c r="E35">
        <v>115.9</v>
      </c>
      <c r="F35">
        <v>120.4</v>
      </c>
      <c r="G35">
        <v>113.8</v>
      </c>
      <c r="H35">
        <v>109.5</v>
      </c>
      <c r="I35">
        <v>115.5</v>
      </c>
      <c r="J35">
        <v>145.69999999999999</v>
      </c>
      <c r="K35">
        <v>109.5</v>
      </c>
      <c r="L35">
        <v>102.9</v>
      </c>
      <c r="M35">
        <v>109.8</v>
      </c>
      <c r="N35">
        <v>112.1</v>
      </c>
      <c r="O35">
        <v>116.8</v>
      </c>
      <c r="P35">
        <f t="shared" si="0"/>
        <v>115.85833333333333</v>
      </c>
      <c r="Q35">
        <v>118.7</v>
      </c>
      <c r="R35">
        <v>113.6</v>
      </c>
      <c r="S35">
        <v>115.8</v>
      </c>
      <c r="T35">
        <v>114</v>
      </c>
      <c r="U35">
        <f t="shared" si="1"/>
        <v>114.9</v>
      </c>
      <c r="V35">
        <v>115.5</v>
      </c>
      <c r="W35" t="s">
        <v>32</v>
      </c>
      <c r="X35">
        <v>112.8</v>
      </c>
      <c r="Y35">
        <v>112.1</v>
      </c>
      <c r="Z35">
        <v>110.1</v>
      </c>
      <c r="AA35">
        <v>109.9</v>
      </c>
      <c r="AB35">
        <v>109.2</v>
      </c>
      <c r="AC35">
        <v>111.6</v>
      </c>
      <c r="AD35">
        <v>108.1</v>
      </c>
      <c r="AE35">
        <v>110.1</v>
      </c>
      <c r="AF35">
        <v>115.5</v>
      </c>
    </row>
    <row r="36" spans="1:32">
      <c r="A36" t="s">
        <v>33</v>
      </c>
      <c r="B36">
        <v>2013</v>
      </c>
      <c r="C36" t="s">
        <v>46</v>
      </c>
      <c r="D36">
        <v>120.5</v>
      </c>
      <c r="E36">
        <v>118.1</v>
      </c>
      <c r="F36">
        <v>128.5</v>
      </c>
      <c r="G36">
        <v>112.8</v>
      </c>
      <c r="H36">
        <v>103.4</v>
      </c>
      <c r="I36">
        <v>110.7</v>
      </c>
      <c r="J36">
        <v>144.80000000000001</v>
      </c>
      <c r="K36">
        <v>107.1</v>
      </c>
      <c r="L36">
        <v>98.6</v>
      </c>
      <c r="M36">
        <v>111.9</v>
      </c>
      <c r="N36">
        <v>112.1</v>
      </c>
      <c r="O36">
        <v>118.1</v>
      </c>
      <c r="P36">
        <f t="shared" si="0"/>
        <v>115.55000000000001</v>
      </c>
      <c r="Q36">
        <v>117.8</v>
      </c>
      <c r="R36">
        <v>115</v>
      </c>
      <c r="S36">
        <v>114.2</v>
      </c>
      <c r="T36">
        <v>110.9</v>
      </c>
      <c r="U36">
        <f t="shared" si="1"/>
        <v>112.55000000000001</v>
      </c>
      <c r="V36">
        <v>113.7</v>
      </c>
      <c r="W36">
        <v>110.7</v>
      </c>
      <c r="X36">
        <v>110.4</v>
      </c>
      <c r="Y36">
        <v>111.3</v>
      </c>
      <c r="Z36">
        <v>109</v>
      </c>
      <c r="AA36">
        <v>109.7</v>
      </c>
      <c r="AB36">
        <v>108.9</v>
      </c>
      <c r="AC36">
        <v>111.4</v>
      </c>
      <c r="AD36">
        <v>107.7</v>
      </c>
      <c r="AE36">
        <v>109.8</v>
      </c>
      <c r="AF36">
        <v>113.3</v>
      </c>
    </row>
    <row r="37" spans="1:32">
      <c r="A37" t="s">
        <v>34</v>
      </c>
      <c r="B37">
        <v>2013</v>
      </c>
      <c r="C37" t="s">
        <v>46</v>
      </c>
      <c r="D37">
        <v>119.1</v>
      </c>
      <c r="E37">
        <v>116.7</v>
      </c>
      <c r="F37">
        <v>123.5</v>
      </c>
      <c r="G37">
        <v>113.4</v>
      </c>
      <c r="H37">
        <v>107.3</v>
      </c>
      <c r="I37">
        <v>113.3</v>
      </c>
      <c r="J37">
        <v>145.4</v>
      </c>
      <c r="K37">
        <v>108.7</v>
      </c>
      <c r="L37">
        <v>101.5</v>
      </c>
      <c r="M37">
        <v>110.5</v>
      </c>
      <c r="N37">
        <v>112.1</v>
      </c>
      <c r="O37">
        <v>117.4</v>
      </c>
      <c r="P37">
        <f t="shared" si="0"/>
        <v>115.74166666666667</v>
      </c>
      <c r="Q37">
        <v>118.4</v>
      </c>
      <c r="R37">
        <v>114</v>
      </c>
      <c r="S37">
        <v>115.2</v>
      </c>
      <c r="T37">
        <v>112.7</v>
      </c>
      <c r="U37">
        <f t="shared" si="1"/>
        <v>113.95</v>
      </c>
      <c r="V37">
        <v>114.8</v>
      </c>
      <c r="W37">
        <v>110.7</v>
      </c>
      <c r="X37">
        <v>111.9</v>
      </c>
      <c r="Y37">
        <v>111.7</v>
      </c>
      <c r="Z37">
        <v>109.7</v>
      </c>
      <c r="AA37">
        <v>109.8</v>
      </c>
      <c r="AB37">
        <v>109</v>
      </c>
      <c r="AC37">
        <v>111.5</v>
      </c>
      <c r="AD37">
        <v>107.9</v>
      </c>
      <c r="AE37">
        <v>110</v>
      </c>
      <c r="AF37">
        <v>114.5</v>
      </c>
    </row>
    <row r="38" spans="1:32">
      <c r="A38" t="s">
        <v>30</v>
      </c>
      <c r="B38">
        <v>2014</v>
      </c>
      <c r="C38" t="s">
        <v>31</v>
      </c>
      <c r="D38">
        <v>118.9</v>
      </c>
      <c r="E38">
        <v>117.1</v>
      </c>
      <c r="F38">
        <v>120.5</v>
      </c>
      <c r="G38">
        <v>114.4</v>
      </c>
      <c r="H38">
        <v>109</v>
      </c>
      <c r="I38">
        <v>115.5</v>
      </c>
      <c r="J38">
        <v>123.9</v>
      </c>
      <c r="K38">
        <v>109.6</v>
      </c>
      <c r="L38">
        <v>101.8</v>
      </c>
      <c r="M38">
        <v>110.2</v>
      </c>
      <c r="N38">
        <v>112.4</v>
      </c>
      <c r="O38">
        <v>117.3</v>
      </c>
      <c r="P38">
        <f t="shared" si="0"/>
        <v>114.21666666666668</v>
      </c>
      <c r="Q38">
        <v>116</v>
      </c>
      <c r="R38">
        <v>114</v>
      </c>
      <c r="S38">
        <v>116.5</v>
      </c>
      <c r="T38">
        <v>114.5</v>
      </c>
      <c r="U38">
        <f t="shared" si="1"/>
        <v>115.5</v>
      </c>
      <c r="V38">
        <v>116.2</v>
      </c>
      <c r="W38" t="s">
        <v>32</v>
      </c>
      <c r="X38">
        <v>113</v>
      </c>
      <c r="Y38">
        <v>112.6</v>
      </c>
      <c r="Z38">
        <v>110.6</v>
      </c>
      <c r="AA38">
        <v>110.5</v>
      </c>
      <c r="AB38">
        <v>109.6</v>
      </c>
      <c r="AC38">
        <v>111.8</v>
      </c>
      <c r="AD38">
        <v>108.3</v>
      </c>
      <c r="AE38">
        <v>110.6</v>
      </c>
      <c r="AF38">
        <v>114.2</v>
      </c>
    </row>
    <row r="39" spans="1:32">
      <c r="A39" t="s">
        <v>33</v>
      </c>
      <c r="B39">
        <v>2014</v>
      </c>
      <c r="C39" t="s">
        <v>31</v>
      </c>
      <c r="D39">
        <v>121.2</v>
      </c>
      <c r="E39">
        <v>122</v>
      </c>
      <c r="F39">
        <v>129.9</v>
      </c>
      <c r="G39">
        <v>113.6</v>
      </c>
      <c r="H39">
        <v>102.9</v>
      </c>
      <c r="I39">
        <v>112.1</v>
      </c>
      <c r="J39">
        <v>118.9</v>
      </c>
      <c r="K39">
        <v>107.5</v>
      </c>
      <c r="L39">
        <v>96.9</v>
      </c>
      <c r="M39">
        <v>112.7</v>
      </c>
      <c r="N39">
        <v>112.1</v>
      </c>
      <c r="O39">
        <v>119</v>
      </c>
      <c r="P39">
        <f t="shared" si="0"/>
        <v>114.06666666666666</v>
      </c>
      <c r="Q39">
        <v>115.5</v>
      </c>
      <c r="R39">
        <v>115.7</v>
      </c>
      <c r="S39">
        <v>114.8</v>
      </c>
      <c r="T39">
        <v>111.3</v>
      </c>
      <c r="U39">
        <f t="shared" si="1"/>
        <v>113.05</v>
      </c>
      <c r="V39">
        <v>114.3</v>
      </c>
      <c r="W39">
        <v>111.6</v>
      </c>
      <c r="X39">
        <v>111</v>
      </c>
      <c r="Y39">
        <v>111.9</v>
      </c>
      <c r="Z39">
        <v>109.7</v>
      </c>
      <c r="AA39">
        <v>110.8</v>
      </c>
      <c r="AB39">
        <v>109.8</v>
      </c>
      <c r="AC39">
        <v>111.5</v>
      </c>
      <c r="AD39">
        <v>108</v>
      </c>
      <c r="AE39">
        <v>110.5</v>
      </c>
      <c r="AF39">
        <v>112.9</v>
      </c>
    </row>
    <row r="40" spans="1:32">
      <c r="A40" t="s">
        <v>34</v>
      </c>
      <c r="B40">
        <v>2014</v>
      </c>
      <c r="C40" t="s">
        <v>31</v>
      </c>
      <c r="D40">
        <v>119.6</v>
      </c>
      <c r="E40">
        <v>118.8</v>
      </c>
      <c r="F40">
        <v>124.1</v>
      </c>
      <c r="G40">
        <v>114.1</v>
      </c>
      <c r="H40">
        <v>106.8</v>
      </c>
      <c r="I40">
        <v>113.9</v>
      </c>
      <c r="J40">
        <v>122.2</v>
      </c>
      <c r="K40">
        <v>108.9</v>
      </c>
      <c r="L40">
        <v>100.2</v>
      </c>
      <c r="M40">
        <v>111</v>
      </c>
      <c r="N40">
        <v>112.3</v>
      </c>
      <c r="O40">
        <v>118.1</v>
      </c>
      <c r="P40">
        <f t="shared" si="0"/>
        <v>114.16666666666664</v>
      </c>
      <c r="Q40">
        <v>115.8</v>
      </c>
      <c r="R40">
        <v>114.5</v>
      </c>
      <c r="S40">
        <v>115.8</v>
      </c>
      <c r="T40">
        <v>113.2</v>
      </c>
      <c r="U40">
        <f t="shared" si="1"/>
        <v>114.5</v>
      </c>
      <c r="V40">
        <v>115.4</v>
      </c>
      <c r="W40">
        <v>111.6</v>
      </c>
      <c r="X40">
        <v>112.2</v>
      </c>
      <c r="Y40">
        <v>112.3</v>
      </c>
      <c r="Z40">
        <v>110.3</v>
      </c>
      <c r="AA40">
        <v>110.7</v>
      </c>
      <c r="AB40">
        <v>109.7</v>
      </c>
      <c r="AC40">
        <v>111.6</v>
      </c>
      <c r="AD40">
        <v>108.2</v>
      </c>
      <c r="AE40">
        <v>110.6</v>
      </c>
      <c r="AF40">
        <v>113.6</v>
      </c>
    </row>
    <row r="41" spans="1:32">
      <c r="A41" t="s">
        <v>30</v>
      </c>
      <c r="B41">
        <v>2014</v>
      </c>
      <c r="C41" t="s">
        <v>35</v>
      </c>
      <c r="D41">
        <v>119.4</v>
      </c>
      <c r="E41">
        <v>117.7</v>
      </c>
      <c r="F41">
        <v>121.2</v>
      </c>
      <c r="G41">
        <v>115</v>
      </c>
      <c r="H41">
        <v>109</v>
      </c>
      <c r="I41">
        <v>116.6</v>
      </c>
      <c r="J41">
        <v>116</v>
      </c>
      <c r="K41">
        <v>109.8</v>
      </c>
      <c r="L41">
        <v>101.1</v>
      </c>
      <c r="M41">
        <v>110.4</v>
      </c>
      <c r="N41">
        <v>112.9</v>
      </c>
      <c r="O41">
        <v>117.8</v>
      </c>
      <c r="P41">
        <f t="shared" si="0"/>
        <v>113.90833333333335</v>
      </c>
      <c r="Q41">
        <v>115.3</v>
      </c>
      <c r="R41">
        <v>114.2</v>
      </c>
      <c r="S41">
        <v>117.1</v>
      </c>
      <c r="T41">
        <v>114.5</v>
      </c>
      <c r="U41">
        <f t="shared" si="1"/>
        <v>115.8</v>
      </c>
      <c r="V41">
        <v>116.7</v>
      </c>
      <c r="W41" t="s">
        <v>32</v>
      </c>
      <c r="X41">
        <v>113.2</v>
      </c>
      <c r="Y41">
        <v>112.9</v>
      </c>
      <c r="Z41">
        <v>110.9</v>
      </c>
      <c r="AA41">
        <v>110.8</v>
      </c>
      <c r="AB41">
        <v>109.9</v>
      </c>
      <c r="AC41">
        <v>112</v>
      </c>
      <c r="AD41">
        <v>108.7</v>
      </c>
      <c r="AE41">
        <v>110.9</v>
      </c>
      <c r="AF41">
        <v>114</v>
      </c>
    </row>
    <row r="42" spans="1:32">
      <c r="A42" t="s">
        <v>33</v>
      </c>
      <c r="B42">
        <v>2014</v>
      </c>
      <c r="C42" t="s">
        <v>35</v>
      </c>
      <c r="D42">
        <v>121.9</v>
      </c>
      <c r="E42">
        <v>122</v>
      </c>
      <c r="F42">
        <v>124.5</v>
      </c>
      <c r="G42">
        <v>115.2</v>
      </c>
      <c r="H42">
        <v>102.5</v>
      </c>
      <c r="I42">
        <v>114.1</v>
      </c>
      <c r="J42">
        <v>111.5</v>
      </c>
      <c r="K42">
        <v>108.2</v>
      </c>
      <c r="L42">
        <v>95.4</v>
      </c>
      <c r="M42">
        <v>113.5</v>
      </c>
      <c r="N42">
        <v>112.1</v>
      </c>
      <c r="O42">
        <v>119.9</v>
      </c>
      <c r="P42">
        <f t="shared" si="0"/>
        <v>113.39999999999999</v>
      </c>
      <c r="Q42">
        <v>115.2</v>
      </c>
      <c r="R42">
        <v>116.2</v>
      </c>
      <c r="S42">
        <v>115.3</v>
      </c>
      <c r="T42">
        <v>111.7</v>
      </c>
      <c r="U42">
        <f t="shared" si="1"/>
        <v>113.5</v>
      </c>
      <c r="V42">
        <v>114.7</v>
      </c>
      <c r="W42">
        <v>112.5</v>
      </c>
      <c r="X42">
        <v>111.1</v>
      </c>
      <c r="Y42">
        <v>112.6</v>
      </c>
      <c r="Z42">
        <v>110.4</v>
      </c>
      <c r="AA42">
        <v>111.3</v>
      </c>
      <c r="AB42">
        <v>110.3</v>
      </c>
      <c r="AC42">
        <v>111.6</v>
      </c>
      <c r="AD42">
        <v>108.7</v>
      </c>
      <c r="AE42">
        <v>111</v>
      </c>
      <c r="AF42">
        <v>113.1</v>
      </c>
    </row>
    <row r="43" spans="1:32">
      <c r="A43" t="s">
        <v>34</v>
      </c>
      <c r="B43">
        <v>2014</v>
      </c>
      <c r="C43" t="s">
        <v>35</v>
      </c>
      <c r="D43">
        <v>120.2</v>
      </c>
      <c r="E43">
        <v>119.2</v>
      </c>
      <c r="F43">
        <v>122.5</v>
      </c>
      <c r="G43">
        <v>115.1</v>
      </c>
      <c r="H43">
        <v>106.6</v>
      </c>
      <c r="I43">
        <v>115.4</v>
      </c>
      <c r="J43">
        <v>114.5</v>
      </c>
      <c r="K43">
        <v>109.3</v>
      </c>
      <c r="L43">
        <v>99.2</v>
      </c>
      <c r="M43">
        <v>111.4</v>
      </c>
      <c r="N43">
        <v>112.6</v>
      </c>
      <c r="O43">
        <v>118.8</v>
      </c>
      <c r="P43">
        <f t="shared" si="0"/>
        <v>113.73333333333333</v>
      </c>
      <c r="Q43">
        <v>115.3</v>
      </c>
      <c r="R43">
        <v>114.7</v>
      </c>
      <c r="S43">
        <v>116.4</v>
      </c>
      <c r="T43">
        <v>113.3</v>
      </c>
      <c r="U43">
        <f t="shared" si="1"/>
        <v>114.85</v>
      </c>
      <c r="V43">
        <v>115.9</v>
      </c>
      <c r="W43">
        <v>112.5</v>
      </c>
      <c r="X43">
        <v>112.4</v>
      </c>
      <c r="Y43">
        <v>112.8</v>
      </c>
      <c r="Z43">
        <v>110.7</v>
      </c>
      <c r="AA43">
        <v>111.1</v>
      </c>
      <c r="AB43">
        <v>110.1</v>
      </c>
      <c r="AC43">
        <v>111.8</v>
      </c>
      <c r="AD43">
        <v>108.7</v>
      </c>
      <c r="AE43">
        <v>110.9</v>
      </c>
      <c r="AF43">
        <v>113.6</v>
      </c>
    </row>
    <row r="44" spans="1:32">
      <c r="A44" t="s">
        <v>30</v>
      </c>
      <c r="B44">
        <v>2014</v>
      </c>
      <c r="C44" t="s">
        <v>36</v>
      </c>
      <c r="D44">
        <v>120.1</v>
      </c>
      <c r="E44">
        <v>118.1</v>
      </c>
      <c r="F44">
        <v>120.7</v>
      </c>
      <c r="G44">
        <v>116.1</v>
      </c>
      <c r="H44">
        <v>109.3</v>
      </c>
      <c r="I44">
        <v>119.6</v>
      </c>
      <c r="J44">
        <v>117.9</v>
      </c>
      <c r="K44">
        <v>110.2</v>
      </c>
      <c r="L44">
        <v>101.2</v>
      </c>
      <c r="M44">
        <v>110.7</v>
      </c>
      <c r="N44">
        <v>113</v>
      </c>
      <c r="O44">
        <v>118.3</v>
      </c>
      <c r="P44">
        <f t="shared" si="0"/>
        <v>114.60000000000001</v>
      </c>
      <c r="Q44">
        <v>116.2</v>
      </c>
      <c r="R44">
        <v>114.6</v>
      </c>
      <c r="S44">
        <v>117.5</v>
      </c>
      <c r="T44">
        <v>114.9</v>
      </c>
      <c r="U44">
        <f t="shared" si="1"/>
        <v>116.2</v>
      </c>
      <c r="V44">
        <v>117.2</v>
      </c>
      <c r="W44" t="s">
        <v>32</v>
      </c>
      <c r="X44">
        <v>113.4</v>
      </c>
      <c r="Y44">
        <v>113.4</v>
      </c>
      <c r="Z44">
        <v>111.4</v>
      </c>
      <c r="AA44">
        <v>111.2</v>
      </c>
      <c r="AB44">
        <v>110.2</v>
      </c>
      <c r="AC44">
        <v>112.4</v>
      </c>
      <c r="AD44">
        <v>108.9</v>
      </c>
      <c r="AE44">
        <v>111.3</v>
      </c>
      <c r="AF44">
        <v>114.6</v>
      </c>
    </row>
    <row r="45" spans="1:32">
      <c r="A45" t="s">
        <v>33</v>
      </c>
      <c r="B45">
        <v>2014</v>
      </c>
      <c r="C45" t="s">
        <v>36</v>
      </c>
      <c r="D45">
        <v>122.1</v>
      </c>
      <c r="E45">
        <v>121.4</v>
      </c>
      <c r="F45">
        <v>121.5</v>
      </c>
      <c r="G45">
        <v>116.2</v>
      </c>
      <c r="H45">
        <v>102.8</v>
      </c>
      <c r="I45">
        <v>117.7</v>
      </c>
      <c r="J45">
        <v>113.3</v>
      </c>
      <c r="K45">
        <v>108.9</v>
      </c>
      <c r="L45">
        <v>96.3</v>
      </c>
      <c r="M45">
        <v>114.1</v>
      </c>
      <c r="N45">
        <v>112.2</v>
      </c>
      <c r="O45">
        <v>120.5</v>
      </c>
      <c r="P45">
        <f t="shared" si="0"/>
        <v>113.91666666666667</v>
      </c>
      <c r="Q45">
        <v>116</v>
      </c>
      <c r="R45">
        <v>116.7</v>
      </c>
      <c r="S45">
        <v>115.8</v>
      </c>
      <c r="T45">
        <v>112.1</v>
      </c>
      <c r="U45">
        <f t="shared" si="1"/>
        <v>113.94999999999999</v>
      </c>
      <c r="V45">
        <v>115.2</v>
      </c>
      <c r="W45">
        <v>113.2</v>
      </c>
      <c r="X45">
        <v>110.9</v>
      </c>
      <c r="Y45">
        <v>113</v>
      </c>
      <c r="Z45">
        <v>110.8</v>
      </c>
      <c r="AA45">
        <v>111.6</v>
      </c>
      <c r="AB45">
        <v>110.9</v>
      </c>
      <c r="AC45">
        <v>111.8</v>
      </c>
      <c r="AD45">
        <v>109.2</v>
      </c>
      <c r="AE45">
        <v>111.4</v>
      </c>
      <c r="AF45">
        <v>113.7</v>
      </c>
    </row>
    <row r="46" spans="1:32">
      <c r="A46" t="s">
        <v>34</v>
      </c>
      <c r="B46">
        <v>2014</v>
      </c>
      <c r="C46" t="s">
        <v>36</v>
      </c>
      <c r="D46">
        <v>120.7</v>
      </c>
      <c r="E46">
        <v>119.3</v>
      </c>
      <c r="F46">
        <v>121</v>
      </c>
      <c r="G46">
        <v>116.1</v>
      </c>
      <c r="H46">
        <v>106.9</v>
      </c>
      <c r="I46">
        <v>118.7</v>
      </c>
      <c r="J46">
        <v>116.3</v>
      </c>
      <c r="K46">
        <v>109.8</v>
      </c>
      <c r="L46">
        <v>99.6</v>
      </c>
      <c r="M46">
        <v>111.8</v>
      </c>
      <c r="N46">
        <v>112.7</v>
      </c>
      <c r="O46">
        <v>119.3</v>
      </c>
      <c r="P46">
        <f t="shared" si="0"/>
        <v>114.34999999999998</v>
      </c>
      <c r="Q46">
        <v>116.1</v>
      </c>
      <c r="R46">
        <v>115.2</v>
      </c>
      <c r="S46">
        <v>116.8</v>
      </c>
      <c r="T46">
        <v>113.7</v>
      </c>
      <c r="U46">
        <f t="shared" si="1"/>
        <v>115.25</v>
      </c>
      <c r="V46">
        <v>116.4</v>
      </c>
      <c r="W46">
        <v>113.2</v>
      </c>
      <c r="X46">
        <v>112.5</v>
      </c>
      <c r="Y46">
        <v>113.2</v>
      </c>
      <c r="Z46">
        <v>111.2</v>
      </c>
      <c r="AA46">
        <v>111.4</v>
      </c>
      <c r="AB46">
        <v>110.6</v>
      </c>
      <c r="AC46">
        <v>112</v>
      </c>
      <c r="AD46">
        <v>109</v>
      </c>
      <c r="AE46">
        <v>111.3</v>
      </c>
      <c r="AF46">
        <v>114.2</v>
      </c>
    </row>
    <row r="47" spans="1:32">
      <c r="A47" t="s">
        <v>30</v>
      </c>
      <c r="B47">
        <v>2014</v>
      </c>
      <c r="C47" t="s">
        <v>37</v>
      </c>
      <c r="D47">
        <v>120.2</v>
      </c>
      <c r="E47">
        <v>118.9</v>
      </c>
      <c r="F47">
        <v>118.1</v>
      </c>
      <c r="G47">
        <v>117</v>
      </c>
      <c r="H47">
        <v>109.7</v>
      </c>
      <c r="I47">
        <v>125.5</v>
      </c>
      <c r="J47">
        <v>120.5</v>
      </c>
      <c r="K47">
        <v>111</v>
      </c>
      <c r="L47">
        <v>102.6</v>
      </c>
      <c r="M47">
        <v>111.2</v>
      </c>
      <c r="N47">
        <v>113.5</v>
      </c>
      <c r="O47">
        <v>118.7</v>
      </c>
      <c r="P47">
        <f t="shared" si="0"/>
        <v>115.575</v>
      </c>
      <c r="Q47">
        <v>117.2</v>
      </c>
      <c r="R47">
        <v>115.4</v>
      </c>
      <c r="S47">
        <v>118.1</v>
      </c>
      <c r="T47">
        <v>116.1</v>
      </c>
      <c r="U47">
        <f t="shared" si="1"/>
        <v>117.1</v>
      </c>
      <c r="V47">
        <v>117.8</v>
      </c>
      <c r="W47" t="s">
        <v>32</v>
      </c>
      <c r="X47">
        <v>113.4</v>
      </c>
      <c r="Y47">
        <v>113.7</v>
      </c>
      <c r="Z47">
        <v>111.8</v>
      </c>
      <c r="AA47">
        <v>111.2</v>
      </c>
      <c r="AB47">
        <v>110.5</v>
      </c>
      <c r="AC47">
        <v>113</v>
      </c>
      <c r="AD47">
        <v>108.9</v>
      </c>
      <c r="AE47">
        <v>111.5</v>
      </c>
      <c r="AF47">
        <v>115.4</v>
      </c>
    </row>
    <row r="48" spans="1:32">
      <c r="A48" t="s">
        <v>33</v>
      </c>
      <c r="B48">
        <v>2014</v>
      </c>
      <c r="C48" t="s">
        <v>37</v>
      </c>
      <c r="D48">
        <v>122.5</v>
      </c>
      <c r="E48">
        <v>121.7</v>
      </c>
      <c r="F48">
        <v>113.3</v>
      </c>
      <c r="G48">
        <v>117</v>
      </c>
      <c r="H48">
        <v>103.1</v>
      </c>
      <c r="I48">
        <v>126.7</v>
      </c>
      <c r="J48">
        <v>121.2</v>
      </c>
      <c r="K48">
        <v>111</v>
      </c>
      <c r="L48">
        <v>100.3</v>
      </c>
      <c r="M48">
        <v>115.3</v>
      </c>
      <c r="N48">
        <v>112.7</v>
      </c>
      <c r="O48">
        <v>121</v>
      </c>
      <c r="P48">
        <f t="shared" si="0"/>
        <v>115.48333333333335</v>
      </c>
      <c r="Q48">
        <v>118.2</v>
      </c>
      <c r="R48">
        <v>117.6</v>
      </c>
      <c r="S48">
        <v>116.3</v>
      </c>
      <c r="T48">
        <v>112.5</v>
      </c>
      <c r="U48">
        <f t="shared" si="1"/>
        <v>114.4</v>
      </c>
      <c r="V48">
        <v>115.7</v>
      </c>
      <c r="W48">
        <v>113.9</v>
      </c>
      <c r="X48">
        <v>110.9</v>
      </c>
      <c r="Y48">
        <v>113.4</v>
      </c>
      <c r="Z48">
        <v>111</v>
      </c>
      <c r="AA48">
        <v>111.2</v>
      </c>
      <c r="AB48">
        <v>111.2</v>
      </c>
      <c r="AC48">
        <v>112.5</v>
      </c>
      <c r="AD48">
        <v>109.1</v>
      </c>
      <c r="AE48">
        <v>111.4</v>
      </c>
      <c r="AF48">
        <v>114.7</v>
      </c>
    </row>
    <row r="49" spans="1:32">
      <c r="A49" t="s">
        <v>34</v>
      </c>
      <c r="B49">
        <v>2014</v>
      </c>
      <c r="C49" t="s">
        <v>37</v>
      </c>
      <c r="D49">
        <v>120.9</v>
      </c>
      <c r="E49">
        <v>119.9</v>
      </c>
      <c r="F49">
        <v>116.2</v>
      </c>
      <c r="G49">
        <v>117</v>
      </c>
      <c r="H49">
        <v>107.3</v>
      </c>
      <c r="I49">
        <v>126.1</v>
      </c>
      <c r="J49">
        <v>120.7</v>
      </c>
      <c r="K49">
        <v>111</v>
      </c>
      <c r="L49">
        <v>101.8</v>
      </c>
      <c r="M49">
        <v>112.6</v>
      </c>
      <c r="N49">
        <v>113.2</v>
      </c>
      <c r="O49">
        <v>119.8</v>
      </c>
      <c r="P49">
        <f t="shared" si="0"/>
        <v>115.54166666666667</v>
      </c>
      <c r="Q49">
        <v>117.6</v>
      </c>
      <c r="R49">
        <v>116</v>
      </c>
      <c r="S49">
        <v>117.4</v>
      </c>
      <c r="T49">
        <v>114.6</v>
      </c>
      <c r="U49">
        <f t="shared" si="1"/>
        <v>116</v>
      </c>
      <c r="V49">
        <v>117</v>
      </c>
      <c r="W49">
        <v>113.9</v>
      </c>
      <c r="X49">
        <v>112.5</v>
      </c>
      <c r="Y49">
        <v>113.6</v>
      </c>
      <c r="Z49">
        <v>111.5</v>
      </c>
      <c r="AA49">
        <v>111.2</v>
      </c>
      <c r="AB49">
        <v>110.9</v>
      </c>
      <c r="AC49">
        <v>112.7</v>
      </c>
      <c r="AD49">
        <v>109</v>
      </c>
      <c r="AE49">
        <v>111.5</v>
      </c>
      <c r="AF49">
        <v>115.1</v>
      </c>
    </row>
    <row r="50" spans="1:32">
      <c r="A50" t="s">
        <v>30</v>
      </c>
      <c r="B50">
        <v>2014</v>
      </c>
      <c r="C50" t="s">
        <v>38</v>
      </c>
      <c r="D50">
        <v>120.3</v>
      </c>
      <c r="E50">
        <v>120.2</v>
      </c>
      <c r="F50">
        <v>116.9</v>
      </c>
      <c r="G50">
        <v>118</v>
      </c>
      <c r="H50">
        <v>110.1</v>
      </c>
      <c r="I50">
        <v>126.3</v>
      </c>
      <c r="J50">
        <v>123.9</v>
      </c>
      <c r="K50">
        <v>111.5</v>
      </c>
      <c r="L50">
        <v>103.5</v>
      </c>
      <c r="M50">
        <v>111.6</v>
      </c>
      <c r="N50">
        <v>114.2</v>
      </c>
      <c r="O50">
        <v>119.2</v>
      </c>
      <c r="P50">
        <f t="shared" si="0"/>
        <v>116.30833333333332</v>
      </c>
      <c r="Q50">
        <v>118.2</v>
      </c>
      <c r="R50">
        <v>116.3</v>
      </c>
      <c r="S50">
        <v>118.7</v>
      </c>
      <c r="T50">
        <v>116.8</v>
      </c>
      <c r="U50">
        <f t="shared" si="1"/>
        <v>117.75</v>
      </c>
      <c r="V50">
        <v>118.5</v>
      </c>
      <c r="W50" t="s">
        <v>32</v>
      </c>
      <c r="X50">
        <v>113.4</v>
      </c>
      <c r="Y50">
        <v>114.1</v>
      </c>
      <c r="Z50">
        <v>112.1</v>
      </c>
      <c r="AA50">
        <v>111.4</v>
      </c>
      <c r="AB50">
        <v>110.9</v>
      </c>
      <c r="AC50">
        <v>113.1</v>
      </c>
      <c r="AD50">
        <v>108.9</v>
      </c>
      <c r="AE50">
        <v>111.8</v>
      </c>
      <c r="AF50">
        <v>116</v>
      </c>
    </row>
    <row r="51" spans="1:32">
      <c r="A51" t="s">
        <v>33</v>
      </c>
      <c r="B51">
        <v>2014</v>
      </c>
      <c r="C51" t="s">
        <v>38</v>
      </c>
      <c r="D51">
        <v>122.7</v>
      </c>
      <c r="E51">
        <v>124.1</v>
      </c>
      <c r="F51">
        <v>114.2</v>
      </c>
      <c r="G51">
        <v>119.1</v>
      </c>
      <c r="H51">
        <v>103.5</v>
      </c>
      <c r="I51">
        <v>129.19999999999999</v>
      </c>
      <c r="J51">
        <v>127</v>
      </c>
      <c r="K51">
        <v>112.6</v>
      </c>
      <c r="L51">
        <v>101.3</v>
      </c>
      <c r="M51">
        <v>117</v>
      </c>
      <c r="N51">
        <v>112.9</v>
      </c>
      <c r="O51">
        <v>121.7</v>
      </c>
      <c r="P51">
        <f t="shared" si="0"/>
        <v>117.10833333333335</v>
      </c>
      <c r="Q51">
        <v>120</v>
      </c>
      <c r="R51">
        <v>118.3</v>
      </c>
      <c r="S51">
        <v>116.8</v>
      </c>
      <c r="T51">
        <v>112.9</v>
      </c>
      <c r="U51">
        <f t="shared" si="1"/>
        <v>114.85</v>
      </c>
      <c r="V51">
        <v>116.2</v>
      </c>
      <c r="W51">
        <v>114.3</v>
      </c>
      <c r="X51">
        <v>111.1</v>
      </c>
      <c r="Y51">
        <v>114.1</v>
      </c>
      <c r="Z51">
        <v>111.2</v>
      </c>
      <c r="AA51">
        <v>111.3</v>
      </c>
      <c r="AB51">
        <v>111.5</v>
      </c>
      <c r="AC51">
        <v>112.9</v>
      </c>
      <c r="AD51">
        <v>109.3</v>
      </c>
      <c r="AE51">
        <v>111.7</v>
      </c>
      <c r="AF51">
        <v>115.6</v>
      </c>
    </row>
    <row r="52" spans="1:32">
      <c r="A52" t="s">
        <v>34</v>
      </c>
      <c r="B52">
        <v>2014</v>
      </c>
      <c r="C52" t="s">
        <v>38</v>
      </c>
      <c r="D52">
        <v>121.1</v>
      </c>
      <c r="E52">
        <v>121.6</v>
      </c>
      <c r="F52">
        <v>115.9</v>
      </c>
      <c r="G52">
        <v>118.4</v>
      </c>
      <c r="H52">
        <v>107.7</v>
      </c>
      <c r="I52">
        <v>127.7</v>
      </c>
      <c r="J52">
        <v>125</v>
      </c>
      <c r="K52">
        <v>111.9</v>
      </c>
      <c r="L52">
        <v>102.8</v>
      </c>
      <c r="M52">
        <v>113.4</v>
      </c>
      <c r="N52">
        <v>113.7</v>
      </c>
      <c r="O52">
        <v>120.4</v>
      </c>
      <c r="P52">
        <f t="shared" si="0"/>
        <v>116.63333333333337</v>
      </c>
      <c r="Q52">
        <v>118.9</v>
      </c>
      <c r="R52">
        <v>116.8</v>
      </c>
      <c r="S52">
        <v>118</v>
      </c>
      <c r="T52">
        <v>115.2</v>
      </c>
      <c r="U52">
        <f t="shared" si="1"/>
        <v>116.6</v>
      </c>
      <c r="V52">
        <v>117.6</v>
      </c>
      <c r="W52">
        <v>114.3</v>
      </c>
      <c r="X52">
        <v>112.5</v>
      </c>
      <c r="Y52">
        <v>114.1</v>
      </c>
      <c r="Z52">
        <v>111.8</v>
      </c>
      <c r="AA52">
        <v>111.3</v>
      </c>
      <c r="AB52">
        <v>111.2</v>
      </c>
      <c r="AC52">
        <v>113</v>
      </c>
      <c r="AD52">
        <v>109.1</v>
      </c>
      <c r="AE52">
        <v>111.8</v>
      </c>
      <c r="AF52">
        <v>115.8</v>
      </c>
    </row>
    <row r="53" spans="1:32">
      <c r="A53" t="s">
        <v>30</v>
      </c>
      <c r="B53">
        <v>2014</v>
      </c>
      <c r="C53" t="s">
        <v>39</v>
      </c>
      <c r="D53">
        <v>120.7</v>
      </c>
      <c r="E53">
        <v>121.6</v>
      </c>
      <c r="F53">
        <v>116.1</v>
      </c>
      <c r="G53">
        <v>119.3</v>
      </c>
      <c r="H53">
        <v>110.3</v>
      </c>
      <c r="I53">
        <v>125.8</v>
      </c>
      <c r="J53">
        <v>129.30000000000001</v>
      </c>
      <c r="K53">
        <v>112.2</v>
      </c>
      <c r="L53">
        <v>103.6</v>
      </c>
      <c r="M53">
        <v>112.3</v>
      </c>
      <c r="N53">
        <v>114.9</v>
      </c>
      <c r="O53">
        <v>120.1</v>
      </c>
      <c r="P53">
        <f t="shared" si="0"/>
        <v>117.18333333333332</v>
      </c>
      <c r="Q53">
        <v>119.5</v>
      </c>
      <c r="R53">
        <v>117.3</v>
      </c>
      <c r="S53">
        <v>119.7</v>
      </c>
      <c r="T53">
        <v>117.3</v>
      </c>
      <c r="U53">
        <f t="shared" si="1"/>
        <v>118.5</v>
      </c>
      <c r="V53">
        <v>119.3</v>
      </c>
      <c r="W53" t="s">
        <v>32</v>
      </c>
      <c r="X53">
        <v>114.4</v>
      </c>
      <c r="Y53">
        <v>114.9</v>
      </c>
      <c r="Z53">
        <v>112.8</v>
      </c>
      <c r="AA53">
        <v>112.2</v>
      </c>
      <c r="AB53">
        <v>111.4</v>
      </c>
      <c r="AC53">
        <v>114.3</v>
      </c>
      <c r="AD53">
        <v>108</v>
      </c>
      <c r="AE53">
        <v>112.3</v>
      </c>
      <c r="AF53">
        <v>117</v>
      </c>
    </row>
    <row r="54" spans="1:32">
      <c r="A54" t="s">
        <v>33</v>
      </c>
      <c r="B54">
        <v>2014</v>
      </c>
      <c r="C54" t="s">
        <v>39</v>
      </c>
      <c r="D54">
        <v>123.1</v>
      </c>
      <c r="E54">
        <v>125.9</v>
      </c>
      <c r="F54">
        <v>115.4</v>
      </c>
      <c r="G54">
        <v>120.4</v>
      </c>
      <c r="H54">
        <v>103.4</v>
      </c>
      <c r="I54">
        <v>131.19999999999999</v>
      </c>
      <c r="J54">
        <v>137.5</v>
      </c>
      <c r="K54">
        <v>112.8</v>
      </c>
      <c r="L54">
        <v>101.4</v>
      </c>
      <c r="M54">
        <v>118.3</v>
      </c>
      <c r="N54">
        <v>113.2</v>
      </c>
      <c r="O54">
        <v>122.4</v>
      </c>
      <c r="P54">
        <f t="shared" si="0"/>
        <v>118.75</v>
      </c>
      <c r="Q54">
        <v>122</v>
      </c>
      <c r="R54">
        <v>119</v>
      </c>
      <c r="S54">
        <v>117.4</v>
      </c>
      <c r="T54">
        <v>113.2</v>
      </c>
      <c r="U54">
        <f t="shared" si="1"/>
        <v>115.30000000000001</v>
      </c>
      <c r="V54">
        <v>116.7</v>
      </c>
      <c r="W54">
        <v>113.9</v>
      </c>
      <c r="X54">
        <v>111.2</v>
      </c>
      <c r="Y54">
        <v>114.3</v>
      </c>
      <c r="Z54">
        <v>111.4</v>
      </c>
      <c r="AA54">
        <v>111.5</v>
      </c>
      <c r="AB54">
        <v>111.8</v>
      </c>
      <c r="AC54">
        <v>115.1</v>
      </c>
      <c r="AD54">
        <v>108.7</v>
      </c>
      <c r="AE54">
        <v>112.2</v>
      </c>
      <c r="AF54">
        <v>116.4</v>
      </c>
    </row>
    <row r="55" spans="1:32">
      <c r="A55" t="s">
        <v>34</v>
      </c>
      <c r="B55">
        <v>2014</v>
      </c>
      <c r="C55" t="s">
        <v>39</v>
      </c>
      <c r="D55">
        <v>121.5</v>
      </c>
      <c r="E55">
        <v>123.1</v>
      </c>
      <c r="F55">
        <v>115.8</v>
      </c>
      <c r="G55">
        <v>119.7</v>
      </c>
      <c r="H55">
        <v>107.8</v>
      </c>
      <c r="I55">
        <v>128.30000000000001</v>
      </c>
      <c r="J55">
        <v>132.1</v>
      </c>
      <c r="K55">
        <v>112.4</v>
      </c>
      <c r="L55">
        <v>102.9</v>
      </c>
      <c r="M55">
        <v>114.3</v>
      </c>
      <c r="N55">
        <v>114.2</v>
      </c>
      <c r="O55">
        <v>121.2</v>
      </c>
      <c r="P55">
        <f t="shared" si="0"/>
        <v>117.77500000000002</v>
      </c>
      <c r="Q55">
        <v>120.4</v>
      </c>
      <c r="R55">
        <v>117.8</v>
      </c>
      <c r="S55">
        <v>118.8</v>
      </c>
      <c r="T55">
        <v>115.6</v>
      </c>
      <c r="U55">
        <f t="shared" si="1"/>
        <v>117.19999999999999</v>
      </c>
      <c r="V55">
        <v>118.3</v>
      </c>
      <c r="W55">
        <v>113.9</v>
      </c>
      <c r="X55">
        <v>113.2</v>
      </c>
      <c r="Y55">
        <v>114.6</v>
      </c>
      <c r="Z55">
        <v>112.3</v>
      </c>
      <c r="AA55">
        <v>111.8</v>
      </c>
      <c r="AB55">
        <v>111.6</v>
      </c>
      <c r="AC55">
        <v>114.8</v>
      </c>
      <c r="AD55">
        <v>108.3</v>
      </c>
      <c r="AE55">
        <v>112.3</v>
      </c>
      <c r="AF55">
        <v>116.7</v>
      </c>
    </row>
    <row r="56" spans="1:32">
      <c r="A56" t="s">
        <v>30</v>
      </c>
      <c r="B56">
        <v>2014</v>
      </c>
      <c r="C56" t="s">
        <v>40</v>
      </c>
      <c r="D56">
        <v>121.7</v>
      </c>
      <c r="E56">
        <v>122.5</v>
      </c>
      <c r="F56">
        <v>117.7</v>
      </c>
      <c r="G56">
        <v>120.6</v>
      </c>
      <c r="H56">
        <v>110.4</v>
      </c>
      <c r="I56">
        <v>129.1</v>
      </c>
      <c r="J56">
        <v>150.1</v>
      </c>
      <c r="K56">
        <v>113.2</v>
      </c>
      <c r="L56">
        <v>104.8</v>
      </c>
      <c r="M56">
        <v>113.3</v>
      </c>
      <c r="N56">
        <v>115.6</v>
      </c>
      <c r="O56">
        <v>120.9</v>
      </c>
      <c r="P56">
        <f t="shared" si="0"/>
        <v>119.99166666666667</v>
      </c>
      <c r="Q56">
        <v>123.3</v>
      </c>
      <c r="R56">
        <v>118</v>
      </c>
      <c r="S56">
        <v>120.7</v>
      </c>
      <c r="T56">
        <v>118.3</v>
      </c>
      <c r="U56">
        <f t="shared" si="1"/>
        <v>119.5</v>
      </c>
      <c r="V56">
        <v>120.3</v>
      </c>
      <c r="W56" t="s">
        <v>32</v>
      </c>
      <c r="X56">
        <v>115.3</v>
      </c>
      <c r="Y56">
        <v>115.4</v>
      </c>
      <c r="Z56">
        <v>113.4</v>
      </c>
      <c r="AA56">
        <v>113.2</v>
      </c>
      <c r="AB56">
        <v>111.8</v>
      </c>
      <c r="AC56">
        <v>115.5</v>
      </c>
      <c r="AD56">
        <v>108.8</v>
      </c>
      <c r="AE56">
        <v>113.1</v>
      </c>
      <c r="AF56">
        <v>119.5</v>
      </c>
    </row>
    <row r="57" spans="1:32">
      <c r="A57" t="s">
        <v>33</v>
      </c>
      <c r="B57">
        <v>2014</v>
      </c>
      <c r="C57" t="s">
        <v>40</v>
      </c>
      <c r="D57">
        <v>123.8</v>
      </c>
      <c r="E57">
        <v>126.4</v>
      </c>
      <c r="F57">
        <v>118</v>
      </c>
      <c r="G57">
        <v>121.6</v>
      </c>
      <c r="H57">
        <v>103.5</v>
      </c>
      <c r="I57">
        <v>133.69999999999999</v>
      </c>
      <c r="J57">
        <v>172.4</v>
      </c>
      <c r="K57">
        <v>113.1</v>
      </c>
      <c r="L57">
        <v>102.7</v>
      </c>
      <c r="M57">
        <v>120</v>
      </c>
      <c r="N57">
        <v>113.8</v>
      </c>
      <c r="O57">
        <v>123.4</v>
      </c>
      <c r="P57">
        <f t="shared" si="0"/>
        <v>122.7</v>
      </c>
      <c r="Q57">
        <v>127.1</v>
      </c>
      <c r="R57">
        <v>121</v>
      </c>
      <c r="S57">
        <v>118</v>
      </c>
      <c r="T57">
        <v>113.6</v>
      </c>
      <c r="U57">
        <f t="shared" si="1"/>
        <v>115.8</v>
      </c>
      <c r="V57">
        <v>117.4</v>
      </c>
      <c r="W57">
        <v>114.8</v>
      </c>
      <c r="X57">
        <v>111.6</v>
      </c>
      <c r="Y57">
        <v>114.9</v>
      </c>
      <c r="Z57">
        <v>111.5</v>
      </c>
      <c r="AA57">
        <v>113</v>
      </c>
      <c r="AB57">
        <v>112.4</v>
      </c>
      <c r="AC57">
        <v>117.8</v>
      </c>
      <c r="AD57">
        <v>109.7</v>
      </c>
      <c r="AE57">
        <v>113.5</v>
      </c>
      <c r="AF57">
        <v>118.9</v>
      </c>
    </row>
    <row r="58" spans="1:32">
      <c r="A58" t="s">
        <v>34</v>
      </c>
      <c r="B58">
        <v>2014</v>
      </c>
      <c r="C58" t="s">
        <v>40</v>
      </c>
      <c r="D58">
        <v>122.4</v>
      </c>
      <c r="E58">
        <v>123.9</v>
      </c>
      <c r="F58">
        <v>117.8</v>
      </c>
      <c r="G58">
        <v>121</v>
      </c>
      <c r="H58">
        <v>107.9</v>
      </c>
      <c r="I58">
        <v>131.19999999999999</v>
      </c>
      <c r="J58">
        <v>157.69999999999999</v>
      </c>
      <c r="K58">
        <v>113.2</v>
      </c>
      <c r="L58">
        <v>104.1</v>
      </c>
      <c r="M58">
        <v>115.5</v>
      </c>
      <c r="N58">
        <v>114.8</v>
      </c>
      <c r="O58">
        <v>122.1</v>
      </c>
      <c r="P58">
        <f t="shared" si="0"/>
        <v>120.96666666666665</v>
      </c>
      <c r="Q58">
        <v>124.7</v>
      </c>
      <c r="R58">
        <v>118.8</v>
      </c>
      <c r="S58">
        <v>119.6</v>
      </c>
      <c r="T58">
        <v>116.3</v>
      </c>
      <c r="U58">
        <f t="shared" si="1"/>
        <v>117.94999999999999</v>
      </c>
      <c r="V58">
        <v>119.1</v>
      </c>
      <c r="W58">
        <v>114.8</v>
      </c>
      <c r="X58">
        <v>113.9</v>
      </c>
      <c r="Y58">
        <v>115.2</v>
      </c>
      <c r="Z58">
        <v>112.7</v>
      </c>
      <c r="AA58">
        <v>113.1</v>
      </c>
      <c r="AB58">
        <v>112.1</v>
      </c>
      <c r="AC58">
        <v>116.8</v>
      </c>
      <c r="AD58">
        <v>109.2</v>
      </c>
      <c r="AE58">
        <v>113.3</v>
      </c>
      <c r="AF58">
        <v>119.2</v>
      </c>
    </row>
    <row r="59" spans="1:32">
      <c r="A59" t="s">
        <v>30</v>
      </c>
      <c r="B59">
        <v>2014</v>
      </c>
      <c r="C59" t="s">
        <v>41</v>
      </c>
      <c r="D59">
        <v>121.8</v>
      </c>
      <c r="E59">
        <v>122.8</v>
      </c>
      <c r="F59">
        <v>117.8</v>
      </c>
      <c r="G59">
        <v>121.9</v>
      </c>
      <c r="H59">
        <v>110.6</v>
      </c>
      <c r="I59">
        <v>129.69999999999999</v>
      </c>
      <c r="J59">
        <v>161.1</v>
      </c>
      <c r="K59">
        <v>114.1</v>
      </c>
      <c r="L59">
        <v>105.1</v>
      </c>
      <c r="M59">
        <v>114.6</v>
      </c>
      <c r="N59">
        <v>115.8</v>
      </c>
      <c r="O59">
        <v>121.7</v>
      </c>
      <c r="P59">
        <f t="shared" si="0"/>
        <v>121.41666666666664</v>
      </c>
      <c r="Q59">
        <v>125.3</v>
      </c>
      <c r="R59">
        <v>118.8</v>
      </c>
      <c r="S59">
        <v>120.9</v>
      </c>
      <c r="T59">
        <v>118.8</v>
      </c>
      <c r="U59">
        <f t="shared" si="1"/>
        <v>119.85</v>
      </c>
      <c r="V59">
        <v>120.7</v>
      </c>
      <c r="W59" t="s">
        <v>32</v>
      </c>
      <c r="X59">
        <v>115.4</v>
      </c>
      <c r="Y59">
        <v>115.9</v>
      </c>
      <c r="Z59">
        <v>114</v>
      </c>
      <c r="AA59">
        <v>113.2</v>
      </c>
      <c r="AB59">
        <v>112.2</v>
      </c>
      <c r="AC59">
        <v>116.2</v>
      </c>
      <c r="AD59">
        <v>109.4</v>
      </c>
      <c r="AE59">
        <v>113.5</v>
      </c>
      <c r="AF59">
        <v>120.7</v>
      </c>
    </row>
    <row r="60" spans="1:32">
      <c r="A60" t="s">
        <v>33</v>
      </c>
      <c r="B60">
        <v>2014</v>
      </c>
      <c r="C60" t="s">
        <v>41</v>
      </c>
      <c r="D60">
        <v>124.8</v>
      </c>
      <c r="E60">
        <v>127.3</v>
      </c>
      <c r="F60">
        <v>116.5</v>
      </c>
      <c r="G60">
        <v>122.2</v>
      </c>
      <c r="H60">
        <v>103.6</v>
      </c>
      <c r="I60">
        <v>132.69999999999999</v>
      </c>
      <c r="J60">
        <v>181.9</v>
      </c>
      <c r="K60">
        <v>115.2</v>
      </c>
      <c r="L60">
        <v>102.7</v>
      </c>
      <c r="M60">
        <v>122.1</v>
      </c>
      <c r="N60">
        <v>114.4</v>
      </c>
      <c r="O60">
        <v>124.7</v>
      </c>
      <c r="P60">
        <f t="shared" si="0"/>
        <v>124.00833333333333</v>
      </c>
      <c r="Q60">
        <v>128.9</v>
      </c>
      <c r="R60">
        <v>123</v>
      </c>
      <c r="S60">
        <v>118.6</v>
      </c>
      <c r="T60">
        <v>114.1</v>
      </c>
      <c r="U60">
        <f t="shared" si="1"/>
        <v>116.35</v>
      </c>
      <c r="V60">
        <v>117.9</v>
      </c>
      <c r="W60">
        <v>115.5</v>
      </c>
      <c r="X60">
        <v>111.8</v>
      </c>
      <c r="Y60">
        <v>115.3</v>
      </c>
      <c r="Z60">
        <v>112.2</v>
      </c>
      <c r="AA60">
        <v>112.5</v>
      </c>
      <c r="AB60">
        <v>112.9</v>
      </c>
      <c r="AC60">
        <v>119.2</v>
      </c>
      <c r="AD60">
        <v>110.5</v>
      </c>
      <c r="AE60">
        <v>113.9</v>
      </c>
      <c r="AF60">
        <v>119.9</v>
      </c>
    </row>
    <row r="61" spans="1:32">
      <c r="A61" t="s">
        <v>34</v>
      </c>
      <c r="B61">
        <v>2014</v>
      </c>
      <c r="C61" t="s">
        <v>41</v>
      </c>
      <c r="D61">
        <v>122.7</v>
      </c>
      <c r="E61">
        <v>124.4</v>
      </c>
      <c r="F61">
        <v>117.3</v>
      </c>
      <c r="G61">
        <v>122</v>
      </c>
      <c r="H61">
        <v>108</v>
      </c>
      <c r="I61">
        <v>131.1</v>
      </c>
      <c r="J61">
        <v>168.2</v>
      </c>
      <c r="K61">
        <v>114.5</v>
      </c>
      <c r="L61">
        <v>104.3</v>
      </c>
      <c r="M61">
        <v>117.1</v>
      </c>
      <c r="N61">
        <v>115.2</v>
      </c>
      <c r="O61">
        <v>123.1</v>
      </c>
      <c r="P61">
        <f t="shared" si="0"/>
        <v>122.32499999999999</v>
      </c>
      <c r="Q61">
        <v>126.6</v>
      </c>
      <c r="R61">
        <v>119.9</v>
      </c>
      <c r="S61">
        <v>120</v>
      </c>
      <c r="T61">
        <v>116.8</v>
      </c>
      <c r="U61">
        <f t="shared" si="1"/>
        <v>118.4</v>
      </c>
      <c r="V61">
        <v>119.6</v>
      </c>
      <c r="W61">
        <v>115.5</v>
      </c>
      <c r="X61">
        <v>114</v>
      </c>
      <c r="Y61">
        <v>115.6</v>
      </c>
      <c r="Z61">
        <v>113.3</v>
      </c>
      <c r="AA61">
        <v>112.8</v>
      </c>
      <c r="AB61">
        <v>112.6</v>
      </c>
      <c r="AC61">
        <v>118</v>
      </c>
      <c r="AD61">
        <v>109.9</v>
      </c>
      <c r="AE61">
        <v>113.7</v>
      </c>
      <c r="AF61">
        <v>120.3</v>
      </c>
    </row>
    <row r="62" spans="1:32">
      <c r="A62" t="s">
        <v>30</v>
      </c>
      <c r="B62">
        <v>2014</v>
      </c>
      <c r="C62" t="s">
        <v>42</v>
      </c>
      <c r="D62">
        <v>122.3</v>
      </c>
      <c r="E62">
        <v>122.4</v>
      </c>
      <c r="F62">
        <v>117.8</v>
      </c>
      <c r="G62">
        <v>122.7</v>
      </c>
      <c r="H62">
        <v>110.4</v>
      </c>
      <c r="I62">
        <v>129.80000000000001</v>
      </c>
      <c r="J62">
        <v>158.80000000000001</v>
      </c>
      <c r="K62">
        <v>115</v>
      </c>
      <c r="L62">
        <v>104.7</v>
      </c>
      <c r="M62">
        <v>114.9</v>
      </c>
      <c r="N62">
        <v>116.5</v>
      </c>
      <c r="O62">
        <v>122.6</v>
      </c>
      <c r="P62">
        <f t="shared" si="0"/>
        <v>121.49166666666667</v>
      </c>
      <c r="Q62">
        <v>125.3</v>
      </c>
      <c r="R62">
        <v>119.5</v>
      </c>
      <c r="S62">
        <v>121.7</v>
      </c>
      <c r="T62">
        <v>119.2</v>
      </c>
      <c r="U62">
        <f t="shared" si="1"/>
        <v>120.45</v>
      </c>
      <c r="V62">
        <v>121.3</v>
      </c>
      <c r="W62" t="s">
        <v>32</v>
      </c>
      <c r="X62">
        <v>115.8</v>
      </c>
      <c r="Y62">
        <v>116.7</v>
      </c>
      <c r="Z62">
        <v>114.5</v>
      </c>
      <c r="AA62">
        <v>112.8</v>
      </c>
      <c r="AB62">
        <v>112.6</v>
      </c>
      <c r="AC62">
        <v>116.6</v>
      </c>
      <c r="AD62">
        <v>109.1</v>
      </c>
      <c r="AE62">
        <v>113.7</v>
      </c>
      <c r="AF62">
        <v>120.9</v>
      </c>
    </row>
    <row r="63" spans="1:32">
      <c r="A63" t="s">
        <v>33</v>
      </c>
      <c r="B63">
        <v>2014</v>
      </c>
      <c r="C63" t="s">
        <v>42</v>
      </c>
      <c r="D63">
        <v>124.2</v>
      </c>
      <c r="E63">
        <v>125.4</v>
      </c>
      <c r="F63">
        <v>116.4</v>
      </c>
      <c r="G63">
        <v>122.7</v>
      </c>
      <c r="H63">
        <v>103.5</v>
      </c>
      <c r="I63">
        <v>124.5</v>
      </c>
      <c r="J63">
        <v>168.6</v>
      </c>
      <c r="K63">
        <v>116.9</v>
      </c>
      <c r="L63">
        <v>101.9</v>
      </c>
      <c r="M63">
        <v>122.9</v>
      </c>
      <c r="N63">
        <v>114.8</v>
      </c>
      <c r="O63">
        <v>125.2</v>
      </c>
      <c r="P63">
        <f t="shared" si="0"/>
        <v>122.25000000000001</v>
      </c>
      <c r="Q63">
        <v>126.7</v>
      </c>
      <c r="R63">
        <v>124.3</v>
      </c>
      <c r="S63">
        <v>119.2</v>
      </c>
      <c r="T63">
        <v>114.5</v>
      </c>
      <c r="U63">
        <f t="shared" si="1"/>
        <v>116.85</v>
      </c>
      <c r="V63">
        <v>118.4</v>
      </c>
      <c r="W63">
        <v>116.1</v>
      </c>
      <c r="X63">
        <v>111.8</v>
      </c>
      <c r="Y63">
        <v>115.5</v>
      </c>
      <c r="Z63">
        <v>112.3</v>
      </c>
      <c r="AA63">
        <v>111.2</v>
      </c>
      <c r="AB63">
        <v>113.4</v>
      </c>
      <c r="AC63">
        <v>120</v>
      </c>
      <c r="AD63">
        <v>110</v>
      </c>
      <c r="AE63">
        <v>113.6</v>
      </c>
      <c r="AF63">
        <v>119.2</v>
      </c>
    </row>
    <row r="64" spans="1:32">
      <c r="A64" t="s">
        <v>34</v>
      </c>
      <c r="B64">
        <v>2014</v>
      </c>
      <c r="C64" t="s">
        <v>42</v>
      </c>
      <c r="D64">
        <v>122.9</v>
      </c>
      <c r="E64">
        <v>123.5</v>
      </c>
      <c r="F64">
        <v>117.3</v>
      </c>
      <c r="G64">
        <v>122.7</v>
      </c>
      <c r="H64">
        <v>107.9</v>
      </c>
      <c r="I64">
        <v>127.3</v>
      </c>
      <c r="J64">
        <v>162.1</v>
      </c>
      <c r="K64">
        <v>115.6</v>
      </c>
      <c r="L64">
        <v>103.8</v>
      </c>
      <c r="M64">
        <v>117.6</v>
      </c>
      <c r="N64">
        <v>115.8</v>
      </c>
      <c r="O64">
        <v>123.8</v>
      </c>
      <c r="P64">
        <f t="shared" si="0"/>
        <v>121.69166666666665</v>
      </c>
      <c r="Q64">
        <v>125.8</v>
      </c>
      <c r="R64">
        <v>120.8</v>
      </c>
      <c r="S64">
        <v>120.7</v>
      </c>
      <c r="T64">
        <v>117.2</v>
      </c>
      <c r="U64">
        <f t="shared" si="1"/>
        <v>118.95</v>
      </c>
      <c r="V64">
        <v>120.1</v>
      </c>
      <c r="W64">
        <v>116.1</v>
      </c>
      <c r="X64">
        <v>114.3</v>
      </c>
      <c r="Y64">
        <v>116.1</v>
      </c>
      <c r="Z64">
        <v>113.7</v>
      </c>
      <c r="AA64">
        <v>112</v>
      </c>
      <c r="AB64">
        <v>113.1</v>
      </c>
      <c r="AC64">
        <v>118.6</v>
      </c>
      <c r="AD64">
        <v>109.5</v>
      </c>
      <c r="AE64">
        <v>113.7</v>
      </c>
      <c r="AF64">
        <v>120.1</v>
      </c>
    </row>
    <row r="65" spans="1:32">
      <c r="A65" t="s">
        <v>30</v>
      </c>
      <c r="B65">
        <v>2014</v>
      </c>
      <c r="C65" t="s">
        <v>43</v>
      </c>
      <c r="D65">
        <v>122.6</v>
      </c>
      <c r="E65">
        <v>122.5</v>
      </c>
      <c r="F65">
        <v>118.3</v>
      </c>
      <c r="G65">
        <v>123.2</v>
      </c>
      <c r="H65">
        <v>110.5</v>
      </c>
      <c r="I65">
        <v>128.9</v>
      </c>
      <c r="J65">
        <v>155.30000000000001</v>
      </c>
      <c r="K65">
        <v>115.5</v>
      </c>
      <c r="L65">
        <v>104</v>
      </c>
      <c r="M65">
        <v>115.3</v>
      </c>
      <c r="N65">
        <v>116.8</v>
      </c>
      <c r="O65">
        <v>123.2</v>
      </c>
      <c r="P65">
        <f t="shared" si="0"/>
        <v>121.34166666666665</v>
      </c>
      <c r="Q65">
        <v>125.1</v>
      </c>
      <c r="R65">
        <v>120</v>
      </c>
      <c r="S65">
        <v>122.7</v>
      </c>
      <c r="T65">
        <v>120.3</v>
      </c>
      <c r="U65">
        <f t="shared" si="1"/>
        <v>121.5</v>
      </c>
      <c r="V65">
        <v>122.3</v>
      </c>
      <c r="W65" t="s">
        <v>32</v>
      </c>
      <c r="X65">
        <v>116.4</v>
      </c>
      <c r="Y65">
        <v>117.5</v>
      </c>
      <c r="Z65">
        <v>115.3</v>
      </c>
      <c r="AA65">
        <v>112.6</v>
      </c>
      <c r="AB65">
        <v>113</v>
      </c>
      <c r="AC65">
        <v>116.9</v>
      </c>
      <c r="AD65">
        <v>109.3</v>
      </c>
      <c r="AE65">
        <v>114</v>
      </c>
      <c r="AF65">
        <v>121</v>
      </c>
    </row>
    <row r="66" spans="1:32">
      <c r="A66" t="s">
        <v>33</v>
      </c>
      <c r="B66">
        <v>2014</v>
      </c>
      <c r="C66" t="s">
        <v>43</v>
      </c>
      <c r="D66">
        <v>124.6</v>
      </c>
      <c r="E66">
        <v>126.1</v>
      </c>
      <c r="F66">
        <v>117.8</v>
      </c>
      <c r="G66">
        <v>123.1</v>
      </c>
      <c r="H66">
        <v>103.5</v>
      </c>
      <c r="I66">
        <v>123.5</v>
      </c>
      <c r="J66">
        <v>159.6</v>
      </c>
      <c r="K66">
        <v>117.4</v>
      </c>
      <c r="L66">
        <v>101.2</v>
      </c>
      <c r="M66">
        <v>123.8</v>
      </c>
      <c r="N66">
        <v>115.2</v>
      </c>
      <c r="O66">
        <v>125.9</v>
      </c>
      <c r="P66">
        <f t="shared" si="0"/>
        <v>121.80833333333334</v>
      </c>
      <c r="Q66">
        <v>125.8</v>
      </c>
      <c r="R66">
        <v>124.3</v>
      </c>
      <c r="S66">
        <v>119.6</v>
      </c>
      <c r="T66">
        <v>114.9</v>
      </c>
      <c r="U66">
        <f t="shared" si="1"/>
        <v>117.25</v>
      </c>
      <c r="V66">
        <v>118.9</v>
      </c>
      <c r="W66">
        <v>116.7</v>
      </c>
      <c r="X66">
        <v>112</v>
      </c>
      <c r="Y66">
        <v>115.8</v>
      </c>
      <c r="Z66">
        <v>112.6</v>
      </c>
      <c r="AA66">
        <v>111</v>
      </c>
      <c r="AB66">
        <v>113.6</v>
      </c>
      <c r="AC66">
        <v>120.2</v>
      </c>
      <c r="AD66">
        <v>110.1</v>
      </c>
      <c r="AE66">
        <v>113.7</v>
      </c>
      <c r="AF66">
        <v>119.1</v>
      </c>
    </row>
    <row r="67" spans="1:32">
      <c r="A67" t="s">
        <v>34</v>
      </c>
      <c r="B67">
        <v>2014</v>
      </c>
      <c r="C67" t="s">
        <v>43</v>
      </c>
      <c r="D67">
        <v>123.2</v>
      </c>
      <c r="E67">
        <v>123.8</v>
      </c>
      <c r="F67">
        <v>118.1</v>
      </c>
      <c r="G67">
        <v>123.2</v>
      </c>
      <c r="H67">
        <v>107.9</v>
      </c>
      <c r="I67">
        <v>126.4</v>
      </c>
      <c r="J67">
        <v>156.80000000000001</v>
      </c>
      <c r="K67">
        <v>116.1</v>
      </c>
      <c r="L67">
        <v>103.1</v>
      </c>
      <c r="M67">
        <v>118.1</v>
      </c>
      <c r="N67">
        <v>116.1</v>
      </c>
      <c r="O67">
        <v>124.5</v>
      </c>
      <c r="P67">
        <f t="shared" ref="P67:P130" si="2">AVERAGE(D67:O67)</f>
        <v>121.44166666666666</v>
      </c>
      <c r="Q67">
        <v>125.4</v>
      </c>
      <c r="R67">
        <v>121.1</v>
      </c>
      <c r="S67">
        <v>121.5</v>
      </c>
      <c r="T67">
        <v>118.1</v>
      </c>
      <c r="U67">
        <f t="shared" ref="U67:U130" si="3">AVERAGE(S67,T67)</f>
        <v>119.8</v>
      </c>
      <c r="V67">
        <v>121</v>
      </c>
      <c r="W67">
        <v>116.7</v>
      </c>
      <c r="X67">
        <v>114.7</v>
      </c>
      <c r="Y67">
        <v>116.7</v>
      </c>
      <c r="Z67">
        <v>114.3</v>
      </c>
      <c r="AA67">
        <v>111.8</v>
      </c>
      <c r="AB67">
        <v>113.3</v>
      </c>
      <c r="AC67">
        <v>118.8</v>
      </c>
      <c r="AD67">
        <v>109.6</v>
      </c>
      <c r="AE67">
        <v>113.9</v>
      </c>
      <c r="AF67">
        <v>120.1</v>
      </c>
    </row>
    <row r="68" spans="1:32">
      <c r="A68" t="s">
        <v>30</v>
      </c>
      <c r="B68">
        <v>2014</v>
      </c>
      <c r="C68" t="s">
        <v>45</v>
      </c>
      <c r="D68">
        <v>122.7</v>
      </c>
      <c r="E68">
        <v>122.6</v>
      </c>
      <c r="F68">
        <v>119.9</v>
      </c>
      <c r="G68">
        <v>124</v>
      </c>
      <c r="H68">
        <v>110.5</v>
      </c>
      <c r="I68">
        <v>128.80000000000001</v>
      </c>
      <c r="J68">
        <v>152</v>
      </c>
      <c r="K68">
        <v>116.2</v>
      </c>
      <c r="L68">
        <v>103.3</v>
      </c>
      <c r="M68">
        <v>115.8</v>
      </c>
      <c r="N68">
        <v>116.8</v>
      </c>
      <c r="O68">
        <v>124.5</v>
      </c>
      <c r="P68">
        <f t="shared" si="2"/>
        <v>121.425</v>
      </c>
      <c r="Q68">
        <v>124.9</v>
      </c>
      <c r="R68">
        <v>120.8</v>
      </c>
      <c r="S68">
        <v>123.3</v>
      </c>
      <c r="T68">
        <v>120.5</v>
      </c>
      <c r="U68">
        <f t="shared" si="3"/>
        <v>121.9</v>
      </c>
      <c r="V68">
        <v>122.9</v>
      </c>
      <c r="W68" t="s">
        <v>32</v>
      </c>
      <c r="X68">
        <v>117.3</v>
      </c>
      <c r="Y68">
        <v>118.1</v>
      </c>
      <c r="Z68">
        <v>115.9</v>
      </c>
      <c r="AA68">
        <v>112</v>
      </c>
      <c r="AB68">
        <v>113.3</v>
      </c>
      <c r="AC68">
        <v>117.2</v>
      </c>
      <c r="AD68">
        <v>108.8</v>
      </c>
      <c r="AE68">
        <v>114.1</v>
      </c>
      <c r="AF68">
        <v>121.1</v>
      </c>
    </row>
    <row r="69" spans="1:32">
      <c r="A69" t="s">
        <v>33</v>
      </c>
      <c r="B69">
        <v>2014</v>
      </c>
      <c r="C69" t="s">
        <v>45</v>
      </c>
      <c r="D69">
        <v>124.5</v>
      </c>
      <c r="E69">
        <v>125.6</v>
      </c>
      <c r="F69">
        <v>122.7</v>
      </c>
      <c r="G69">
        <v>124.6</v>
      </c>
      <c r="H69">
        <v>103.2</v>
      </c>
      <c r="I69">
        <v>122.2</v>
      </c>
      <c r="J69">
        <v>153.19999999999999</v>
      </c>
      <c r="K69">
        <v>119.3</v>
      </c>
      <c r="L69">
        <v>99.8</v>
      </c>
      <c r="M69">
        <v>124.6</v>
      </c>
      <c r="N69">
        <v>115.8</v>
      </c>
      <c r="O69">
        <v>126.9</v>
      </c>
      <c r="P69">
        <f t="shared" si="2"/>
        <v>121.86666666666666</v>
      </c>
      <c r="Q69">
        <v>125.4</v>
      </c>
      <c r="R69">
        <v>125.8</v>
      </c>
      <c r="S69">
        <v>120.3</v>
      </c>
      <c r="T69">
        <v>115.4</v>
      </c>
      <c r="U69">
        <f t="shared" si="3"/>
        <v>117.85</v>
      </c>
      <c r="V69">
        <v>119.5</v>
      </c>
      <c r="W69">
        <v>117.1</v>
      </c>
      <c r="X69">
        <v>112.6</v>
      </c>
      <c r="Y69">
        <v>116.4</v>
      </c>
      <c r="Z69">
        <v>113</v>
      </c>
      <c r="AA69">
        <v>109.7</v>
      </c>
      <c r="AB69">
        <v>114</v>
      </c>
      <c r="AC69">
        <v>120.3</v>
      </c>
      <c r="AD69">
        <v>109.6</v>
      </c>
      <c r="AE69">
        <v>113.4</v>
      </c>
      <c r="AF69">
        <v>119</v>
      </c>
    </row>
    <row r="70" spans="1:32">
      <c r="A70" t="s">
        <v>34</v>
      </c>
      <c r="B70">
        <v>2014</v>
      </c>
      <c r="C70" t="s">
        <v>45</v>
      </c>
      <c r="D70">
        <v>123.3</v>
      </c>
      <c r="E70">
        <v>123.7</v>
      </c>
      <c r="F70">
        <v>121</v>
      </c>
      <c r="G70">
        <v>124.2</v>
      </c>
      <c r="H70">
        <v>107.8</v>
      </c>
      <c r="I70">
        <v>125.7</v>
      </c>
      <c r="J70">
        <v>152.4</v>
      </c>
      <c r="K70">
        <v>117.2</v>
      </c>
      <c r="L70">
        <v>102.1</v>
      </c>
      <c r="M70">
        <v>118.7</v>
      </c>
      <c r="N70">
        <v>116.4</v>
      </c>
      <c r="O70">
        <v>125.6</v>
      </c>
      <c r="P70">
        <f t="shared" si="2"/>
        <v>121.50833333333334</v>
      </c>
      <c r="Q70">
        <v>125.1</v>
      </c>
      <c r="R70">
        <v>122.1</v>
      </c>
      <c r="S70">
        <v>122.1</v>
      </c>
      <c r="T70">
        <v>118.4</v>
      </c>
      <c r="U70">
        <f t="shared" si="3"/>
        <v>120.25</v>
      </c>
      <c r="V70">
        <v>121.6</v>
      </c>
      <c r="W70">
        <v>117.1</v>
      </c>
      <c r="X70">
        <v>115.5</v>
      </c>
      <c r="Y70">
        <v>117.3</v>
      </c>
      <c r="Z70">
        <v>114.8</v>
      </c>
      <c r="AA70">
        <v>110.8</v>
      </c>
      <c r="AB70">
        <v>113.7</v>
      </c>
      <c r="AC70">
        <v>119</v>
      </c>
      <c r="AD70">
        <v>109.1</v>
      </c>
      <c r="AE70">
        <v>113.8</v>
      </c>
      <c r="AF70">
        <v>120.1</v>
      </c>
    </row>
    <row r="71" spans="1:32">
      <c r="A71" t="s">
        <v>30</v>
      </c>
      <c r="B71">
        <v>2014</v>
      </c>
      <c r="C71" t="s">
        <v>46</v>
      </c>
      <c r="D71">
        <v>122.4</v>
      </c>
      <c r="E71">
        <v>122.4</v>
      </c>
      <c r="F71">
        <v>121.8</v>
      </c>
      <c r="G71">
        <v>124.2</v>
      </c>
      <c r="H71">
        <v>110.2</v>
      </c>
      <c r="I71">
        <v>128.6</v>
      </c>
      <c r="J71">
        <v>140.30000000000001</v>
      </c>
      <c r="K71">
        <v>116.3</v>
      </c>
      <c r="L71">
        <v>102</v>
      </c>
      <c r="M71">
        <v>116</v>
      </c>
      <c r="N71">
        <v>117.3</v>
      </c>
      <c r="O71">
        <v>124.8</v>
      </c>
      <c r="P71">
        <f t="shared" si="2"/>
        <v>120.52499999999999</v>
      </c>
      <c r="Q71">
        <v>123.3</v>
      </c>
      <c r="R71">
        <v>121.7</v>
      </c>
      <c r="S71">
        <v>123.8</v>
      </c>
      <c r="T71">
        <v>120.6</v>
      </c>
      <c r="U71">
        <f t="shared" si="3"/>
        <v>122.19999999999999</v>
      </c>
      <c r="V71">
        <v>123.3</v>
      </c>
      <c r="W71" t="s">
        <v>32</v>
      </c>
      <c r="X71">
        <v>117.4</v>
      </c>
      <c r="Y71">
        <v>118.2</v>
      </c>
      <c r="Z71">
        <v>116.2</v>
      </c>
      <c r="AA71">
        <v>111.5</v>
      </c>
      <c r="AB71">
        <v>113.3</v>
      </c>
      <c r="AC71">
        <v>117.7</v>
      </c>
      <c r="AD71">
        <v>109.4</v>
      </c>
      <c r="AE71">
        <v>114.2</v>
      </c>
      <c r="AF71">
        <v>120.3</v>
      </c>
    </row>
    <row r="72" spans="1:32">
      <c r="A72" t="s">
        <v>33</v>
      </c>
      <c r="B72">
        <v>2014</v>
      </c>
      <c r="C72" t="s">
        <v>46</v>
      </c>
      <c r="D72">
        <v>124</v>
      </c>
      <c r="E72">
        <v>124.7</v>
      </c>
      <c r="F72">
        <v>126.3</v>
      </c>
      <c r="G72">
        <v>124.9</v>
      </c>
      <c r="H72">
        <v>103</v>
      </c>
      <c r="I72">
        <v>122.3</v>
      </c>
      <c r="J72">
        <v>141</v>
      </c>
      <c r="K72">
        <v>120.1</v>
      </c>
      <c r="L72">
        <v>97.8</v>
      </c>
      <c r="M72">
        <v>125.4</v>
      </c>
      <c r="N72">
        <v>116.1</v>
      </c>
      <c r="O72">
        <v>127.6</v>
      </c>
      <c r="P72">
        <f t="shared" si="2"/>
        <v>121.09999999999998</v>
      </c>
      <c r="Q72">
        <v>124</v>
      </c>
      <c r="R72">
        <v>126.4</v>
      </c>
      <c r="S72">
        <v>120.7</v>
      </c>
      <c r="T72">
        <v>115.8</v>
      </c>
      <c r="U72">
        <f t="shared" si="3"/>
        <v>118.25</v>
      </c>
      <c r="V72">
        <v>120</v>
      </c>
      <c r="W72">
        <v>116.5</v>
      </c>
      <c r="X72">
        <v>113</v>
      </c>
      <c r="Y72">
        <v>116.8</v>
      </c>
      <c r="Z72">
        <v>113.2</v>
      </c>
      <c r="AA72">
        <v>108.8</v>
      </c>
      <c r="AB72">
        <v>114.3</v>
      </c>
      <c r="AC72">
        <v>120.7</v>
      </c>
      <c r="AD72">
        <v>110.4</v>
      </c>
      <c r="AE72">
        <v>113.4</v>
      </c>
      <c r="AF72">
        <v>118.4</v>
      </c>
    </row>
    <row r="73" spans="1:32">
      <c r="A73" t="s">
        <v>34</v>
      </c>
      <c r="B73">
        <v>2014</v>
      </c>
      <c r="C73" t="s">
        <v>46</v>
      </c>
      <c r="D73">
        <v>122.9</v>
      </c>
      <c r="E73">
        <v>123.2</v>
      </c>
      <c r="F73">
        <v>123.5</v>
      </c>
      <c r="G73">
        <v>124.5</v>
      </c>
      <c r="H73">
        <v>107.6</v>
      </c>
      <c r="I73">
        <v>125.7</v>
      </c>
      <c r="J73">
        <v>140.5</v>
      </c>
      <c r="K73">
        <v>117.6</v>
      </c>
      <c r="L73">
        <v>100.6</v>
      </c>
      <c r="M73">
        <v>119.1</v>
      </c>
      <c r="N73">
        <v>116.8</v>
      </c>
      <c r="O73">
        <v>126.1</v>
      </c>
      <c r="P73">
        <f t="shared" si="2"/>
        <v>120.675</v>
      </c>
      <c r="Q73">
        <v>123.6</v>
      </c>
      <c r="R73">
        <v>123</v>
      </c>
      <c r="S73">
        <v>122.6</v>
      </c>
      <c r="T73">
        <v>118.6</v>
      </c>
      <c r="U73">
        <f t="shared" si="3"/>
        <v>120.6</v>
      </c>
      <c r="V73">
        <v>122</v>
      </c>
      <c r="W73">
        <v>116.5</v>
      </c>
      <c r="X73">
        <v>115.7</v>
      </c>
      <c r="Y73">
        <v>117.5</v>
      </c>
      <c r="Z73">
        <v>115.1</v>
      </c>
      <c r="AA73">
        <v>110.1</v>
      </c>
      <c r="AB73">
        <v>113.9</v>
      </c>
      <c r="AC73">
        <v>119.5</v>
      </c>
      <c r="AD73">
        <v>109.8</v>
      </c>
      <c r="AE73">
        <v>113.8</v>
      </c>
      <c r="AF73">
        <v>119.4</v>
      </c>
    </row>
    <row r="74" spans="1:32">
      <c r="A74" t="s">
        <v>30</v>
      </c>
      <c r="B74">
        <v>2015</v>
      </c>
      <c r="C74" t="s">
        <v>31</v>
      </c>
      <c r="D74">
        <v>123.1</v>
      </c>
      <c r="E74">
        <v>123.1</v>
      </c>
      <c r="F74">
        <v>122.1</v>
      </c>
      <c r="G74">
        <v>124.9</v>
      </c>
      <c r="H74">
        <v>111</v>
      </c>
      <c r="I74">
        <v>130.4</v>
      </c>
      <c r="J74">
        <v>132.30000000000001</v>
      </c>
      <c r="K74">
        <v>117.2</v>
      </c>
      <c r="L74">
        <v>100.5</v>
      </c>
      <c r="M74">
        <v>117.2</v>
      </c>
      <c r="N74">
        <v>117.9</v>
      </c>
      <c r="O74">
        <v>125.6</v>
      </c>
      <c r="P74">
        <f t="shared" si="2"/>
        <v>120.44166666666666</v>
      </c>
      <c r="Q74">
        <v>122.8</v>
      </c>
      <c r="R74">
        <v>122.7</v>
      </c>
      <c r="S74">
        <v>124.4</v>
      </c>
      <c r="T74">
        <v>121.6</v>
      </c>
      <c r="U74">
        <f t="shared" si="3"/>
        <v>123</v>
      </c>
      <c r="V74">
        <v>124</v>
      </c>
      <c r="W74" t="s">
        <v>32</v>
      </c>
      <c r="X74">
        <v>118.4</v>
      </c>
      <c r="Y74">
        <v>118.9</v>
      </c>
      <c r="Z74">
        <v>116.6</v>
      </c>
      <c r="AA74">
        <v>111</v>
      </c>
      <c r="AB74">
        <v>114</v>
      </c>
      <c r="AC74">
        <v>118.2</v>
      </c>
      <c r="AD74">
        <v>110.2</v>
      </c>
      <c r="AE74">
        <v>114.5</v>
      </c>
      <c r="AF74">
        <v>120.3</v>
      </c>
    </row>
    <row r="75" spans="1:32">
      <c r="A75" t="s">
        <v>33</v>
      </c>
      <c r="B75">
        <v>2015</v>
      </c>
      <c r="C75" t="s">
        <v>31</v>
      </c>
      <c r="D75">
        <v>124</v>
      </c>
      <c r="E75">
        <v>125.5</v>
      </c>
      <c r="F75">
        <v>126.6</v>
      </c>
      <c r="G75">
        <v>125.2</v>
      </c>
      <c r="H75">
        <v>104.3</v>
      </c>
      <c r="I75">
        <v>121.3</v>
      </c>
      <c r="J75">
        <v>134.4</v>
      </c>
      <c r="K75">
        <v>122.9</v>
      </c>
      <c r="L75">
        <v>96.1</v>
      </c>
      <c r="M75">
        <v>126.6</v>
      </c>
      <c r="N75">
        <v>116.5</v>
      </c>
      <c r="O75">
        <v>128</v>
      </c>
      <c r="P75">
        <f t="shared" si="2"/>
        <v>120.94999999999999</v>
      </c>
      <c r="Q75">
        <v>123.5</v>
      </c>
      <c r="R75">
        <v>127.4</v>
      </c>
      <c r="S75">
        <v>121</v>
      </c>
      <c r="T75">
        <v>116.1</v>
      </c>
      <c r="U75">
        <f t="shared" si="3"/>
        <v>118.55</v>
      </c>
      <c r="V75">
        <v>120.2</v>
      </c>
      <c r="W75">
        <v>117.3</v>
      </c>
      <c r="X75">
        <v>113.4</v>
      </c>
      <c r="Y75">
        <v>117.2</v>
      </c>
      <c r="Z75">
        <v>113.7</v>
      </c>
      <c r="AA75">
        <v>107.9</v>
      </c>
      <c r="AB75">
        <v>114.6</v>
      </c>
      <c r="AC75">
        <v>120.8</v>
      </c>
      <c r="AD75">
        <v>111.4</v>
      </c>
      <c r="AE75">
        <v>113.4</v>
      </c>
      <c r="AF75">
        <v>118.5</v>
      </c>
    </row>
    <row r="76" spans="1:32">
      <c r="A76" t="s">
        <v>34</v>
      </c>
      <c r="B76">
        <v>2015</v>
      </c>
      <c r="C76" t="s">
        <v>31</v>
      </c>
      <c r="D76">
        <v>123.4</v>
      </c>
      <c r="E76">
        <v>123.9</v>
      </c>
      <c r="F76">
        <v>123.8</v>
      </c>
      <c r="G76">
        <v>125</v>
      </c>
      <c r="H76">
        <v>108.5</v>
      </c>
      <c r="I76">
        <v>126.2</v>
      </c>
      <c r="J76">
        <v>133</v>
      </c>
      <c r="K76">
        <v>119.1</v>
      </c>
      <c r="L76">
        <v>99</v>
      </c>
      <c r="M76">
        <v>120.3</v>
      </c>
      <c r="N76">
        <v>117.3</v>
      </c>
      <c r="O76">
        <v>126.7</v>
      </c>
      <c r="P76">
        <f t="shared" si="2"/>
        <v>120.51666666666667</v>
      </c>
      <c r="Q76">
        <v>123.1</v>
      </c>
      <c r="R76">
        <v>124</v>
      </c>
      <c r="S76">
        <v>123.1</v>
      </c>
      <c r="T76">
        <v>119.3</v>
      </c>
      <c r="U76">
        <f t="shared" si="3"/>
        <v>121.19999999999999</v>
      </c>
      <c r="V76">
        <v>122.5</v>
      </c>
      <c r="W76">
        <v>117.3</v>
      </c>
      <c r="X76">
        <v>116.5</v>
      </c>
      <c r="Y76">
        <v>118.1</v>
      </c>
      <c r="Z76">
        <v>115.5</v>
      </c>
      <c r="AA76">
        <v>109.4</v>
      </c>
      <c r="AB76">
        <v>114.3</v>
      </c>
      <c r="AC76">
        <v>119.7</v>
      </c>
      <c r="AD76">
        <v>110.7</v>
      </c>
      <c r="AE76">
        <v>114</v>
      </c>
      <c r="AF76">
        <v>119.5</v>
      </c>
    </row>
    <row r="77" spans="1:32">
      <c r="A77" t="s">
        <v>30</v>
      </c>
      <c r="B77">
        <v>2015</v>
      </c>
      <c r="C77" t="s">
        <v>35</v>
      </c>
      <c r="D77">
        <v>123.4</v>
      </c>
      <c r="E77">
        <v>124.4</v>
      </c>
      <c r="F77">
        <v>122.1</v>
      </c>
      <c r="G77">
        <v>125.8</v>
      </c>
      <c r="H77">
        <v>111.5</v>
      </c>
      <c r="I77">
        <v>129.4</v>
      </c>
      <c r="J77">
        <v>128.19999999999999</v>
      </c>
      <c r="K77">
        <v>118.8</v>
      </c>
      <c r="L77">
        <v>100</v>
      </c>
      <c r="M77">
        <v>118.6</v>
      </c>
      <c r="N77">
        <v>118.8</v>
      </c>
      <c r="O77">
        <v>126.8</v>
      </c>
      <c r="P77">
        <f t="shared" si="2"/>
        <v>120.64999999999998</v>
      </c>
      <c r="Q77">
        <v>122.8</v>
      </c>
      <c r="R77">
        <v>124.2</v>
      </c>
      <c r="S77">
        <v>125.4</v>
      </c>
      <c r="T77">
        <v>122.7</v>
      </c>
      <c r="U77">
        <f t="shared" si="3"/>
        <v>124.05000000000001</v>
      </c>
      <c r="V77">
        <v>125</v>
      </c>
      <c r="W77" t="s">
        <v>32</v>
      </c>
      <c r="X77">
        <v>120</v>
      </c>
      <c r="Y77">
        <v>119.6</v>
      </c>
      <c r="Z77">
        <v>117.7</v>
      </c>
      <c r="AA77">
        <v>110.9</v>
      </c>
      <c r="AB77">
        <v>114.8</v>
      </c>
      <c r="AC77">
        <v>118.7</v>
      </c>
      <c r="AD77">
        <v>110.8</v>
      </c>
      <c r="AE77">
        <v>115</v>
      </c>
      <c r="AF77">
        <v>120.6</v>
      </c>
    </row>
    <row r="78" spans="1:32">
      <c r="A78" t="s">
        <v>33</v>
      </c>
      <c r="B78">
        <v>2015</v>
      </c>
      <c r="C78" t="s">
        <v>35</v>
      </c>
      <c r="D78">
        <v>124.3</v>
      </c>
      <c r="E78">
        <v>126.5</v>
      </c>
      <c r="F78">
        <v>119.5</v>
      </c>
      <c r="G78">
        <v>125.6</v>
      </c>
      <c r="H78">
        <v>104.9</v>
      </c>
      <c r="I78">
        <v>121.6</v>
      </c>
      <c r="J78">
        <v>131.80000000000001</v>
      </c>
      <c r="K78">
        <v>125.1</v>
      </c>
      <c r="L78">
        <v>95</v>
      </c>
      <c r="M78">
        <v>127.7</v>
      </c>
      <c r="N78">
        <v>116.8</v>
      </c>
      <c r="O78">
        <v>128.6</v>
      </c>
      <c r="P78">
        <f t="shared" si="2"/>
        <v>120.61666666666667</v>
      </c>
      <c r="Q78">
        <v>123.7</v>
      </c>
      <c r="R78">
        <v>128.1</v>
      </c>
      <c r="S78">
        <v>121.3</v>
      </c>
      <c r="T78">
        <v>116.5</v>
      </c>
      <c r="U78">
        <f t="shared" si="3"/>
        <v>118.9</v>
      </c>
      <c r="V78">
        <v>120.6</v>
      </c>
      <c r="W78">
        <v>118.1</v>
      </c>
      <c r="X78">
        <v>114</v>
      </c>
      <c r="Y78">
        <v>117.7</v>
      </c>
      <c r="Z78">
        <v>114.1</v>
      </c>
      <c r="AA78">
        <v>106.8</v>
      </c>
      <c r="AB78">
        <v>114.9</v>
      </c>
      <c r="AC78">
        <v>120.4</v>
      </c>
      <c r="AD78">
        <v>111.7</v>
      </c>
      <c r="AE78">
        <v>113.2</v>
      </c>
      <c r="AF78">
        <v>118.7</v>
      </c>
    </row>
    <row r="79" spans="1:32">
      <c r="A79" t="s">
        <v>34</v>
      </c>
      <c r="B79">
        <v>2015</v>
      </c>
      <c r="C79" t="s">
        <v>35</v>
      </c>
      <c r="D79">
        <v>123.7</v>
      </c>
      <c r="E79">
        <v>125.1</v>
      </c>
      <c r="F79">
        <v>121.1</v>
      </c>
      <c r="G79">
        <v>125.7</v>
      </c>
      <c r="H79">
        <v>109.1</v>
      </c>
      <c r="I79">
        <v>125.8</v>
      </c>
      <c r="J79">
        <v>129.4</v>
      </c>
      <c r="K79">
        <v>120.9</v>
      </c>
      <c r="L79">
        <v>98.3</v>
      </c>
      <c r="M79">
        <v>121.6</v>
      </c>
      <c r="N79">
        <v>118</v>
      </c>
      <c r="O79">
        <v>127.6</v>
      </c>
      <c r="P79">
        <f t="shared" si="2"/>
        <v>120.52499999999998</v>
      </c>
      <c r="Q79">
        <v>123.1</v>
      </c>
      <c r="R79">
        <v>125.2</v>
      </c>
      <c r="S79">
        <v>123.8</v>
      </c>
      <c r="T79">
        <v>120.1</v>
      </c>
      <c r="U79">
        <f t="shared" si="3"/>
        <v>121.94999999999999</v>
      </c>
      <c r="V79">
        <v>123.3</v>
      </c>
      <c r="W79">
        <v>118.1</v>
      </c>
      <c r="X79">
        <v>117.7</v>
      </c>
      <c r="Y79">
        <v>118.7</v>
      </c>
      <c r="Z79">
        <v>116.3</v>
      </c>
      <c r="AA79">
        <v>108.7</v>
      </c>
      <c r="AB79">
        <v>114.9</v>
      </c>
      <c r="AC79">
        <v>119.7</v>
      </c>
      <c r="AD79">
        <v>111.2</v>
      </c>
      <c r="AE79">
        <v>114.1</v>
      </c>
      <c r="AF79">
        <v>119.7</v>
      </c>
    </row>
    <row r="80" spans="1:32">
      <c r="A80" t="s">
        <v>30</v>
      </c>
      <c r="B80">
        <v>2015</v>
      </c>
      <c r="C80" t="s">
        <v>36</v>
      </c>
      <c r="D80">
        <v>123.3</v>
      </c>
      <c r="E80">
        <v>124.7</v>
      </c>
      <c r="F80">
        <v>118.9</v>
      </c>
      <c r="G80">
        <v>126</v>
      </c>
      <c r="H80">
        <v>111.8</v>
      </c>
      <c r="I80">
        <v>130.9</v>
      </c>
      <c r="J80">
        <v>128</v>
      </c>
      <c r="K80">
        <v>119.9</v>
      </c>
      <c r="L80">
        <v>98.9</v>
      </c>
      <c r="M80">
        <v>119.4</v>
      </c>
      <c r="N80">
        <v>118.9</v>
      </c>
      <c r="O80">
        <v>127.7</v>
      </c>
      <c r="P80">
        <f t="shared" si="2"/>
        <v>120.7</v>
      </c>
      <c r="Q80">
        <v>123.1</v>
      </c>
      <c r="R80">
        <v>124.7</v>
      </c>
      <c r="S80">
        <v>126</v>
      </c>
      <c r="T80">
        <v>122.9</v>
      </c>
      <c r="U80">
        <f t="shared" si="3"/>
        <v>124.45</v>
      </c>
      <c r="V80">
        <v>125.5</v>
      </c>
      <c r="W80" t="s">
        <v>32</v>
      </c>
      <c r="X80">
        <v>120.6</v>
      </c>
      <c r="Y80">
        <v>120.2</v>
      </c>
      <c r="Z80">
        <v>118.2</v>
      </c>
      <c r="AA80">
        <v>111.6</v>
      </c>
      <c r="AB80">
        <v>115.5</v>
      </c>
      <c r="AC80">
        <v>119.4</v>
      </c>
      <c r="AD80">
        <v>110.8</v>
      </c>
      <c r="AE80">
        <v>115.5</v>
      </c>
      <c r="AF80">
        <v>121.1</v>
      </c>
    </row>
    <row r="81" spans="1:32">
      <c r="A81" t="s">
        <v>33</v>
      </c>
      <c r="B81">
        <v>2015</v>
      </c>
      <c r="C81" t="s">
        <v>36</v>
      </c>
      <c r="D81">
        <v>124</v>
      </c>
      <c r="E81">
        <v>126.7</v>
      </c>
      <c r="F81">
        <v>113.5</v>
      </c>
      <c r="G81">
        <v>125.9</v>
      </c>
      <c r="H81">
        <v>104.8</v>
      </c>
      <c r="I81">
        <v>123.8</v>
      </c>
      <c r="J81">
        <v>131.4</v>
      </c>
      <c r="K81">
        <v>127.2</v>
      </c>
      <c r="L81">
        <v>93.2</v>
      </c>
      <c r="M81">
        <v>127.4</v>
      </c>
      <c r="N81">
        <v>117</v>
      </c>
      <c r="O81">
        <v>129.19999999999999</v>
      </c>
      <c r="P81">
        <f t="shared" si="2"/>
        <v>120.34166666666668</v>
      </c>
      <c r="Q81">
        <v>123.9</v>
      </c>
      <c r="R81">
        <v>128.80000000000001</v>
      </c>
      <c r="S81">
        <v>121.7</v>
      </c>
      <c r="T81">
        <v>116.9</v>
      </c>
      <c r="U81">
        <f t="shared" si="3"/>
        <v>119.30000000000001</v>
      </c>
      <c r="V81">
        <v>120.9</v>
      </c>
      <c r="W81">
        <v>118.6</v>
      </c>
      <c r="X81">
        <v>114.4</v>
      </c>
      <c r="Y81">
        <v>118</v>
      </c>
      <c r="Z81">
        <v>114.3</v>
      </c>
      <c r="AA81">
        <v>108.4</v>
      </c>
      <c r="AB81">
        <v>115.4</v>
      </c>
      <c r="AC81">
        <v>120.6</v>
      </c>
      <c r="AD81">
        <v>111.3</v>
      </c>
      <c r="AE81">
        <v>113.8</v>
      </c>
      <c r="AF81">
        <v>119.1</v>
      </c>
    </row>
    <row r="82" spans="1:32">
      <c r="A82" t="s">
        <v>34</v>
      </c>
      <c r="B82">
        <v>2015</v>
      </c>
      <c r="C82" t="s">
        <v>36</v>
      </c>
      <c r="D82">
        <v>123.5</v>
      </c>
      <c r="E82">
        <v>125.4</v>
      </c>
      <c r="F82">
        <v>116.8</v>
      </c>
      <c r="G82">
        <v>126</v>
      </c>
      <c r="H82">
        <v>109.2</v>
      </c>
      <c r="I82">
        <v>127.6</v>
      </c>
      <c r="J82">
        <v>129.19999999999999</v>
      </c>
      <c r="K82">
        <v>122.4</v>
      </c>
      <c r="L82">
        <v>97</v>
      </c>
      <c r="M82">
        <v>122.1</v>
      </c>
      <c r="N82">
        <v>118.1</v>
      </c>
      <c r="O82">
        <v>128.4</v>
      </c>
      <c r="P82">
        <f t="shared" si="2"/>
        <v>120.47499999999998</v>
      </c>
      <c r="Q82">
        <v>123.4</v>
      </c>
      <c r="R82">
        <v>125.8</v>
      </c>
      <c r="S82">
        <v>124.3</v>
      </c>
      <c r="T82">
        <v>120.4</v>
      </c>
      <c r="U82">
        <f t="shared" si="3"/>
        <v>122.35</v>
      </c>
      <c r="V82">
        <v>123.7</v>
      </c>
      <c r="W82">
        <v>118.6</v>
      </c>
      <c r="X82">
        <v>118.3</v>
      </c>
      <c r="Y82">
        <v>119.2</v>
      </c>
      <c r="Z82">
        <v>116.7</v>
      </c>
      <c r="AA82">
        <v>109.9</v>
      </c>
      <c r="AB82">
        <v>115.4</v>
      </c>
      <c r="AC82">
        <v>120.1</v>
      </c>
      <c r="AD82">
        <v>111</v>
      </c>
      <c r="AE82">
        <v>114.7</v>
      </c>
      <c r="AF82">
        <v>120.2</v>
      </c>
    </row>
    <row r="83" spans="1:32">
      <c r="A83" t="s">
        <v>30</v>
      </c>
      <c r="B83">
        <v>2015</v>
      </c>
      <c r="C83" t="s">
        <v>37</v>
      </c>
      <c r="D83">
        <v>123.3</v>
      </c>
      <c r="E83">
        <v>125.5</v>
      </c>
      <c r="F83">
        <v>117.2</v>
      </c>
      <c r="G83">
        <v>126.8</v>
      </c>
      <c r="H83">
        <v>111.9</v>
      </c>
      <c r="I83">
        <v>134.19999999999999</v>
      </c>
      <c r="J83">
        <v>127.5</v>
      </c>
      <c r="K83">
        <v>121.5</v>
      </c>
      <c r="L83">
        <v>97.8</v>
      </c>
      <c r="M83">
        <v>119.8</v>
      </c>
      <c r="N83">
        <v>119.4</v>
      </c>
      <c r="O83">
        <v>128.69999999999999</v>
      </c>
      <c r="P83">
        <f t="shared" si="2"/>
        <v>121.13333333333334</v>
      </c>
      <c r="Q83">
        <v>123.6</v>
      </c>
      <c r="R83">
        <v>125.7</v>
      </c>
      <c r="S83">
        <v>126.4</v>
      </c>
      <c r="T83">
        <v>123.3</v>
      </c>
      <c r="U83">
        <f t="shared" si="3"/>
        <v>124.85</v>
      </c>
      <c r="V83">
        <v>126</v>
      </c>
      <c r="W83" t="s">
        <v>32</v>
      </c>
      <c r="X83">
        <v>121.2</v>
      </c>
      <c r="Y83">
        <v>120.9</v>
      </c>
      <c r="Z83">
        <v>118.6</v>
      </c>
      <c r="AA83">
        <v>111.9</v>
      </c>
      <c r="AB83">
        <v>116.2</v>
      </c>
      <c r="AC83">
        <v>119.9</v>
      </c>
      <c r="AD83">
        <v>111.6</v>
      </c>
      <c r="AE83">
        <v>116</v>
      </c>
      <c r="AF83">
        <v>121.5</v>
      </c>
    </row>
    <row r="84" spans="1:32">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f t="shared" si="2"/>
        <v>120.95833333333333</v>
      </c>
      <c r="Q84">
        <v>124.6</v>
      </c>
      <c r="R84">
        <v>130.1</v>
      </c>
      <c r="S84">
        <v>122.1</v>
      </c>
      <c r="T84">
        <v>117.2</v>
      </c>
      <c r="U84">
        <f t="shared" si="3"/>
        <v>119.65</v>
      </c>
      <c r="V84">
        <v>121.3</v>
      </c>
      <c r="W84">
        <v>119.2</v>
      </c>
      <c r="X84">
        <v>114.7</v>
      </c>
      <c r="Y84">
        <v>118.4</v>
      </c>
      <c r="Z84">
        <v>114.6</v>
      </c>
      <c r="AA84">
        <v>108.4</v>
      </c>
      <c r="AB84">
        <v>115.6</v>
      </c>
      <c r="AC84">
        <v>121.7</v>
      </c>
      <c r="AD84">
        <v>111.8</v>
      </c>
      <c r="AE84">
        <v>114.2</v>
      </c>
      <c r="AF84">
        <v>119.7</v>
      </c>
    </row>
    <row r="85" spans="1:32">
      <c r="A85" t="s">
        <v>34</v>
      </c>
      <c r="B85">
        <v>2015</v>
      </c>
      <c r="C85" t="s">
        <v>37</v>
      </c>
      <c r="D85">
        <v>123.5</v>
      </c>
      <c r="E85">
        <v>126.4</v>
      </c>
      <c r="F85">
        <v>114.4</v>
      </c>
      <c r="G85">
        <v>126.6</v>
      </c>
      <c r="H85">
        <v>109.2</v>
      </c>
      <c r="I85">
        <v>132.5</v>
      </c>
      <c r="J85">
        <v>128.6</v>
      </c>
      <c r="K85">
        <v>124.8</v>
      </c>
      <c r="L85">
        <v>95.7</v>
      </c>
      <c r="M85">
        <v>122.4</v>
      </c>
      <c r="N85">
        <v>118.5</v>
      </c>
      <c r="O85">
        <v>129.1</v>
      </c>
      <c r="P85">
        <f t="shared" si="2"/>
        <v>120.97500000000001</v>
      </c>
      <c r="Q85">
        <v>124</v>
      </c>
      <c r="R85">
        <v>126.9</v>
      </c>
      <c r="S85">
        <v>124.7</v>
      </c>
      <c r="T85">
        <v>120.8</v>
      </c>
      <c r="U85">
        <f t="shared" si="3"/>
        <v>122.75</v>
      </c>
      <c r="V85">
        <v>124.1</v>
      </c>
      <c r="W85">
        <v>119.2</v>
      </c>
      <c r="X85">
        <v>118.7</v>
      </c>
      <c r="Y85">
        <v>119.7</v>
      </c>
      <c r="Z85">
        <v>117.1</v>
      </c>
      <c r="AA85">
        <v>110.1</v>
      </c>
      <c r="AB85">
        <v>115.9</v>
      </c>
      <c r="AC85">
        <v>121</v>
      </c>
      <c r="AD85">
        <v>111.7</v>
      </c>
      <c r="AE85">
        <v>115.1</v>
      </c>
      <c r="AF85">
        <v>120.7</v>
      </c>
    </row>
    <row r="86" spans="1:32">
      <c r="A86" t="s">
        <v>30</v>
      </c>
      <c r="B86">
        <v>2015</v>
      </c>
      <c r="C86" t="s">
        <v>38</v>
      </c>
      <c r="D86">
        <v>123.5</v>
      </c>
      <c r="E86">
        <v>127.1</v>
      </c>
      <c r="F86">
        <v>117.3</v>
      </c>
      <c r="G86">
        <v>127.7</v>
      </c>
      <c r="H86">
        <v>112.5</v>
      </c>
      <c r="I86">
        <v>134.1</v>
      </c>
      <c r="J86">
        <v>128.5</v>
      </c>
      <c r="K86">
        <v>124.3</v>
      </c>
      <c r="L86">
        <v>97.6</v>
      </c>
      <c r="M86">
        <v>120.7</v>
      </c>
      <c r="N86">
        <v>120.2</v>
      </c>
      <c r="O86">
        <v>129.80000000000001</v>
      </c>
      <c r="P86">
        <f t="shared" si="2"/>
        <v>121.94166666666666</v>
      </c>
      <c r="Q86">
        <v>124.4</v>
      </c>
      <c r="R86">
        <v>126.7</v>
      </c>
      <c r="S86">
        <v>127.3</v>
      </c>
      <c r="T86">
        <v>124.1</v>
      </c>
      <c r="U86">
        <f t="shared" si="3"/>
        <v>125.69999999999999</v>
      </c>
      <c r="V86">
        <v>126.8</v>
      </c>
      <c r="W86" t="s">
        <v>32</v>
      </c>
      <c r="X86">
        <v>121.9</v>
      </c>
      <c r="Y86">
        <v>121.5</v>
      </c>
      <c r="Z86">
        <v>119.4</v>
      </c>
      <c r="AA86">
        <v>113.3</v>
      </c>
      <c r="AB86">
        <v>116.7</v>
      </c>
      <c r="AC86">
        <v>120.5</v>
      </c>
      <c r="AD86">
        <v>112.3</v>
      </c>
      <c r="AE86">
        <v>116.9</v>
      </c>
      <c r="AF86">
        <v>122.4</v>
      </c>
    </row>
    <row r="87" spans="1:32">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f t="shared" si="2"/>
        <v>122.73333333333335</v>
      </c>
      <c r="Q87">
        <v>126.1</v>
      </c>
      <c r="R87">
        <v>131.30000000000001</v>
      </c>
      <c r="S87">
        <v>122.4</v>
      </c>
      <c r="T87">
        <v>117.4</v>
      </c>
      <c r="U87">
        <f t="shared" si="3"/>
        <v>119.9</v>
      </c>
      <c r="V87">
        <v>121.6</v>
      </c>
      <c r="W87">
        <v>119.6</v>
      </c>
      <c r="X87">
        <v>114.9</v>
      </c>
      <c r="Y87">
        <v>118.7</v>
      </c>
      <c r="Z87">
        <v>114.9</v>
      </c>
      <c r="AA87">
        <v>110.8</v>
      </c>
      <c r="AB87">
        <v>116</v>
      </c>
      <c r="AC87">
        <v>122</v>
      </c>
      <c r="AD87">
        <v>112.4</v>
      </c>
      <c r="AE87">
        <v>115.2</v>
      </c>
      <c r="AF87">
        <v>120.7</v>
      </c>
    </row>
    <row r="88" spans="1:32">
      <c r="A88" t="s">
        <v>34</v>
      </c>
      <c r="B88">
        <v>2015</v>
      </c>
      <c r="C88" t="s">
        <v>38</v>
      </c>
      <c r="D88">
        <v>123.6</v>
      </c>
      <c r="E88">
        <v>128</v>
      </c>
      <c r="F88">
        <v>115</v>
      </c>
      <c r="G88">
        <v>127.3</v>
      </c>
      <c r="H88">
        <v>109.8</v>
      </c>
      <c r="I88">
        <v>132.6</v>
      </c>
      <c r="J88">
        <v>130.9</v>
      </c>
      <c r="K88">
        <v>130.5</v>
      </c>
      <c r="L88">
        <v>95.3</v>
      </c>
      <c r="M88">
        <v>123.4</v>
      </c>
      <c r="N88">
        <v>119.2</v>
      </c>
      <c r="O88">
        <v>129.80000000000001</v>
      </c>
      <c r="P88">
        <f t="shared" si="2"/>
        <v>122.11666666666667</v>
      </c>
      <c r="Q88">
        <v>125</v>
      </c>
      <c r="R88">
        <v>127.9</v>
      </c>
      <c r="S88">
        <v>125.4</v>
      </c>
      <c r="T88">
        <v>121.3</v>
      </c>
      <c r="U88">
        <f t="shared" si="3"/>
        <v>123.35</v>
      </c>
      <c r="V88">
        <v>124.7</v>
      </c>
      <c r="W88">
        <v>119.6</v>
      </c>
      <c r="X88">
        <v>119.2</v>
      </c>
      <c r="Y88">
        <v>120.2</v>
      </c>
      <c r="Z88">
        <v>117.7</v>
      </c>
      <c r="AA88">
        <v>112</v>
      </c>
      <c r="AB88">
        <v>116.3</v>
      </c>
      <c r="AC88">
        <v>121.4</v>
      </c>
      <c r="AD88">
        <v>112.3</v>
      </c>
      <c r="AE88">
        <v>116.1</v>
      </c>
      <c r="AF88">
        <v>121.6</v>
      </c>
    </row>
    <row r="89" spans="1:32">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f t="shared" si="2"/>
        <v>124.27499999999999</v>
      </c>
      <c r="Q89">
        <v>126.6</v>
      </c>
      <c r="R89">
        <v>128.19999999999999</v>
      </c>
      <c r="S89">
        <v>128.4</v>
      </c>
      <c r="T89">
        <v>125.1</v>
      </c>
      <c r="U89">
        <f t="shared" si="3"/>
        <v>126.75</v>
      </c>
      <c r="V89">
        <v>128</v>
      </c>
      <c r="W89" t="s">
        <v>32</v>
      </c>
      <c r="X89">
        <v>122.6</v>
      </c>
      <c r="Y89">
        <v>122.8</v>
      </c>
      <c r="Z89">
        <v>120.4</v>
      </c>
      <c r="AA89">
        <v>114.2</v>
      </c>
      <c r="AB89">
        <v>117.9</v>
      </c>
      <c r="AC89">
        <v>122</v>
      </c>
      <c r="AD89">
        <v>113</v>
      </c>
      <c r="AE89">
        <v>117.9</v>
      </c>
      <c r="AF89">
        <v>124.1</v>
      </c>
    </row>
    <row r="90" spans="1:32">
      <c r="A90" t="s">
        <v>33</v>
      </c>
      <c r="B90">
        <v>2015</v>
      </c>
      <c r="C90" t="s">
        <v>39</v>
      </c>
      <c r="D90">
        <v>123.6</v>
      </c>
      <c r="E90">
        <v>134.4</v>
      </c>
      <c r="F90">
        <v>120.9</v>
      </c>
      <c r="G90">
        <v>127.3</v>
      </c>
      <c r="H90">
        <v>106</v>
      </c>
      <c r="I90">
        <v>132.30000000000001</v>
      </c>
      <c r="J90">
        <v>146.69999999999999</v>
      </c>
      <c r="K90">
        <v>148.1</v>
      </c>
      <c r="L90">
        <v>89.8</v>
      </c>
      <c r="M90">
        <v>130.5</v>
      </c>
      <c r="N90">
        <v>118</v>
      </c>
      <c r="O90">
        <v>130.5</v>
      </c>
      <c r="P90">
        <f t="shared" si="2"/>
        <v>125.675</v>
      </c>
      <c r="Q90">
        <v>128.5</v>
      </c>
      <c r="R90">
        <v>132.1</v>
      </c>
      <c r="S90">
        <v>123.2</v>
      </c>
      <c r="T90">
        <v>117.6</v>
      </c>
      <c r="U90">
        <f t="shared" si="3"/>
        <v>120.4</v>
      </c>
      <c r="V90">
        <v>122.3</v>
      </c>
      <c r="W90">
        <v>119</v>
      </c>
      <c r="X90">
        <v>115.1</v>
      </c>
      <c r="Y90">
        <v>119.2</v>
      </c>
      <c r="Z90">
        <v>115.4</v>
      </c>
      <c r="AA90">
        <v>111.7</v>
      </c>
      <c r="AB90">
        <v>116.2</v>
      </c>
      <c r="AC90">
        <v>123.8</v>
      </c>
      <c r="AD90">
        <v>112.5</v>
      </c>
      <c r="AE90">
        <v>116</v>
      </c>
      <c r="AF90">
        <v>121.7</v>
      </c>
    </row>
    <row r="91" spans="1:32">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f t="shared" si="2"/>
        <v>124.68333333333334</v>
      </c>
      <c r="Q91">
        <v>127.3</v>
      </c>
      <c r="R91">
        <v>129.19999999999999</v>
      </c>
      <c r="S91">
        <v>126.4</v>
      </c>
      <c r="T91">
        <v>122</v>
      </c>
      <c r="U91">
        <f t="shared" si="3"/>
        <v>124.2</v>
      </c>
      <c r="V91">
        <v>125.7</v>
      </c>
      <c r="W91">
        <v>119</v>
      </c>
      <c r="X91">
        <v>119.8</v>
      </c>
      <c r="Y91">
        <v>121.1</v>
      </c>
      <c r="Z91">
        <v>118.5</v>
      </c>
      <c r="AA91">
        <v>112.9</v>
      </c>
      <c r="AB91">
        <v>116.9</v>
      </c>
      <c r="AC91">
        <v>123.1</v>
      </c>
      <c r="AD91">
        <v>112.8</v>
      </c>
      <c r="AE91">
        <v>117</v>
      </c>
      <c r="AF91">
        <v>123</v>
      </c>
    </row>
    <row r="92" spans="1:32">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f t="shared" si="2"/>
        <v>124.81666666666666</v>
      </c>
      <c r="Q92">
        <v>127.5</v>
      </c>
      <c r="R92">
        <v>129.4</v>
      </c>
      <c r="S92">
        <v>128.80000000000001</v>
      </c>
      <c r="T92">
        <v>125.5</v>
      </c>
      <c r="U92">
        <f t="shared" si="3"/>
        <v>127.15</v>
      </c>
      <c r="V92">
        <v>128.30000000000001</v>
      </c>
      <c r="W92" t="s">
        <v>32</v>
      </c>
      <c r="X92">
        <v>123</v>
      </c>
      <c r="Y92">
        <v>123</v>
      </c>
      <c r="Z92">
        <v>120.8</v>
      </c>
      <c r="AA92">
        <v>114.1</v>
      </c>
      <c r="AB92">
        <v>118</v>
      </c>
      <c r="AC92">
        <v>122.9</v>
      </c>
      <c r="AD92">
        <v>112.7</v>
      </c>
      <c r="AE92">
        <v>118.1</v>
      </c>
      <c r="AF92">
        <v>124.7</v>
      </c>
    </row>
    <row r="93" spans="1:32">
      <c r="A93" t="s">
        <v>33</v>
      </c>
      <c r="B93">
        <v>2015</v>
      </c>
      <c r="C93" t="s">
        <v>40</v>
      </c>
      <c r="D93">
        <v>123.2</v>
      </c>
      <c r="E93">
        <v>134.30000000000001</v>
      </c>
      <c r="F93">
        <v>119.5</v>
      </c>
      <c r="G93">
        <v>127.7</v>
      </c>
      <c r="H93">
        <v>106.3</v>
      </c>
      <c r="I93">
        <v>132.80000000000001</v>
      </c>
      <c r="J93">
        <v>153.5</v>
      </c>
      <c r="K93">
        <v>149.5</v>
      </c>
      <c r="L93">
        <v>85.7</v>
      </c>
      <c r="M93">
        <v>131.5</v>
      </c>
      <c r="N93">
        <v>118.3</v>
      </c>
      <c r="O93">
        <v>131.1</v>
      </c>
      <c r="P93">
        <f t="shared" si="2"/>
        <v>126.11666666666666</v>
      </c>
      <c r="Q93">
        <v>129.5</v>
      </c>
      <c r="R93">
        <v>133.1</v>
      </c>
      <c r="S93">
        <v>123.5</v>
      </c>
      <c r="T93">
        <v>117.9</v>
      </c>
      <c r="U93">
        <f t="shared" si="3"/>
        <v>120.7</v>
      </c>
      <c r="V93">
        <v>122.7</v>
      </c>
      <c r="W93">
        <v>119.9</v>
      </c>
      <c r="X93">
        <v>115.3</v>
      </c>
      <c r="Y93">
        <v>119.5</v>
      </c>
      <c r="Z93">
        <v>116</v>
      </c>
      <c r="AA93">
        <v>111.5</v>
      </c>
      <c r="AB93">
        <v>116.6</v>
      </c>
      <c r="AC93">
        <v>125.4</v>
      </c>
      <c r="AD93">
        <v>111.7</v>
      </c>
      <c r="AE93">
        <v>116.3</v>
      </c>
      <c r="AF93">
        <v>122.4</v>
      </c>
    </row>
    <row r="94" spans="1:32">
      <c r="A94" t="s">
        <v>34</v>
      </c>
      <c r="B94">
        <v>2015</v>
      </c>
      <c r="C94" t="s">
        <v>40</v>
      </c>
      <c r="D94">
        <v>123.7</v>
      </c>
      <c r="E94">
        <v>132.5</v>
      </c>
      <c r="F94">
        <v>121</v>
      </c>
      <c r="G94">
        <v>128.30000000000001</v>
      </c>
      <c r="H94">
        <v>110.9</v>
      </c>
      <c r="I94">
        <v>133.1</v>
      </c>
      <c r="J94">
        <v>145.1</v>
      </c>
      <c r="K94">
        <v>139.1</v>
      </c>
      <c r="L94">
        <v>91.3</v>
      </c>
      <c r="M94">
        <v>126.1</v>
      </c>
      <c r="N94">
        <v>119.9</v>
      </c>
      <c r="O94">
        <v>131.4</v>
      </c>
      <c r="P94">
        <f t="shared" si="2"/>
        <v>125.2</v>
      </c>
      <c r="Q94">
        <v>128.19999999999999</v>
      </c>
      <c r="R94">
        <v>130.4</v>
      </c>
      <c r="S94">
        <v>126.7</v>
      </c>
      <c r="T94">
        <v>122.3</v>
      </c>
      <c r="U94">
        <f t="shared" si="3"/>
        <v>124.5</v>
      </c>
      <c r="V94">
        <v>126.1</v>
      </c>
      <c r="W94">
        <v>119.9</v>
      </c>
      <c r="X94">
        <v>120.1</v>
      </c>
      <c r="Y94">
        <v>121.3</v>
      </c>
      <c r="Z94">
        <v>119</v>
      </c>
      <c r="AA94">
        <v>112.7</v>
      </c>
      <c r="AB94">
        <v>117.2</v>
      </c>
      <c r="AC94">
        <v>124.4</v>
      </c>
      <c r="AD94">
        <v>112.3</v>
      </c>
      <c r="AE94">
        <v>117.2</v>
      </c>
      <c r="AF94">
        <v>123.6</v>
      </c>
    </row>
    <row r="95" spans="1:32">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f t="shared" si="2"/>
        <v>126.39999999999999</v>
      </c>
      <c r="Q95">
        <v>129.80000000000001</v>
      </c>
      <c r="R95">
        <v>130.1</v>
      </c>
      <c r="S95">
        <v>129.5</v>
      </c>
      <c r="T95">
        <v>126.3</v>
      </c>
      <c r="U95">
        <f t="shared" si="3"/>
        <v>127.9</v>
      </c>
      <c r="V95">
        <v>129</v>
      </c>
      <c r="W95" t="s">
        <v>32</v>
      </c>
      <c r="X95">
        <v>123.8</v>
      </c>
      <c r="Y95">
        <v>123.7</v>
      </c>
      <c r="Z95">
        <v>121.1</v>
      </c>
      <c r="AA95">
        <v>113.6</v>
      </c>
      <c r="AB95">
        <v>118.5</v>
      </c>
      <c r="AC95">
        <v>123.6</v>
      </c>
      <c r="AD95">
        <v>112.5</v>
      </c>
      <c r="AE95">
        <v>118.2</v>
      </c>
      <c r="AF95">
        <v>126.1</v>
      </c>
    </row>
    <row r="96" spans="1:32">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f t="shared" si="2"/>
        <v>127.31666666666666</v>
      </c>
      <c r="Q96">
        <v>131.1</v>
      </c>
      <c r="R96">
        <v>134.19999999999999</v>
      </c>
      <c r="S96">
        <v>123.7</v>
      </c>
      <c r="T96">
        <v>118.2</v>
      </c>
      <c r="U96">
        <f t="shared" si="3"/>
        <v>120.95</v>
      </c>
      <c r="V96">
        <v>122.9</v>
      </c>
      <c r="W96">
        <v>120.9</v>
      </c>
      <c r="X96">
        <v>115.3</v>
      </c>
      <c r="Y96">
        <v>120</v>
      </c>
      <c r="Z96">
        <v>116.6</v>
      </c>
      <c r="AA96">
        <v>109.9</v>
      </c>
      <c r="AB96">
        <v>117.2</v>
      </c>
      <c r="AC96">
        <v>126.2</v>
      </c>
      <c r="AD96">
        <v>112</v>
      </c>
      <c r="AE96">
        <v>116.2</v>
      </c>
      <c r="AF96">
        <v>123.2</v>
      </c>
    </row>
    <row r="97" spans="1:32">
      <c r="A97" t="s">
        <v>34</v>
      </c>
      <c r="B97">
        <v>2015</v>
      </c>
      <c r="C97" t="s">
        <v>41</v>
      </c>
      <c r="D97">
        <v>124.2</v>
      </c>
      <c r="E97">
        <v>131.4</v>
      </c>
      <c r="F97">
        <v>120.1</v>
      </c>
      <c r="G97">
        <v>128.5</v>
      </c>
      <c r="H97">
        <v>111.4</v>
      </c>
      <c r="I97">
        <v>132.30000000000001</v>
      </c>
      <c r="J97">
        <v>157.6</v>
      </c>
      <c r="K97">
        <v>144</v>
      </c>
      <c r="L97">
        <v>90.5</v>
      </c>
      <c r="M97">
        <v>126.8</v>
      </c>
      <c r="N97">
        <v>120.4</v>
      </c>
      <c r="O97">
        <v>132.1</v>
      </c>
      <c r="P97">
        <f t="shared" si="2"/>
        <v>126.60833333333333</v>
      </c>
      <c r="Q97">
        <v>130.30000000000001</v>
      </c>
      <c r="R97">
        <v>131.19999999999999</v>
      </c>
      <c r="S97">
        <v>127.2</v>
      </c>
      <c r="T97">
        <v>122.9</v>
      </c>
      <c r="U97">
        <f t="shared" si="3"/>
        <v>125.05000000000001</v>
      </c>
      <c r="V97">
        <v>126.6</v>
      </c>
      <c r="W97">
        <v>120.9</v>
      </c>
      <c r="X97">
        <v>120.6</v>
      </c>
      <c r="Y97">
        <v>122</v>
      </c>
      <c r="Z97">
        <v>119.4</v>
      </c>
      <c r="AA97">
        <v>111.7</v>
      </c>
      <c r="AB97">
        <v>117.8</v>
      </c>
      <c r="AC97">
        <v>125.1</v>
      </c>
      <c r="AD97">
        <v>112.3</v>
      </c>
      <c r="AE97">
        <v>117.2</v>
      </c>
      <c r="AF97">
        <v>124.8</v>
      </c>
    </row>
    <row r="98" spans="1:32">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f t="shared" si="2"/>
        <v>127.21666666666668</v>
      </c>
      <c r="Q98">
        <v>131</v>
      </c>
      <c r="R98">
        <v>131</v>
      </c>
      <c r="S98">
        <v>130.4</v>
      </c>
      <c r="T98">
        <v>126.8</v>
      </c>
      <c r="U98">
        <f t="shared" si="3"/>
        <v>128.6</v>
      </c>
      <c r="V98">
        <v>129.9</v>
      </c>
      <c r="W98" t="s">
        <v>32</v>
      </c>
      <c r="X98">
        <v>123.7</v>
      </c>
      <c r="Y98">
        <v>124.5</v>
      </c>
      <c r="Z98">
        <v>121.4</v>
      </c>
      <c r="AA98">
        <v>113.8</v>
      </c>
      <c r="AB98">
        <v>119.6</v>
      </c>
      <c r="AC98">
        <v>124.5</v>
      </c>
      <c r="AD98">
        <v>113.7</v>
      </c>
      <c r="AE98">
        <v>118.8</v>
      </c>
      <c r="AF98">
        <v>127</v>
      </c>
    </row>
    <row r="99" spans="1:32">
      <c r="A99" t="s">
        <v>33</v>
      </c>
      <c r="B99">
        <v>2015</v>
      </c>
      <c r="C99" t="s">
        <v>42</v>
      </c>
      <c r="D99">
        <v>123.4</v>
      </c>
      <c r="E99">
        <v>129</v>
      </c>
      <c r="F99">
        <v>115.6</v>
      </c>
      <c r="G99">
        <v>128.30000000000001</v>
      </c>
      <c r="H99">
        <v>107</v>
      </c>
      <c r="I99">
        <v>124</v>
      </c>
      <c r="J99">
        <v>168.5</v>
      </c>
      <c r="K99">
        <v>165.4</v>
      </c>
      <c r="L99">
        <v>86.3</v>
      </c>
      <c r="M99">
        <v>134.4</v>
      </c>
      <c r="N99">
        <v>119.1</v>
      </c>
      <c r="O99">
        <v>132.30000000000001</v>
      </c>
      <c r="P99">
        <f t="shared" si="2"/>
        <v>127.77499999999999</v>
      </c>
      <c r="Q99">
        <v>131.5</v>
      </c>
      <c r="R99">
        <v>134.69999999999999</v>
      </c>
      <c r="S99">
        <v>124</v>
      </c>
      <c r="T99">
        <v>118.6</v>
      </c>
      <c r="U99">
        <f t="shared" si="3"/>
        <v>121.3</v>
      </c>
      <c r="V99">
        <v>123.2</v>
      </c>
      <c r="W99">
        <v>121.6</v>
      </c>
      <c r="X99">
        <v>115.1</v>
      </c>
      <c r="Y99">
        <v>120.4</v>
      </c>
      <c r="Z99">
        <v>117.1</v>
      </c>
      <c r="AA99">
        <v>109.1</v>
      </c>
      <c r="AB99">
        <v>117.3</v>
      </c>
      <c r="AC99">
        <v>126.5</v>
      </c>
      <c r="AD99">
        <v>112.9</v>
      </c>
      <c r="AE99">
        <v>116.2</v>
      </c>
      <c r="AF99">
        <v>123.5</v>
      </c>
    </row>
    <row r="100" spans="1:32">
      <c r="A100" t="s">
        <v>34</v>
      </c>
      <c r="B100">
        <v>2015</v>
      </c>
      <c r="C100" t="s">
        <v>42</v>
      </c>
      <c r="D100">
        <v>124.6</v>
      </c>
      <c r="E100">
        <v>130.4</v>
      </c>
      <c r="F100">
        <v>118.7</v>
      </c>
      <c r="G100">
        <v>128.9</v>
      </c>
      <c r="H100">
        <v>111.9</v>
      </c>
      <c r="I100">
        <v>128.4</v>
      </c>
      <c r="J100">
        <v>162.19999999999999</v>
      </c>
      <c r="K100">
        <v>150</v>
      </c>
      <c r="L100">
        <v>90.4</v>
      </c>
      <c r="M100">
        <v>128.4</v>
      </c>
      <c r="N100">
        <v>120.7</v>
      </c>
      <c r="O100">
        <v>132.5</v>
      </c>
      <c r="P100">
        <f t="shared" si="2"/>
        <v>127.25833333333334</v>
      </c>
      <c r="Q100">
        <v>131.19999999999999</v>
      </c>
      <c r="R100">
        <v>132</v>
      </c>
      <c r="S100">
        <v>127.9</v>
      </c>
      <c r="T100">
        <v>123.4</v>
      </c>
      <c r="U100">
        <f t="shared" si="3"/>
        <v>125.65</v>
      </c>
      <c r="V100">
        <v>127.2</v>
      </c>
      <c r="W100">
        <v>121.6</v>
      </c>
      <c r="X100">
        <v>120.4</v>
      </c>
      <c r="Y100">
        <v>122.6</v>
      </c>
      <c r="Z100">
        <v>119.8</v>
      </c>
      <c r="AA100">
        <v>111.3</v>
      </c>
      <c r="AB100">
        <v>118.3</v>
      </c>
      <c r="AC100">
        <v>125.7</v>
      </c>
      <c r="AD100">
        <v>113.4</v>
      </c>
      <c r="AE100">
        <v>117.5</v>
      </c>
      <c r="AF100">
        <v>125.4</v>
      </c>
    </row>
    <row r="101" spans="1:32">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f t="shared" si="2"/>
        <v>128.56666666666666</v>
      </c>
      <c r="Q101">
        <v>131.80000000000001</v>
      </c>
      <c r="R101">
        <v>131.5</v>
      </c>
      <c r="S101">
        <v>131.1</v>
      </c>
      <c r="T101">
        <v>127.3</v>
      </c>
      <c r="U101">
        <f t="shared" si="3"/>
        <v>129.19999999999999</v>
      </c>
      <c r="V101">
        <v>130.6</v>
      </c>
      <c r="W101" t="s">
        <v>32</v>
      </c>
      <c r="X101">
        <v>124.4</v>
      </c>
      <c r="Y101">
        <v>125.1</v>
      </c>
      <c r="Z101">
        <v>122</v>
      </c>
      <c r="AA101">
        <v>113.8</v>
      </c>
      <c r="AB101">
        <v>120.1</v>
      </c>
      <c r="AC101">
        <v>125.1</v>
      </c>
      <c r="AD101">
        <v>114.2</v>
      </c>
      <c r="AE101">
        <v>119.2</v>
      </c>
      <c r="AF101">
        <v>127.7</v>
      </c>
    </row>
    <row r="102" spans="1:32">
      <c r="A102" t="s">
        <v>33</v>
      </c>
      <c r="B102">
        <v>2015</v>
      </c>
      <c r="C102" t="s">
        <v>43</v>
      </c>
      <c r="D102">
        <v>123.6</v>
      </c>
      <c r="E102">
        <v>128.6</v>
      </c>
      <c r="F102">
        <v>115.9</v>
      </c>
      <c r="G102">
        <v>128.5</v>
      </c>
      <c r="H102">
        <v>109</v>
      </c>
      <c r="I102">
        <v>124.1</v>
      </c>
      <c r="J102">
        <v>165.8</v>
      </c>
      <c r="K102">
        <v>187.2</v>
      </c>
      <c r="L102">
        <v>89.4</v>
      </c>
      <c r="M102">
        <v>135.80000000000001</v>
      </c>
      <c r="N102">
        <v>119.4</v>
      </c>
      <c r="O102">
        <v>132.9</v>
      </c>
      <c r="P102">
        <f t="shared" si="2"/>
        <v>130.01666666666668</v>
      </c>
      <c r="Q102">
        <v>132.6</v>
      </c>
      <c r="R102">
        <v>135.30000000000001</v>
      </c>
      <c r="S102">
        <v>124.4</v>
      </c>
      <c r="T102">
        <v>118.8</v>
      </c>
      <c r="U102">
        <f t="shared" si="3"/>
        <v>121.6</v>
      </c>
      <c r="V102">
        <v>123.6</v>
      </c>
      <c r="W102">
        <v>122.4</v>
      </c>
      <c r="X102">
        <v>114.9</v>
      </c>
      <c r="Y102">
        <v>120.7</v>
      </c>
      <c r="Z102">
        <v>117.7</v>
      </c>
      <c r="AA102">
        <v>109.3</v>
      </c>
      <c r="AB102">
        <v>117.7</v>
      </c>
      <c r="AC102">
        <v>126.5</v>
      </c>
      <c r="AD102">
        <v>113.5</v>
      </c>
      <c r="AE102">
        <v>116.5</v>
      </c>
      <c r="AF102">
        <v>124.2</v>
      </c>
    </row>
    <row r="103" spans="1:32">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f t="shared" si="2"/>
        <v>128.90833333333333</v>
      </c>
      <c r="Q103">
        <v>132.1</v>
      </c>
      <c r="R103">
        <v>132.5</v>
      </c>
      <c r="S103">
        <v>128.5</v>
      </c>
      <c r="T103">
        <v>123.8</v>
      </c>
      <c r="U103">
        <f t="shared" si="3"/>
        <v>126.15</v>
      </c>
      <c r="V103">
        <v>127.8</v>
      </c>
      <c r="W103">
        <v>122.4</v>
      </c>
      <c r="X103">
        <v>120.8</v>
      </c>
      <c r="Y103">
        <v>123</v>
      </c>
      <c r="Z103">
        <v>120.4</v>
      </c>
      <c r="AA103">
        <v>111.4</v>
      </c>
      <c r="AB103">
        <v>118.7</v>
      </c>
      <c r="AC103">
        <v>125.9</v>
      </c>
      <c r="AD103">
        <v>113.9</v>
      </c>
      <c r="AE103">
        <v>117.9</v>
      </c>
      <c r="AF103">
        <v>126.1</v>
      </c>
    </row>
    <row r="104" spans="1:32">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f t="shared" si="2"/>
        <v>129.49166666666665</v>
      </c>
      <c r="Q104">
        <v>132.4</v>
      </c>
      <c r="R104">
        <v>132.19999999999999</v>
      </c>
      <c r="S104">
        <v>132.1</v>
      </c>
      <c r="T104">
        <v>128.19999999999999</v>
      </c>
      <c r="U104">
        <f t="shared" si="3"/>
        <v>130.14999999999998</v>
      </c>
      <c r="V104">
        <v>131.5</v>
      </c>
      <c r="W104" t="s">
        <v>32</v>
      </c>
      <c r="X104">
        <v>125.6</v>
      </c>
      <c r="Y104">
        <v>125.6</v>
      </c>
      <c r="Z104">
        <v>122.6</v>
      </c>
      <c r="AA104">
        <v>114</v>
      </c>
      <c r="AB104">
        <v>120.9</v>
      </c>
      <c r="AC104">
        <v>125.8</v>
      </c>
      <c r="AD104">
        <v>114.2</v>
      </c>
      <c r="AE104">
        <v>119.6</v>
      </c>
      <c r="AF104">
        <v>128.30000000000001</v>
      </c>
    </row>
    <row r="105" spans="1:32">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f t="shared" si="2"/>
        <v>131.26666666666665</v>
      </c>
      <c r="Q105">
        <v>133.30000000000001</v>
      </c>
      <c r="R105">
        <v>137.6</v>
      </c>
      <c r="S105">
        <v>125</v>
      </c>
      <c r="T105">
        <v>119.3</v>
      </c>
      <c r="U105">
        <f t="shared" si="3"/>
        <v>122.15</v>
      </c>
      <c r="V105">
        <v>124.2</v>
      </c>
      <c r="W105">
        <v>122.9</v>
      </c>
      <c r="X105">
        <v>115.1</v>
      </c>
      <c r="Y105">
        <v>121</v>
      </c>
      <c r="Z105">
        <v>118.1</v>
      </c>
      <c r="AA105">
        <v>109.3</v>
      </c>
      <c r="AB105">
        <v>117.9</v>
      </c>
      <c r="AC105">
        <v>126.6</v>
      </c>
      <c r="AD105">
        <v>113.3</v>
      </c>
      <c r="AE105">
        <v>116.6</v>
      </c>
      <c r="AF105">
        <v>124.6</v>
      </c>
    </row>
    <row r="106" spans="1:32">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f t="shared" si="2"/>
        <v>129.94999999999999</v>
      </c>
      <c r="Q106">
        <v>132.69999999999999</v>
      </c>
      <c r="R106">
        <v>133.6</v>
      </c>
      <c r="S106">
        <v>129.30000000000001</v>
      </c>
      <c r="T106">
        <v>124.5</v>
      </c>
      <c r="U106">
        <f t="shared" si="3"/>
        <v>126.9</v>
      </c>
      <c r="V106">
        <v>128.6</v>
      </c>
      <c r="W106">
        <v>122.9</v>
      </c>
      <c r="X106">
        <v>121.6</v>
      </c>
      <c r="Y106">
        <v>123.4</v>
      </c>
      <c r="Z106">
        <v>120.9</v>
      </c>
      <c r="AA106">
        <v>111.5</v>
      </c>
      <c r="AB106">
        <v>119.2</v>
      </c>
      <c r="AC106">
        <v>126.3</v>
      </c>
      <c r="AD106">
        <v>113.8</v>
      </c>
      <c r="AE106">
        <v>118.1</v>
      </c>
      <c r="AF106">
        <v>126.6</v>
      </c>
    </row>
    <row r="107" spans="1:32">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f t="shared" si="2"/>
        <v>129.24166666666667</v>
      </c>
      <c r="Q107">
        <v>131.4</v>
      </c>
      <c r="R107">
        <v>133.1</v>
      </c>
      <c r="S107">
        <v>132.5</v>
      </c>
      <c r="T107">
        <v>128.5</v>
      </c>
      <c r="U107">
        <f t="shared" si="3"/>
        <v>130.5</v>
      </c>
      <c r="V107">
        <v>131.9</v>
      </c>
      <c r="W107" t="s">
        <v>32</v>
      </c>
      <c r="X107">
        <v>125.7</v>
      </c>
      <c r="Y107">
        <v>126</v>
      </c>
      <c r="Z107">
        <v>123.1</v>
      </c>
      <c r="AA107">
        <v>114</v>
      </c>
      <c r="AB107">
        <v>121.6</v>
      </c>
      <c r="AC107">
        <v>125.6</v>
      </c>
      <c r="AD107">
        <v>114.1</v>
      </c>
      <c r="AE107">
        <v>119.8</v>
      </c>
      <c r="AF107">
        <v>127.9</v>
      </c>
    </row>
    <row r="108" spans="1:32">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f t="shared" si="2"/>
        <v>130.60833333333332</v>
      </c>
      <c r="Q108">
        <v>131.5</v>
      </c>
      <c r="R108">
        <v>138.19999999999999</v>
      </c>
      <c r="S108">
        <v>125.4</v>
      </c>
      <c r="T108">
        <v>119.5</v>
      </c>
      <c r="U108">
        <f t="shared" si="3"/>
        <v>122.45</v>
      </c>
      <c r="V108">
        <v>124.5</v>
      </c>
      <c r="W108">
        <v>122.4</v>
      </c>
      <c r="X108">
        <v>116</v>
      </c>
      <c r="Y108">
        <v>121</v>
      </c>
      <c r="Z108">
        <v>118.6</v>
      </c>
      <c r="AA108">
        <v>109.3</v>
      </c>
      <c r="AB108">
        <v>118.1</v>
      </c>
      <c r="AC108">
        <v>126.6</v>
      </c>
      <c r="AD108">
        <v>113.2</v>
      </c>
      <c r="AE108">
        <v>116.7</v>
      </c>
      <c r="AF108">
        <v>124</v>
      </c>
    </row>
    <row r="109" spans="1:32">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f t="shared" si="2"/>
        <v>129.55833333333334</v>
      </c>
      <c r="Q109">
        <v>131.4</v>
      </c>
      <c r="R109">
        <v>134.5</v>
      </c>
      <c r="S109">
        <v>129.69999999999999</v>
      </c>
      <c r="T109">
        <v>124.8</v>
      </c>
      <c r="U109">
        <f t="shared" si="3"/>
        <v>127.25</v>
      </c>
      <c r="V109">
        <v>129</v>
      </c>
      <c r="W109">
        <v>122.4</v>
      </c>
      <c r="X109">
        <v>122</v>
      </c>
      <c r="Y109">
        <v>123.6</v>
      </c>
      <c r="Z109">
        <v>121.4</v>
      </c>
      <c r="AA109">
        <v>111.5</v>
      </c>
      <c r="AB109">
        <v>119.6</v>
      </c>
      <c r="AC109">
        <v>126.2</v>
      </c>
      <c r="AD109">
        <v>113.7</v>
      </c>
      <c r="AE109">
        <v>118.3</v>
      </c>
      <c r="AF109">
        <v>126.1</v>
      </c>
    </row>
    <row r="110" spans="1:32">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f t="shared" si="2"/>
        <v>129.89166666666668</v>
      </c>
      <c r="Q110">
        <v>131.4</v>
      </c>
      <c r="R110">
        <v>133.6</v>
      </c>
      <c r="S110">
        <v>133.19999999999999</v>
      </c>
      <c r="T110">
        <v>128.9</v>
      </c>
      <c r="U110">
        <f t="shared" si="3"/>
        <v>131.05000000000001</v>
      </c>
      <c r="V110">
        <v>132.6</v>
      </c>
      <c r="W110" t="s">
        <v>32</v>
      </c>
      <c r="X110">
        <v>126.2</v>
      </c>
      <c r="Y110">
        <v>126.6</v>
      </c>
      <c r="Z110">
        <v>123.7</v>
      </c>
      <c r="AA110">
        <v>113.6</v>
      </c>
      <c r="AB110">
        <v>121.4</v>
      </c>
      <c r="AC110">
        <v>126.2</v>
      </c>
      <c r="AD110">
        <v>114.9</v>
      </c>
      <c r="AE110">
        <v>120.1</v>
      </c>
      <c r="AF110">
        <v>128.1</v>
      </c>
    </row>
    <row r="111" spans="1:32">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f t="shared" si="2"/>
        <v>130.85</v>
      </c>
      <c r="Q111">
        <v>131.19999999999999</v>
      </c>
      <c r="R111">
        <v>139.5</v>
      </c>
      <c r="S111">
        <v>125.8</v>
      </c>
      <c r="T111">
        <v>119.8</v>
      </c>
      <c r="U111">
        <f t="shared" si="3"/>
        <v>122.8</v>
      </c>
      <c r="V111">
        <v>124.9</v>
      </c>
      <c r="W111">
        <v>123.4</v>
      </c>
      <c r="X111">
        <v>116.9</v>
      </c>
      <c r="Y111">
        <v>121.6</v>
      </c>
      <c r="Z111">
        <v>119.1</v>
      </c>
      <c r="AA111">
        <v>108.9</v>
      </c>
      <c r="AB111">
        <v>118.5</v>
      </c>
      <c r="AC111">
        <v>126.4</v>
      </c>
      <c r="AD111">
        <v>114</v>
      </c>
      <c r="AE111">
        <v>116.8</v>
      </c>
      <c r="AF111">
        <v>124.2</v>
      </c>
    </row>
    <row r="112" spans="1:32">
      <c r="A112" t="s">
        <v>34</v>
      </c>
      <c r="B112">
        <v>2016</v>
      </c>
      <c r="C112" t="s">
        <v>31</v>
      </c>
      <c r="D112">
        <v>126.1</v>
      </c>
      <c r="E112">
        <v>134.1</v>
      </c>
      <c r="F112">
        <v>128.6</v>
      </c>
      <c r="G112">
        <v>129.9</v>
      </c>
      <c r="H112">
        <v>115.5</v>
      </c>
      <c r="I112">
        <v>125.7</v>
      </c>
      <c r="J112">
        <v>141.5</v>
      </c>
      <c r="K112">
        <v>170.7</v>
      </c>
      <c r="L112">
        <v>97.4</v>
      </c>
      <c r="M112">
        <v>132.9</v>
      </c>
      <c r="N112">
        <v>122.7</v>
      </c>
      <c r="O112">
        <v>135.30000000000001</v>
      </c>
      <c r="P112">
        <f t="shared" si="2"/>
        <v>130.03333333333333</v>
      </c>
      <c r="Q112">
        <v>131.30000000000001</v>
      </c>
      <c r="R112">
        <v>135.19999999999999</v>
      </c>
      <c r="S112">
        <v>130.30000000000001</v>
      </c>
      <c r="T112">
        <v>125.1</v>
      </c>
      <c r="U112">
        <f t="shared" si="3"/>
        <v>127.7</v>
      </c>
      <c r="V112">
        <v>129.5</v>
      </c>
      <c r="W112">
        <v>123.4</v>
      </c>
      <c r="X112">
        <v>122.7</v>
      </c>
      <c r="Y112">
        <v>124.2</v>
      </c>
      <c r="Z112">
        <v>122</v>
      </c>
      <c r="AA112">
        <v>111.1</v>
      </c>
      <c r="AB112">
        <v>119.8</v>
      </c>
      <c r="AC112">
        <v>126.3</v>
      </c>
      <c r="AD112">
        <v>114.5</v>
      </c>
      <c r="AE112">
        <v>118.5</v>
      </c>
      <c r="AF112">
        <v>126.3</v>
      </c>
    </row>
    <row r="113" spans="1:32">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f t="shared" si="2"/>
        <v>129.35833333333332</v>
      </c>
      <c r="Q113">
        <v>130.30000000000001</v>
      </c>
      <c r="R113">
        <v>134.4</v>
      </c>
      <c r="S113">
        <v>133.9</v>
      </c>
      <c r="T113">
        <v>129.80000000000001</v>
      </c>
      <c r="U113">
        <f t="shared" si="3"/>
        <v>131.85000000000002</v>
      </c>
      <c r="V113">
        <v>133.4</v>
      </c>
      <c r="W113" t="s">
        <v>32</v>
      </c>
      <c r="X113">
        <v>127.5</v>
      </c>
      <c r="Y113">
        <v>127.1</v>
      </c>
      <c r="Z113">
        <v>124.3</v>
      </c>
      <c r="AA113">
        <v>113.9</v>
      </c>
      <c r="AB113">
        <v>122.3</v>
      </c>
      <c r="AC113">
        <v>127.1</v>
      </c>
      <c r="AD113">
        <v>116.8</v>
      </c>
      <c r="AE113">
        <v>120.9</v>
      </c>
      <c r="AF113">
        <v>127.9</v>
      </c>
    </row>
    <row r="114" spans="1:32">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f t="shared" si="2"/>
        <v>128.91666666666666</v>
      </c>
      <c r="Q114">
        <v>129.1</v>
      </c>
      <c r="R114">
        <v>140</v>
      </c>
      <c r="S114">
        <v>126.2</v>
      </c>
      <c r="T114">
        <v>120.1</v>
      </c>
      <c r="U114">
        <f t="shared" si="3"/>
        <v>123.15</v>
      </c>
      <c r="V114">
        <v>125.3</v>
      </c>
      <c r="W114">
        <v>124.4</v>
      </c>
      <c r="X114">
        <v>116</v>
      </c>
      <c r="Y114">
        <v>121.8</v>
      </c>
      <c r="Z114">
        <v>119.5</v>
      </c>
      <c r="AA114">
        <v>109.1</v>
      </c>
      <c r="AB114">
        <v>118.8</v>
      </c>
      <c r="AC114">
        <v>126.3</v>
      </c>
      <c r="AD114">
        <v>116.2</v>
      </c>
      <c r="AE114">
        <v>117.2</v>
      </c>
      <c r="AF114">
        <v>123.8</v>
      </c>
    </row>
    <row r="115" spans="1:32">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f t="shared" si="2"/>
        <v>129.01666666666665</v>
      </c>
      <c r="Q115">
        <v>129.9</v>
      </c>
      <c r="R115">
        <v>135.9</v>
      </c>
      <c r="S115">
        <v>130.9</v>
      </c>
      <c r="T115">
        <v>125.8</v>
      </c>
      <c r="U115">
        <f t="shared" si="3"/>
        <v>128.35</v>
      </c>
      <c r="V115">
        <v>130.19999999999999</v>
      </c>
      <c r="W115">
        <v>124.4</v>
      </c>
      <c r="X115">
        <v>123.1</v>
      </c>
      <c r="Y115">
        <v>124.6</v>
      </c>
      <c r="Z115">
        <v>122.5</v>
      </c>
      <c r="AA115">
        <v>111.4</v>
      </c>
      <c r="AB115">
        <v>120.3</v>
      </c>
      <c r="AC115">
        <v>126.6</v>
      </c>
      <c r="AD115">
        <v>116.6</v>
      </c>
      <c r="AE115">
        <v>119.1</v>
      </c>
      <c r="AF115">
        <v>126</v>
      </c>
    </row>
    <row r="116" spans="1:32">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f t="shared" si="2"/>
        <v>129.35833333333335</v>
      </c>
      <c r="Q116">
        <v>130.4</v>
      </c>
      <c r="R116">
        <v>135</v>
      </c>
      <c r="S116">
        <v>134.4</v>
      </c>
      <c r="T116">
        <v>130.19999999999999</v>
      </c>
      <c r="U116">
        <f t="shared" si="3"/>
        <v>132.30000000000001</v>
      </c>
      <c r="V116">
        <v>133.80000000000001</v>
      </c>
      <c r="W116" t="s">
        <v>32</v>
      </c>
      <c r="X116">
        <v>127</v>
      </c>
      <c r="Y116">
        <v>127.7</v>
      </c>
      <c r="Z116">
        <v>124.8</v>
      </c>
      <c r="AA116">
        <v>113.6</v>
      </c>
      <c r="AB116">
        <v>122.5</v>
      </c>
      <c r="AC116">
        <v>127.5</v>
      </c>
      <c r="AD116">
        <v>117.4</v>
      </c>
      <c r="AE116">
        <v>121.1</v>
      </c>
      <c r="AF116">
        <v>128</v>
      </c>
    </row>
    <row r="117" spans="1:32">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f t="shared" si="2"/>
        <v>128.22499999999999</v>
      </c>
      <c r="Q117">
        <v>128.9</v>
      </c>
      <c r="R117">
        <v>140.6</v>
      </c>
      <c r="S117">
        <v>126.4</v>
      </c>
      <c r="T117">
        <v>120.3</v>
      </c>
      <c r="U117">
        <f t="shared" si="3"/>
        <v>123.35</v>
      </c>
      <c r="V117">
        <v>125.5</v>
      </c>
      <c r="W117">
        <v>124.9</v>
      </c>
      <c r="X117">
        <v>114.8</v>
      </c>
      <c r="Y117">
        <v>122.3</v>
      </c>
      <c r="Z117">
        <v>119.7</v>
      </c>
      <c r="AA117">
        <v>108.5</v>
      </c>
      <c r="AB117">
        <v>119.1</v>
      </c>
      <c r="AC117">
        <v>126.4</v>
      </c>
      <c r="AD117">
        <v>117.1</v>
      </c>
      <c r="AE117">
        <v>117.3</v>
      </c>
      <c r="AF117">
        <v>123.8</v>
      </c>
    </row>
    <row r="118" spans="1:32">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f t="shared" si="2"/>
        <v>128.78333333333333</v>
      </c>
      <c r="Q118">
        <v>129.80000000000001</v>
      </c>
      <c r="R118">
        <v>136.5</v>
      </c>
      <c r="S118">
        <v>131.30000000000001</v>
      </c>
      <c r="T118">
        <v>126.1</v>
      </c>
      <c r="U118">
        <f t="shared" si="3"/>
        <v>128.69999999999999</v>
      </c>
      <c r="V118">
        <v>130.5</v>
      </c>
      <c r="W118">
        <v>124.9</v>
      </c>
      <c r="X118">
        <v>122.4</v>
      </c>
      <c r="Y118">
        <v>125.1</v>
      </c>
      <c r="Z118">
        <v>122.9</v>
      </c>
      <c r="AA118">
        <v>110.9</v>
      </c>
      <c r="AB118">
        <v>120.6</v>
      </c>
      <c r="AC118">
        <v>126.9</v>
      </c>
      <c r="AD118">
        <v>117.3</v>
      </c>
      <c r="AE118">
        <v>119.3</v>
      </c>
      <c r="AF118">
        <v>126</v>
      </c>
    </row>
    <row r="119" spans="1:32">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f t="shared" si="2"/>
        <v>130.81666666666669</v>
      </c>
      <c r="Q119">
        <v>131.80000000000001</v>
      </c>
      <c r="R119">
        <v>135.5</v>
      </c>
      <c r="S119">
        <v>135</v>
      </c>
      <c r="T119">
        <v>130.6</v>
      </c>
      <c r="U119">
        <f t="shared" si="3"/>
        <v>132.80000000000001</v>
      </c>
      <c r="V119">
        <v>134.4</v>
      </c>
      <c r="W119" t="s">
        <v>32</v>
      </c>
      <c r="X119">
        <v>127</v>
      </c>
      <c r="Y119">
        <v>128</v>
      </c>
      <c r="Z119">
        <v>125.2</v>
      </c>
      <c r="AA119">
        <v>114.4</v>
      </c>
      <c r="AB119">
        <v>123.2</v>
      </c>
      <c r="AC119">
        <v>127.9</v>
      </c>
      <c r="AD119">
        <v>118.4</v>
      </c>
      <c r="AE119">
        <v>121.7</v>
      </c>
      <c r="AF119">
        <v>129</v>
      </c>
    </row>
    <row r="120" spans="1:32">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f t="shared" si="2"/>
        <v>131.20833333333334</v>
      </c>
      <c r="Q120">
        <v>131.80000000000001</v>
      </c>
      <c r="R120">
        <v>141.5</v>
      </c>
      <c r="S120">
        <v>126.8</v>
      </c>
      <c r="T120">
        <v>120.5</v>
      </c>
      <c r="U120">
        <f t="shared" si="3"/>
        <v>123.65</v>
      </c>
      <c r="V120">
        <v>125.8</v>
      </c>
      <c r="W120">
        <v>125.6</v>
      </c>
      <c r="X120">
        <v>114.6</v>
      </c>
      <c r="Y120">
        <v>122.8</v>
      </c>
      <c r="Z120">
        <v>120</v>
      </c>
      <c r="AA120">
        <v>110</v>
      </c>
      <c r="AB120">
        <v>119.5</v>
      </c>
      <c r="AC120">
        <v>127.6</v>
      </c>
      <c r="AD120">
        <v>117.6</v>
      </c>
      <c r="AE120">
        <v>118.2</v>
      </c>
      <c r="AF120">
        <v>125.3</v>
      </c>
    </row>
    <row r="121" spans="1:32">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f t="shared" si="2"/>
        <v>130.79166666666666</v>
      </c>
      <c r="Q121">
        <v>131.80000000000001</v>
      </c>
      <c r="R121">
        <v>137.1</v>
      </c>
      <c r="S121">
        <v>131.80000000000001</v>
      </c>
      <c r="T121">
        <v>126.4</v>
      </c>
      <c r="U121">
        <f t="shared" si="3"/>
        <v>129.10000000000002</v>
      </c>
      <c r="V121">
        <v>131</v>
      </c>
      <c r="W121">
        <v>125.6</v>
      </c>
      <c r="X121">
        <v>122.3</v>
      </c>
      <c r="Y121">
        <v>125.5</v>
      </c>
      <c r="Z121">
        <v>123.2</v>
      </c>
      <c r="AA121">
        <v>112.1</v>
      </c>
      <c r="AB121">
        <v>121.1</v>
      </c>
      <c r="AC121">
        <v>127.7</v>
      </c>
      <c r="AD121">
        <v>118.1</v>
      </c>
      <c r="AE121">
        <v>120</v>
      </c>
      <c r="AF121">
        <v>127.3</v>
      </c>
    </row>
    <row r="122" spans="1:32">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f t="shared" si="2"/>
        <v>132.50833333333333</v>
      </c>
      <c r="Q122">
        <v>133.6</v>
      </c>
      <c r="R122">
        <v>136</v>
      </c>
      <c r="S122">
        <v>135.4</v>
      </c>
      <c r="T122">
        <v>131.1</v>
      </c>
      <c r="U122">
        <f t="shared" si="3"/>
        <v>133.25</v>
      </c>
      <c r="V122">
        <v>134.80000000000001</v>
      </c>
      <c r="W122" t="s">
        <v>32</v>
      </c>
      <c r="X122">
        <v>127.4</v>
      </c>
      <c r="Y122">
        <v>128.5</v>
      </c>
      <c r="Z122">
        <v>125.8</v>
      </c>
      <c r="AA122">
        <v>115.1</v>
      </c>
      <c r="AB122">
        <v>123.6</v>
      </c>
      <c r="AC122">
        <v>129.1</v>
      </c>
      <c r="AD122">
        <v>119.7</v>
      </c>
      <c r="AE122">
        <v>122.5</v>
      </c>
      <c r="AF122">
        <v>130.30000000000001</v>
      </c>
    </row>
    <row r="123" spans="1:32">
      <c r="A123" t="s">
        <v>33</v>
      </c>
      <c r="B123">
        <v>2016</v>
      </c>
      <c r="C123" t="s">
        <v>38</v>
      </c>
      <c r="D123">
        <v>125</v>
      </c>
      <c r="E123">
        <v>142.1</v>
      </c>
      <c r="F123">
        <v>127</v>
      </c>
      <c r="G123">
        <v>130.4</v>
      </c>
      <c r="H123">
        <v>109.6</v>
      </c>
      <c r="I123">
        <v>133.5</v>
      </c>
      <c r="J123">
        <v>151.4</v>
      </c>
      <c r="K123">
        <v>182.8</v>
      </c>
      <c r="L123">
        <v>111.1</v>
      </c>
      <c r="M123">
        <v>141.5</v>
      </c>
      <c r="N123">
        <v>121.5</v>
      </c>
      <c r="O123">
        <v>136.30000000000001</v>
      </c>
      <c r="P123">
        <f t="shared" si="2"/>
        <v>134.35</v>
      </c>
      <c r="Q123">
        <v>134.6</v>
      </c>
      <c r="R123">
        <v>142.19999999999999</v>
      </c>
      <c r="S123">
        <v>127.2</v>
      </c>
      <c r="T123">
        <v>120.7</v>
      </c>
      <c r="U123">
        <f t="shared" si="3"/>
        <v>123.95</v>
      </c>
      <c r="V123">
        <v>126.2</v>
      </c>
      <c r="W123">
        <v>126</v>
      </c>
      <c r="X123">
        <v>115</v>
      </c>
      <c r="Y123">
        <v>123.2</v>
      </c>
      <c r="Z123">
        <v>120.3</v>
      </c>
      <c r="AA123">
        <v>110.7</v>
      </c>
      <c r="AB123">
        <v>119.8</v>
      </c>
      <c r="AC123">
        <v>128</v>
      </c>
      <c r="AD123">
        <v>118.5</v>
      </c>
      <c r="AE123">
        <v>118.7</v>
      </c>
      <c r="AF123">
        <v>126.6</v>
      </c>
    </row>
    <row r="124" spans="1:32">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f t="shared" si="2"/>
        <v>133.03333333333333</v>
      </c>
      <c r="Q124">
        <v>134</v>
      </c>
      <c r="R124">
        <v>137.69999999999999</v>
      </c>
      <c r="S124">
        <v>132.19999999999999</v>
      </c>
      <c r="T124">
        <v>126.8</v>
      </c>
      <c r="U124">
        <f t="shared" si="3"/>
        <v>129.5</v>
      </c>
      <c r="V124">
        <v>131.4</v>
      </c>
      <c r="W124">
        <v>126</v>
      </c>
      <c r="X124">
        <v>122.7</v>
      </c>
      <c r="Y124">
        <v>126</v>
      </c>
      <c r="Z124">
        <v>123.7</v>
      </c>
      <c r="AA124">
        <v>112.8</v>
      </c>
      <c r="AB124">
        <v>121.5</v>
      </c>
      <c r="AC124">
        <v>128.5</v>
      </c>
      <c r="AD124">
        <v>119.2</v>
      </c>
      <c r="AE124">
        <v>120.7</v>
      </c>
      <c r="AF124">
        <v>128.6</v>
      </c>
    </row>
    <row r="125" spans="1:32">
      <c r="A125" t="s">
        <v>30</v>
      </c>
      <c r="B125">
        <v>2016</v>
      </c>
      <c r="C125" t="s">
        <v>39</v>
      </c>
      <c r="D125">
        <v>128.6</v>
      </c>
      <c r="E125">
        <v>138.6</v>
      </c>
      <c r="F125">
        <v>126.6</v>
      </c>
      <c r="G125">
        <v>133.6</v>
      </c>
      <c r="H125">
        <v>118.6</v>
      </c>
      <c r="I125">
        <v>137.4</v>
      </c>
      <c r="J125">
        <v>152.5</v>
      </c>
      <c r="K125">
        <v>169.2</v>
      </c>
      <c r="L125">
        <v>108.8</v>
      </c>
      <c r="M125">
        <v>133.1</v>
      </c>
      <c r="N125">
        <v>126.4</v>
      </c>
      <c r="O125">
        <v>139.19999999999999</v>
      </c>
      <c r="P125">
        <f t="shared" si="2"/>
        <v>134.38333333333333</v>
      </c>
      <c r="Q125">
        <v>136</v>
      </c>
      <c r="R125">
        <v>137.19999999999999</v>
      </c>
      <c r="S125">
        <v>136.30000000000001</v>
      </c>
      <c r="T125">
        <v>131.6</v>
      </c>
      <c r="U125">
        <f t="shared" si="3"/>
        <v>133.94999999999999</v>
      </c>
      <c r="V125">
        <v>135.6</v>
      </c>
      <c r="W125" t="s">
        <v>32</v>
      </c>
      <c r="X125">
        <v>128</v>
      </c>
      <c r="Y125">
        <v>129.30000000000001</v>
      </c>
      <c r="Z125">
        <v>126.2</v>
      </c>
      <c r="AA125">
        <v>116.3</v>
      </c>
      <c r="AB125">
        <v>124.1</v>
      </c>
      <c r="AC125">
        <v>130.19999999999999</v>
      </c>
      <c r="AD125">
        <v>119.9</v>
      </c>
      <c r="AE125">
        <v>123.3</v>
      </c>
      <c r="AF125">
        <v>131.9</v>
      </c>
    </row>
    <row r="126" spans="1:32">
      <c r="A126" t="s">
        <v>33</v>
      </c>
      <c r="B126">
        <v>2016</v>
      </c>
      <c r="C126" t="s">
        <v>39</v>
      </c>
      <c r="D126">
        <v>125.9</v>
      </c>
      <c r="E126">
        <v>143.9</v>
      </c>
      <c r="F126">
        <v>130.9</v>
      </c>
      <c r="G126">
        <v>131</v>
      </c>
      <c r="H126">
        <v>110.2</v>
      </c>
      <c r="I126">
        <v>135.5</v>
      </c>
      <c r="J126">
        <v>173.7</v>
      </c>
      <c r="K126">
        <v>184.4</v>
      </c>
      <c r="L126">
        <v>112</v>
      </c>
      <c r="M126">
        <v>142.80000000000001</v>
      </c>
      <c r="N126">
        <v>121.6</v>
      </c>
      <c r="O126">
        <v>136.9</v>
      </c>
      <c r="P126">
        <f t="shared" si="2"/>
        <v>137.4</v>
      </c>
      <c r="Q126">
        <v>138.19999999999999</v>
      </c>
      <c r="R126">
        <v>142.69999999999999</v>
      </c>
      <c r="S126">
        <v>127.6</v>
      </c>
      <c r="T126">
        <v>121.1</v>
      </c>
      <c r="U126">
        <f t="shared" si="3"/>
        <v>124.35</v>
      </c>
      <c r="V126">
        <v>126.6</v>
      </c>
      <c r="W126">
        <v>125.5</v>
      </c>
      <c r="X126">
        <v>115.5</v>
      </c>
      <c r="Y126">
        <v>123.2</v>
      </c>
      <c r="Z126">
        <v>120.6</v>
      </c>
      <c r="AA126">
        <v>112.3</v>
      </c>
      <c r="AB126">
        <v>119.9</v>
      </c>
      <c r="AC126">
        <v>129.30000000000001</v>
      </c>
      <c r="AD126">
        <v>118.8</v>
      </c>
      <c r="AE126">
        <v>119.6</v>
      </c>
      <c r="AF126">
        <v>128.1</v>
      </c>
    </row>
    <row r="127" spans="1:32">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f t="shared" si="2"/>
        <v>135.31666666666666</v>
      </c>
      <c r="Q127">
        <v>136.80000000000001</v>
      </c>
      <c r="R127">
        <v>138.69999999999999</v>
      </c>
      <c r="S127">
        <v>132.9</v>
      </c>
      <c r="T127">
        <v>127.2</v>
      </c>
      <c r="U127">
        <f t="shared" si="3"/>
        <v>130.05000000000001</v>
      </c>
      <c r="V127">
        <v>132</v>
      </c>
      <c r="W127">
        <v>125.5</v>
      </c>
      <c r="X127">
        <v>123.3</v>
      </c>
      <c r="Y127">
        <v>126.4</v>
      </c>
      <c r="Z127">
        <v>124.1</v>
      </c>
      <c r="AA127">
        <v>114.2</v>
      </c>
      <c r="AB127">
        <v>121.7</v>
      </c>
      <c r="AC127">
        <v>129.69999999999999</v>
      </c>
      <c r="AD127">
        <v>119.4</v>
      </c>
      <c r="AE127">
        <v>121.5</v>
      </c>
      <c r="AF127">
        <v>130.1</v>
      </c>
    </row>
    <row r="128" spans="1:32">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f t="shared" si="2"/>
        <v>136.05833333333331</v>
      </c>
      <c r="Q128">
        <v>137.6</v>
      </c>
      <c r="R128">
        <v>138</v>
      </c>
      <c r="S128">
        <v>137.19999999999999</v>
      </c>
      <c r="T128">
        <v>132.19999999999999</v>
      </c>
      <c r="U128">
        <f t="shared" si="3"/>
        <v>134.69999999999999</v>
      </c>
      <c r="V128">
        <v>136.5</v>
      </c>
      <c r="W128" t="s">
        <v>32</v>
      </c>
      <c r="X128">
        <v>128.19999999999999</v>
      </c>
      <c r="Y128">
        <v>130</v>
      </c>
      <c r="Z128">
        <v>126.7</v>
      </c>
      <c r="AA128">
        <v>116.4</v>
      </c>
      <c r="AB128">
        <v>125.2</v>
      </c>
      <c r="AC128">
        <v>130.80000000000001</v>
      </c>
      <c r="AD128">
        <v>120.9</v>
      </c>
      <c r="AE128">
        <v>123.8</v>
      </c>
      <c r="AF128">
        <v>133</v>
      </c>
    </row>
    <row r="129" spans="1:32">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f t="shared" si="2"/>
        <v>139.30833333333337</v>
      </c>
      <c r="Q129">
        <v>139.80000000000001</v>
      </c>
      <c r="R129">
        <v>142.9</v>
      </c>
      <c r="S129">
        <v>127.9</v>
      </c>
      <c r="T129">
        <v>121.1</v>
      </c>
      <c r="U129">
        <f t="shared" si="3"/>
        <v>124.5</v>
      </c>
      <c r="V129">
        <v>126.9</v>
      </c>
      <c r="W129">
        <v>126.4</v>
      </c>
      <c r="X129">
        <v>115.5</v>
      </c>
      <c r="Y129">
        <v>123.5</v>
      </c>
      <c r="Z129">
        <v>120.9</v>
      </c>
      <c r="AA129">
        <v>111.7</v>
      </c>
      <c r="AB129">
        <v>120.3</v>
      </c>
      <c r="AC129">
        <v>130.80000000000001</v>
      </c>
      <c r="AD129">
        <v>120</v>
      </c>
      <c r="AE129">
        <v>119.9</v>
      </c>
      <c r="AF129">
        <v>129</v>
      </c>
    </row>
    <row r="130" spans="1:32">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f t="shared" si="2"/>
        <v>137.09166666666667</v>
      </c>
      <c r="Q130">
        <v>138.4</v>
      </c>
      <c r="R130">
        <v>139.30000000000001</v>
      </c>
      <c r="S130">
        <v>133.5</v>
      </c>
      <c r="T130">
        <v>127.6</v>
      </c>
      <c r="U130">
        <f t="shared" si="3"/>
        <v>130.55000000000001</v>
      </c>
      <c r="V130">
        <v>132.69999999999999</v>
      </c>
      <c r="W130">
        <v>126.4</v>
      </c>
      <c r="X130">
        <v>123.4</v>
      </c>
      <c r="Y130">
        <v>126.9</v>
      </c>
      <c r="Z130">
        <v>124.5</v>
      </c>
      <c r="AA130">
        <v>113.9</v>
      </c>
      <c r="AB130">
        <v>122.4</v>
      </c>
      <c r="AC130">
        <v>130.80000000000001</v>
      </c>
      <c r="AD130">
        <v>120.5</v>
      </c>
      <c r="AE130">
        <v>121.9</v>
      </c>
      <c r="AF130">
        <v>131.1</v>
      </c>
    </row>
    <row r="131" spans="1:32">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f t="shared" ref="P131:P194" si="4">AVERAGE(D131:O131)</f>
        <v>136.62499999999997</v>
      </c>
      <c r="Q131">
        <v>138</v>
      </c>
      <c r="R131">
        <v>138.9</v>
      </c>
      <c r="S131">
        <v>137.80000000000001</v>
      </c>
      <c r="T131">
        <v>133</v>
      </c>
      <c r="U131">
        <f t="shared" ref="U131:U194" si="5">AVERAGE(S131,T131)</f>
        <v>135.4</v>
      </c>
      <c r="V131">
        <v>137.1</v>
      </c>
      <c r="W131" t="s">
        <v>32</v>
      </c>
      <c r="X131">
        <v>129.1</v>
      </c>
      <c r="Y131">
        <v>130.6</v>
      </c>
      <c r="Z131">
        <v>127</v>
      </c>
      <c r="AA131">
        <v>116</v>
      </c>
      <c r="AB131">
        <v>125.5</v>
      </c>
      <c r="AC131">
        <v>131.9</v>
      </c>
      <c r="AD131">
        <v>122</v>
      </c>
      <c r="AE131">
        <v>124.2</v>
      </c>
      <c r="AF131">
        <v>133.5</v>
      </c>
    </row>
    <row r="132" spans="1:32">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f t="shared" si="4"/>
        <v>137.19999999999996</v>
      </c>
      <c r="Q132">
        <v>137.6</v>
      </c>
      <c r="R132">
        <v>143.6</v>
      </c>
      <c r="S132">
        <v>128.30000000000001</v>
      </c>
      <c r="T132">
        <v>121.4</v>
      </c>
      <c r="U132">
        <f t="shared" si="5"/>
        <v>124.85000000000001</v>
      </c>
      <c r="V132">
        <v>127.3</v>
      </c>
      <c r="W132">
        <v>127.3</v>
      </c>
      <c r="X132">
        <v>114.7</v>
      </c>
      <c r="Y132">
        <v>123.9</v>
      </c>
      <c r="Z132">
        <v>121.2</v>
      </c>
      <c r="AA132">
        <v>110.4</v>
      </c>
      <c r="AB132">
        <v>120.6</v>
      </c>
      <c r="AC132">
        <v>131.5</v>
      </c>
      <c r="AD132">
        <v>120.9</v>
      </c>
      <c r="AE132">
        <v>119.9</v>
      </c>
      <c r="AF132">
        <v>128.4</v>
      </c>
    </row>
    <row r="133" spans="1:32">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f t="shared" si="4"/>
        <v>136.66666666666666</v>
      </c>
      <c r="Q133">
        <v>137.9</v>
      </c>
      <c r="R133">
        <v>140.19999999999999</v>
      </c>
      <c r="S133">
        <v>134.1</v>
      </c>
      <c r="T133">
        <v>128.19999999999999</v>
      </c>
      <c r="U133">
        <f t="shared" si="5"/>
        <v>131.14999999999998</v>
      </c>
      <c r="V133">
        <v>133.19999999999999</v>
      </c>
      <c r="W133">
        <v>127.3</v>
      </c>
      <c r="X133">
        <v>123.6</v>
      </c>
      <c r="Y133">
        <v>127.4</v>
      </c>
      <c r="Z133">
        <v>124.8</v>
      </c>
      <c r="AA133">
        <v>113.1</v>
      </c>
      <c r="AB133">
        <v>122.7</v>
      </c>
      <c r="AC133">
        <v>131.69999999999999</v>
      </c>
      <c r="AD133">
        <v>121.5</v>
      </c>
      <c r="AE133">
        <v>122.1</v>
      </c>
      <c r="AF133">
        <v>131.1</v>
      </c>
    </row>
    <row r="134" spans="1:32">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f t="shared" si="4"/>
        <v>136.125</v>
      </c>
      <c r="Q134">
        <v>137.19999999999999</v>
      </c>
      <c r="R134">
        <v>139.9</v>
      </c>
      <c r="S134">
        <v>138.5</v>
      </c>
      <c r="T134">
        <v>133.5</v>
      </c>
      <c r="U134">
        <f t="shared" si="5"/>
        <v>136</v>
      </c>
      <c r="V134">
        <v>137.80000000000001</v>
      </c>
      <c r="W134" t="s">
        <v>32</v>
      </c>
      <c r="X134">
        <v>129.69999999999999</v>
      </c>
      <c r="Y134">
        <v>131.1</v>
      </c>
      <c r="Z134">
        <v>127.8</v>
      </c>
      <c r="AA134">
        <v>117</v>
      </c>
      <c r="AB134">
        <v>125.7</v>
      </c>
      <c r="AC134">
        <v>132.19999999999999</v>
      </c>
      <c r="AD134">
        <v>122.8</v>
      </c>
      <c r="AE134">
        <v>124.9</v>
      </c>
      <c r="AF134">
        <v>133.4</v>
      </c>
    </row>
    <row r="135" spans="1:32">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f t="shared" si="4"/>
        <v>135.05833333333331</v>
      </c>
      <c r="Q135">
        <v>135.69999999999999</v>
      </c>
      <c r="R135">
        <v>143.9</v>
      </c>
      <c r="S135">
        <v>128.69999999999999</v>
      </c>
      <c r="T135">
        <v>121.6</v>
      </c>
      <c r="U135">
        <f t="shared" si="5"/>
        <v>125.14999999999999</v>
      </c>
      <c r="V135">
        <v>127.7</v>
      </c>
      <c r="W135">
        <v>127.9</v>
      </c>
      <c r="X135">
        <v>114.8</v>
      </c>
      <c r="Y135">
        <v>124.3</v>
      </c>
      <c r="Z135">
        <v>121.4</v>
      </c>
      <c r="AA135">
        <v>111.8</v>
      </c>
      <c r="AB135">
        <v>120.8</v>
      </c>
      <c r="AC135">
        <v>131.6</v>
      </c>
      <c r="AD135">
        <v>121.2</v>
      </c>
      <c r="AE135">
        <v>120.5</v>
      </c>
      <c r="AF135">
        <v>128</v>
      </c>
    </row>
    <row r="136" spans="1:32">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f t="shared" si="4"/>
        <v>135.59166666666667</v>
      </c>
      <c r="Q136">
        <v>136.6</v>
      </c>
      <c r="R136">
        <v>141</v>
      </c>
      <c r="S136">
        <v>134.6</v>
      </c>
      <c r="T136">
        <v>128.6</v>
      </c>
      <c r="U136">
        <f t="shared" si="5"/>
        <v>131.6</v>
      </c>
      <c r="V136">
        <v>133.80000000000001</v>
      </c>
      <c r="W136">
        <v>127.9</v>
      </c>
      <c r="X136">
        <v>124.1</v>
      </c>
      <c r="Y136">
        <v>127.9</v>
      </c>
      <c r="Z136">
        <v>125.4</v>
      </c>
      <c r="AA136">
        <v>114.3</v>
      </c>
      <c r="AB136">
        <v>122.9</v>
      </c>
      <c r="AC136">
        <v>131.80000000000001</v>
      </c>
      <c r="AD136">
        <v>122.1</v>
      </c>
      <c r="AE136">
        <v>122.8</v>
      </c>
      <c r="AF136">
        <v>130.9</v>
      </c>
    </row>
    <row r="137" spans="1:32">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f t="shared" si="4"/>
        <v>136.20000000000002</v>
      </c>
      <c r="Q137">
        <v>137.4</v>
      </c>
      <c r="R137">
        <v>140.9</v>
      </c>
      <c r="S137">
        <v>139.6</v>
      </c>
      <c r="T137">
        <v>134.30000000000001</v>
      </c>
      <c r="U137">
        <f t="shared" si="5"/>
        <v>136.94999999999999</v>
      </c>
      <c r="V137">
        <v>138.80000000000001</v>
      </c>
      <c r="W137" t="s">
        <v>32</v>
      </c>
      <c r="X137">
        <v>129.80000000000001</v>
      </c>
      <c r="Y137">
        <v>131.80000000000001</v>
      </c>
      <c r="Z137">
        <v>128.69999999999999</v>
      </c>
      <c r="AA137">
        <v>117.8</v>
      </c>
      <c r="AB137">
        <v>126.5</v>
      </c>
      <c r="AC137">
        <v>133</v>
      </c>
      <c r="AD137">
        <v>123</v>
      </c>
      <c r="AE137">
        <v>125.7</v>
      </c>
      <c r="AF137">
        <v>133.80000000000001</v>
      </c>
    </row>
    <row r="138" spans="1:32">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f t="shared" si="4"/>
        <v>135.54999999999998</v>
      </c>
      <c r="Q138">
        <v>136.30000000000001</v>
      </c>
      <c r="R138">
        <v>144.30000000000001</v>
      </c>
      <c r="S138">
        <v>129.1</v>
      </c>
      <c r="T138">
        <v>121.9</v>
      </c>
      <c r="U138">
        <f t="shared" si="5"/>
        <v>125.5</v>
      </c>
      <c r="V138">
        <v>128</v>
      </c>
      <c r="W138">
        <v>128.69999999999999</v>
      </c>
      <c r="X138">
        <v>115.2</v>
      </c>
      <c r="Y138">
        <v>124.5</v>
      </c>
      <c r="Z138">
        <v>121.8</v>
      </c>
      <c r="AA138">
        <v>112.8</v>
      </c>
      <c r="AB138">
        <v>121.2</v>
      </c>
      <c r="AC138">
        <v>131.9</v>
      </c>
      <c r="AD138">
        <v>120.8</v>
      </c>
      <c r="AE138">
        <v>120.9</v>
      </c>
      <c r="AF138">
        <v>128.6</v>
      </c>
    </row>
    <row r="139" spans="1:32">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f t="shared" si="4"/>
        <v>135.81666666666663</v>
      </c>
      <c r="Q139">
        <v>137</v>
      </c>
      <c r="R139">
        <v>141.80000000000001</v>
      </c>
      <c r="S139">
        <v>135.5</v>
      </c>
      <c r="T139">
        <v>129.1</v>
      </c>
      <c r="U139">
        <f t="shared" si="5"/>
        <v>132.30000000000001</v>
      </c>
      <c r="V139">
        <v>134.5</v>
      </c>
      <c r="W139">
        <v>128.69999999999999</v>
      </c>
      <c r="X139">
        <v>124.3</v>
      </c>
      <c r="Y139">
        <v>128.4</v>
      </c>
      <c r="Z139">
        <v>126.1</v>
      </c>
      <c r="AA139">
        <v>115.2</v>
      </c>
      <c r="AB139">
        <v>123.5</v>
      </c>
      <c r="AC139">
        <v>132.4</v>
      </c>
      <c r="AD139">
        <v>122.1</v>
      </c>
      <c r="AE139">
        <v>123.4</v>
      </c>
      <c r="AF139">
        <v>131.4</v>
      </c>
    </row>
    <row r="140" spans="1:32">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f t="shared" si="4"/>
        <v>135.66666666666666</v>
      </c>
      <c r="Q140">
        <v>136.6</v>
      </c>
      <c r="R140">
        <v>141.19999999999999</v>
      </c>
      <c r="S140">
        <v>139.9</v>
      </c>
      <c r="T140">
        <v>134.5</v>
      </c>
      <c r="U140">
        <f t="shared" si="5"/>
        <v>137.19999999999999</v>
      </c>
      <c r="V140">
        <v>139.19999999999999</v>
      </c>
      <c r="W140" t="s">
        <v>32</v>
      </c>
      <c r="X140">
        <v>130.30000000000001</v>
      </c>
      <c r="Y140">
        <v>132.1</v>
      </c>
      <c r="Z140">
        <v>129.1</v>
      </c>
      <c r="AA140">
        <v>118.2</v>
      </c>
      <c r="AB140">
        <v>126.9</v>
      </c>
      <c r="AC140">
        <v>133.69999999999999</v>
      </c>
      <c r="AD140">
        <v>123.5</v>
      </c>
      <c r="AE140">
        <v>126.1</v>
      </c>
      <c r="AF140">
        <v>133.6</v>
      </c>
    </row>
    <row r="141" spans="1:32">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f t="shared" si="4"/>
        <v>135</v>
      </c>
      <c r="Q141">
        <v>135.19999999999999</v>
      </c>
      <c r="R141">
        <v>144.30000000000001</v>
      </c>
      <c r="S141">
        <v>129.6</v>
      </c>
      <c r="T141">
        <v>122.1</v>
      </c>
      <c r="U141">
        <f t="shared" si="5"/>
        <v>125.85</v>
      </c>
      <c r="V141">
        <v>128.5</v>
      </c>
      <c r="W141">
        <v>129.1</v>
      </c>
      <c r="X141">
        <v>116.2</v>
      </c>
      <c r="Y141">
        <v>124.7</v>
      </c>
      <c r="Z141">
        <v>122.1</v>
      </c>
      <c r="AA141">
        <v>113.4</v>
      </c>
      <c r="AB141">
        <v>121.7</v>
      </c>
      <c r="AC141">
        <v>132.1</v>
      </c>
      <c r="AD141">
        <v>121.3</v>
      </c>
      <c r="AE141">
        <v>121.3</v>
      </c>
      <c r="AF141">
        <v>128.5</v>
      </c>
    </row>
    <row r="142" spans="1:32">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f t="shared" si="4"/>
        <v>135.30833333333334</v>
      </c>
      <c r="Q142">
        <v>136.1</v>
      </c>
      <c r="R142">
        <v>142</v>
      </c>
      <c r="S142">
        <v>135.80000000000001</v>
      </c>
      <c r="T142">
        <v>129.30000000000001</v>
      </c>
      <c r="U142">
        <f t="shared" si="5"/>
        <v>132.55000000000001</v>
      </c>
      <c r="V142">
        <v>135</v>
      </c>
      <c r="W142">
        <v>129.1</v>
      </c>
      <c r="X142">
        <v>125</v>
      </c>
      <c r="Y142">
        <v>128.6</v>
      </c>
      <c r="Z142">
        <v>126.4</v>
      </c>
      <c r="AA142">
        <v>115.7</v>
      </c>
      <c r="AB142">
        <v>124</v>
      </c>
      <c r="AC142">
        <v>132.80000000000001</v>
      </c>
      <c r="AD142">
        <v>122.6</v>
      </c>
      <c r="AE142">
        <v>123.8</v>
      </c>
      <c r="AF142">
        <v>131.19999999999999</v>
      </c>
    </row>
    <row r="143" spans="1:32">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f t="shared" si="4"/>
        <v>134.53333333333333</v>
      </c>
      <c r="Q143">
        <v>134.69999999999999</v>
      </c>
      <c r="R143">
        <v>142.4</v>
      </c>
      <c r="S143">
        <v>140.4</v>
      </c>
      <c r="T143">
        <v>135.19999999999999</v>
      </c>
      <c r="U143">
        <f t="shared" si="5"/>
        <v>137.80000000000001</v>
      </c>
      <c r="V143">
        <v>139.69999999999999</v>
      </c>
      <c r="W143" t="s">
        <v>32</v>
      </c>
      <c r="X143">
        <v>132</v>
      </c>
      <c r="Y143">
        <v>132.9</v>
      </c>
      <c r="Z143">
        <v>129.69999999999999</v>
      </c>
      <c r="AA143">
        <v>118.6</v>
      </c>
      <c r="AB143">
        <v>127.3</v>
      </c>
      <c r="AC143">
        <v>134.19999999999999</v>
      </c>
      <c r="AD143">
        <v>121.9</v>
      </c>
      <c r="AE143">
        <v>126.3</v>
      </c>
      <c r="AF143">
        <v>132.80000000000001</v>
      </c>
    </row>
    <row r="144" spans="1:32">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f t="shared" si="4"/>
        <v>133.08333333333334</v>
      </c>
      <c r="Q144">
        <v>132.80000000000001</v>
      </c>
      <c r="R144">
        <v>145</v>
      </c>
      <c r="S144">
        <v>130</v>
      </c>
      <c r="T144">
        <v>122.2</v>
      </c>
      <c r="U144">
        <f t="shared" si="5"/>
        <v>126.1</v>
      </c>
      <c r="V144">
        <v>128.80000000000001</v>
      </c>
      <c r="W144">
        <v>128.5</v>
      </c>
      <c r="X144">
        <v>117.8</v>
      </c>
      <c r="Y144">
        <v>125</v>
      </c>
      <c r="Z144">
        <v>122.3</v>
      </c>
      <c r="AA144">
        <v>113.7</v>
      </c>
      <c r="AB144">
        <v>121.8</v>
      </c>
      <c r="AC144">
        <v>132.30000000000001</v>
      </c>
      <c r="AD144">
        <v>119.9</v>
      </c>
      <c r="AE144">
        <v>121.4</v>
      </c>
      <c r="AF144">
        <v>127.6</v>
      </c>
    </row>
    <row r="145" spans="1:32">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f t="shared" si="4"/>
        <v>133.89166666666668</v>
      </c>
      <c r="Q145">
        <v>134</v>
      </c>
      <c r="R145">
        <v>143.1</v>
      </c>
      <c r="S145">
        <v>136.30000000000001</v>
      </c>
      <c r="T145">
        <v>129.80000000000001</v>
      </c>
      <c r="U145">
        <f t="shared" si="5"/>
        <v>133.05000000000001</v>
      </c>
      <c r="V145">
        <v>135.4</v>
      </c>
      <c r="W145">
        <v>128.5</v>
      </c>
      <c r="X145">
        <v>126.6</v>
      </c>
      <c r="Y145">
        <v>129.19999999999999</v>
      </c>
      <c r="Z145">
        <v>126.9</v>
      </c>
      <c r="AA145">
        <v>116</v>
      </c>
      <c r="AB145">
        <v>124.2</v>
      </c>
      <c r="AC145">
        <v>133.1</v>
      </c>
      <c r="AD145">
        <v>121.1</v>
      </c>
      <c r="AE145">
        <v>123.9</v>
      </c>
      <c r="AF145">
        <v>130.4</v>
      </c>
    </row>
    <row r="146" spans="1:32">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f t="shared" si="4"/>
        <v>133.63333333333335</v>
      </c>
      <c r="Q146">
        <v>133.69999999999999</v>
      </c>
      <c r="R146">
        <v>143.1</v>
      </c>
      <c r="S146">
        <v>140.69999999999999</v>
      </c>
      <c r="T146">
        <v>135.80000000000001</v>
      </c>
      <c r="U146">
        <f t="shared" si="5"/>
        <v>138.25</v>
      </c>
      <c r="V146">
        <v>140</v>
      </c>
      <c r="W146" t="s">
        <v>32</v>
      </c>
      <c r="X146">
        <v>132.1</v>
      </c>
      <c r="Y146">
        <v>133.19999999999999</v>
      </c>
      <c r="Z146">
        <v>129.9</v>
      </c>
      <c r="AA146">
        <v>119.1</v>
      </c>
      <c r="AB146">
        <v>127</v>
      </c>
      <c r="AC146">
        <v>134.6</v>
      </c>
      <c r="AD146">
        <v>122.3</v>
      </c>
      <c r="AE146">
        <v>126.6</v>
      </c>
      <c r="AF146">
        <v>132.4</v>
      </c>
    </row>
    <row r="147" spans="1:32">
      <c r="A147" t="s">
        <v>33</v>
      </c>
      <c r="B147">
        <v>2017</v>
      </c>
      <c r="C147" t="s">
        <v>31</v>
      </c>
      <c r="D147">
        <v>132.19999999999999</v>
      </c>
      <c r="E147">
        <v>138.9</v>
      </c>
      <c r="F147">
        <v>132.6</v>
      </c>
      <c r="G147">
        <v>133.1</v>
      </c>
      <c r="H147">
        <v>114</v>
      </c>
      <c r="I147">
        <v>129.6</v>
      </c>
      <c r="J147">
        <v>118.7</v>
      </c>
      <c r="K147">
        <v>155.1</v>
      </c>
      <c r="L147">
        <v>117.3</v>
      </c>
      <c r="M147">
        <v>144.9</v>
      </c>
      <c r="N147">
        <v>123.2</v>
      </c>
      <c r="O147">
        <v>141.6</v>
      </c>
      <c r="P147">
        <f t="shared" si="4"/>
        <v>131.76666666666668</v>
      </c>
      <c r="Q147">
        <v>132</v>
      </c>
      <c r="R147">
        <v>145.6</v>
      </c>
      <c r="S147">
        <v>130.19999999999999</v>
      </c>
      <c r="T147">
        <v>122.3</v>
      </c>
      <c r="U147">
        <f t="shared" si="5"/>
        <v>126.25</v>
      </c>
      <c r="V147">
        <v>129</v>
      </c>
      <c r="W147">
        <v>129.6</v>
      </c>
      <c r="X147">
        <v>118</v>
      </c>
      <c r="Y147">
        <v>125.1</v>
      </c>
      <c r="Z147">
        <v>122.6</v>
      </c>
      <c r="AA147">
        <v>115.2</v>
      </c>
      <c r="AB147">
        <v>122</v>
      </c>
      <c r="AC147">
        <v>132.4</v>
      </c>
      <c r="AD147">
        <v>120.9</v>
      </c>
      <c r="AE147">
        <v>122.1</v>
      </c>
      <c r="AF147">
        <v>127.8</v>
      </c>
    </row>
    <row r="148" spans="1:32">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f t="shared" si="4"/>
        <v>132.84999999999997</v>
      </c>
      <c r="Q148">
        <v>133.1</v>
      </c>
      <c r="R148">
        <v>143.80000000000001</v>
      </c>
      <c r="S148">
        <v>136.6</v>
      </c>
      <c r="T148">
        <v>130.19999999999999</v>
      </c>
      <c r="U148">
        <f t="shared" si="5"/>
        <v>133.39999999999998</v>
      </c>
      <c r="V148">
        <v>135.6</v>
      </c>
      <c r="W148">
        <v>129.6</v>
      </c>
      <c r="X148">
        <v>126.8</v>
      </c>
      <c r="Y148">
        <v>129.4</v>
      </c>
      <c r="Z148">
        <v>127.1</v>
      </c>
      <c r="AA148">
        <v>117</v>
      </c>
      <c r="AB148">
        <v>124.2</v>
      </c>
      <c r="AC148">
        <v>133.30000000000001</v>
      </c>
      <c r="AD148">
        <v>121.7</v>
      </c>
      <c r="AE148">
        <v>124.4</v>
      </c>
      <c r="AF148">
        <v>130.30000000000001</v>
      </c>
    </row>
    <row r="149" spans="1:32">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f t="shared" si="4"/>
        <v>133.40833333333336</v>
      </c>
      <c r="Q149">
        <v>133.6</v>
      </c>
      <c r="R149">
        <v>143.69999999999999</v>
      </c>
      <c r="S149">
        <v>140.9</v>
      </c>
      <c r="T149">
        <v>135.80000000000001</v>
      </c>
      <c r="U149">
        <f t="shared" si="5"/>
        <v>138.35000000000002</v>
      </c>
      <c r="V149">
        <v>140.19999999999999</v>
      </c>
      <c r="W149" t="s">
        <v>32</v>
      </c>
      <c r="X149">
        <v>133.19999999999999</v>
      </c>
      <c r="Y149">
        <v>133.6</v>
      </c>
      <c r="Z149">
        <v>130.1</v>
      </c>
      <c r="AA149">
        <v>119.5</v>
      </c>
      <c r="AB149">
        <v>127.7</v>
      </c>
      <c r="AC149">
        <v>134.9</v>
      </c>
      <c r="AD149">
        <v>123.2</v>
      </c>
      <c r="AE149">
        <v>127</v>
      </c>
      <c r="AF149">
        <v>132.6</v>
      </c>
    </row>
    <row r="150" spans="1:32">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f t="shared" si="4"/>
        <v>131.10000000000002</v>
      </c>
      <c r="Q150">
        <v>132.1</v>
      </c>
      <c r="R150">
        <v>146.30000000000001</v>
      </c>
      <c r="S150">
        <v>130.5</v>
      </c>
      <c r="T150">
        <v>122.5</v>
      </c>
      <c r="U150">
        <f t="shared" si="5"/>
        <v>126.5</v>
      </c>
      <c r="V150">
        <v>129.30000000000001</v>
      </c>
      <c r="W150">
        <v>130.5</v>
      </c>
      <c r="X150">
        <v>119.2</v>
      </c>
      <c r="Y150">
        <v>125.3</v>
      </c>
      <c r="Z150">
        <v>122.9</v>
      </c>
      <c r="AA150">
        <v>115.5</v>
      </c>
      <c r="AB150">
        <v>122.2</v>
      </c>
      <c r="AC150">
        <v>132.4</v>
      </c>
      <c r="AD150">
        <v>121.7</v>
      </c>
      <c r="AE150">
        <v>122.4</v>
      </c>
      <c r="AF150">
        <v>128.19999999999999</v>
      </c>
    </row>
    <row r="151" spans="1:32">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f t="shared" si="4"/>
        <v>132.44166666666669</v>
      </c>
      <c r="Q151">
        <v>133</v>
      </c>
      <c r="R151">
        <v>144.4</v>
      </c>
      <c r="S151">
        <v>136.80000000000001</v>
      </c>
      <c r="T151">
        <v>130.30000000000001</v>
      </c>
      <c r="U151">
        <f t="shared" si="5"/>
        <v>133.55000000000001</v>
      </c>
      <c r="V151">
        <v>135.9</v>
      </c>
      <c r="W151">
        <v>130.5</v>
      </c>
      <c r="X151">
        <v>127.9</v>
      </c>
      <c r="Y151">
        <v>129.69999999999999</v>
      </c>
      <c r="Z151">
        <v>127.4</v>
      </c>
      <c r="AA151">
        <v>117.4</v>
      </c>
      <c r="AB151">
        <v>124.6</v>
      </c>
      <c r="AC151">
        <v>133.4</v>
      </c>
      <c r="AD151">
        <v>122.6</v>
      </c>
      <c r="AE151">
        <v>124.8</v>
      </c>
      <c r="AF151">
        <v>130.6</v>
      </c>
    </row>
    <row r="152" spans="1:32">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f t="shared" si="4"/>
        <v>132.92500000000001</v>
      </c>
      <c r="Q152">
        <v>133.4</v>
      </c>
      <c r="R152">
        <v>144.19999999999999</v>
      </c>
      <c r="S152">
        <v>141.6</v>
      </c>
      <c r="T152">
        <v>136.19999999999999</v>
      </c>
      <c r="U152">
        <f t="shared" si="5"/>
        <v>138.89999999999998</v>
      </c>
      <c r="V152">
        <v>140.80000000000001</v>
      </c>
      <c r="W152" t="s">
        <v>32</v>
      </c>
      <c r="X152">
        <v>134.19999999999999</v>
      </c>
      <c r="Y152">
        <v>134.1</v>
      </c>
      <c r="Z152">
        <v>130.6</v>
      </c>
      <c r="AA152">
        <v>119.8</v>
      </c>
      <c r="AB152">
        <v>128.30000000000001</v>
      </c>
      <c r="AC152">
        <v>135.19999999999999</v>
      </c>
      <c r="AD152">
        <v>123.3</v>
      </c>
      <c r="AE152">
        <v>127.4</v>
      </c>
      <c r="AF152">
        <v>132.80000000000001</v>
      </c>
    </row>
    <row r="153" spans="1:32">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f t="shared" si="4"/>
        <v>131.09166666666667</v>
      </c>
      <c r="Q153">
        <v>132.6</v>
      </c>
      <c r="R153">
        <v>147.5</v>
      </c>
      <c r="S153">
        <v>130.80000000000001</v>
      </c>
      <c r="T153">
        <v>122.8</v>
      </c>
      <c r="U153">
        <f t="shared" si="5"/>
        <v>126.80000000000001</v>
      </c>
      <c r="V153">
        <v>129.6</v>
      </c>
      <c r="W153">
        <v>131.1</v>
      </c>
      <c r="X153">
        <v>120.8</v>
      </c>
      <c r="Y153">
        <v>125.6</v>
      </c>
      <c r="Z153">
        <v>123.1</v>
      </c>
      <c r="AA153">
        <v>115.6</v>
      </c>
      <c r="AB153">
        <v>122.4</v>
      </c>
      <c r="AC153">
        <v>132.80000000000001</v>
      </c>
      <c r="AD153">
        <v>121.7</v>
      </c>
      <c r="AE153">
        <v>122.6</v>
      </c>
      <c r="AF153">
        <v>128.69999999999999</v>
      </c>
    </row>
    <row r="154" spans="1:32">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f t="shared" si="4"/>
        <v>132.15</v>
      </c>
      <c r="Q154">
        <v>133.1</v>
      </c>
      <c r="R154">
        <v>145.1</v>
      </c>
      <c r="S154">
        <v>137.30000000000001</v>
      </c>
      <c r="T154">
        <v>130.6</v>
      </c>
      <c r="U154">
        <f t="shared" si="5"/>
        <v>133.94999999999999</v>
      </c>
      <c r="V154">
        <v>136.4</v>
      </c>
      <c r="W154">
        <v>131.1</v>
      </c>
      <c r="X154">
        <v>129.1</v>
      </c>
      <c r="Y154">
        <v>130.1</v>
      </c>
      <c r="Z154">
        <v>127.8</v>
      </c>
      <c r="AA154">
        <v>117.6</v>
      </c>
      <c r="AB154">
        <v>125</v>
      </c>
      <c r="AC154">
        <v>133.80000000000001</v>
      </c>
      <c r="AD154">
        <v>122.6</v>
      </c>
      <c r="AE154">
        <v>125.1</v>
      </c>
      <c r="AF154">
        <v>130.9</v>
      </c>
    </row>
    <row r="155" spans="1:32">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f t="shared" si="4"/>
        <v>132.73333333333332</v>
      </c>
      <c r="Q155">
        <v>133.5</v>
      </c>
      <c r="R155">
        <v>144.4</v>
      </c>
      <c r="S155">
        <v>142.4</v>
      </c>
      <c r="T155">
        <v>136.80000000000001</v>
      </c>
      <c r="U155">
        <f t="shared" si="5"/>
        <v>139.60000000000002</v>
      </c>
      <c r="V155">
        <v>141.6</v>
      </c>
      <c r="W155" t="s">
        <v>32</v>
      </c>
      <c r="X155">
        <v>135</v>
      </c>
      <c r="Y155">
        <v>134.30000000000001</v>
      </c>
      <c r="Z155">
        <v>131</v>
      </c>
      <c r="AA155">
        <v>119.2</v>
      </c>
      <c r="AB155">
        <v>128.30000000000001</v>
      </c>
      <c r="AC155">
        <v>135.69999999999999</v>
      </c>
      <c r="AD155">
        <v>123.7</v>
      </c>
      <c r="AE155">
        <v>127.5</v>
      </c>
      <c r="AF155">
        <v>132.9</v>
      </c>
    </row>
    <row r="156" spans="1:32">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f t="shared" si="4"/>
        <v>131.22499999999999</v>
      </c>
      <c r="Q156">
        <v>133.4</v>
      </c>
      <c r="R156">
        <v>148</v>
      </c>
      <c r="S156">
        <v>131.19999999999999</v>
      </c>
      <c r="T156">
        <v>123</v>
      </c>
      <c r="U156">
        <f t="shared" si="5"/>
        <v>127.1</v>
      </c>
      <c r="V156">
        <v>130</v>
      </c>
      <c r="W156">
        <v>131.69999999999999</v>
      </c>
      <c r="X156">
        <v>121.4</v>
      </c>
      <c r="Y156">
        <v>126</v>
      </c>
      <c r="Z156">
        <v>123.4</v>
      </c>
      <c r="AA156">
        <v>114.3</v>
      </c>
      <c r="AB156">
        <v>122.6</v>
      </c>
      <c r="AC156">
        <v>133.6</v>
      </c>
      <c r="AD156">
        <v>122.2</v>
      </c>
      <c r="AE156">
        <v>122.5</v>
      </c>
      <c r="AF156">
        <v>129.1</v>
      </c>
    </row>
    <row r="157" spans="1:32">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f t="shared" si="4"/>
        <v>132.07500000000002</v>
      </c>
      <c r="Q157">
        <v>133.5</v>
      </c>
      <c r="R157">
        <v>145.4</v>
      </c>
      <c r="S157">
        <v>138</v>
      </c>
      <c r="T157">
        <v>131.1</v>
      </c>
      <c r="U157">
        <f t="shared" si="5"/>
        <v>134.55000000000001</v>
      </c>
      <c r="V157">
        <v>137</v>
      </c>
      <c r="W157">
        <v>131.69999999999999</v>
      </c>
      <c r="X157">
        <v>129.80000000000001</v>
      </c>
      <c r="Y157">
        <v>130.4</v>
      </c>
      <c r="Z157">
        <v>128.1</v>
      </c>
      <c r="AA157">
        <v>116.6</v>
      </c>
      <c r="AB157">
        <v>125.1</v>
      </c>
      <c r="AC157">
        <v>134.5</v>
      </c>
      <c r="AD157">
        <v>123.1</v>
      </c>
      <c r="AE157">
        <v>125.1</v>
      </c>
      <c r="AF157">
        <v>131.1</v>
      </c>
    </row>
    <row r="158" spans="1:32">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f t="shared" si="4"/>
        <v>132.80833333333331</v>
      </c>
      <c r="Q158">
        <v>133.80000000000001</v>
      </c>
      <c r="R158">
        <v>145.5</v>
      </c>
      <c r="S158">
        <v>142.5</v>
      </c>
      <c r="T158">
        <v>137.30000000000001</v>
      </c>
      <c r="U158">
        <f t="shared" si="5"/>
        <v>139.9</v>
      </c>
      <c r="V158">
        <v>141.80000000000001</v>
      </c>
      <c r="W158" t="s">
        <v>32</v>
      </c>
      <c r="X158">
        <v>135</v>
      </c>
      <c r="Y158">
        <v>134.9</v>
      </c>
      <c r="Z158">
        <v>131.4</v>
      </c>
      <c r="AA158">
        <v>119.4</v>
      </c>
      <c r="AB158">
        <v>129.4</v>
      </c>
      <c r="AC158">
        <v>136.30000000000001</v>
      </c>
      <c r="AD158">
        <v>123.7</v>
      </c>
      <c r="AE158">
        <v>127.9</v>
      </c>
      <c r="AF158">
        <v>133.30000000000001</v>
      </c>
    </row>
    <row r="159" spans="1:32">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f t="shared" si="4"/>
        <v>131.33333333333334</v>
      </c>
      <c r="Q159">
        <v>133.6</v>
      </c>
      <c r="R159">
        <v>148.30000000000001</v>
      </c>
      <c r="S159">
        <v>131.5</v>
      </c>
      <c r="T159">
        <v>123.2</v>
      </c>
      <c r="U159">
        <f t="shared" si="5"/>
        <v>127.35</v>
      </c>
      <c r="V159">
        <v>130.19999999999999</v>
      </c>
      <c r="W159">
        <v>132.1</v>
      </c>
      <c r="X159">
        <v>120.1</v>
      </c>
      <c r="Y159">
        <v>126.5</v>
      </c>
      <c r="Z159">
        <v>123.6</v>
      </c>
      <c r="AA159">
        <v>114.3</v>
      </c>
      <c r="AB159">
        <v>122.8</v>
      </c>
      <c r="AC159">
        <v>133.80000000000001</v>
      </c>
      <c r="AD159">
        <v>122</v>
      </c>
      <c r="AE159">
        <v>122.6</v>
      </c>
      <c r="AF159">
        <v>129.30000000000001</v>
      </c>
    </row>
    <row r="160" spans="1:32">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f t="shared" si="4"/>
        <v>132.15833333333333</v>
      </c>
      <c r="Q160">
        <v>133.69999999999999</v>
      </c>
      <c r="R160">
        <v>146.19999999999999</v>
      </c>
      <c r="S160">
        <v>138.19999999999999</v>
      </c>
      <c r="T160">
        <v>131.4</v>
      </c>
      <c r="U160">
        <f t="shared" si="5"/>
        <v>134.80000000000001</v>
      </c>
      <c r="V160">
        <v>137.19999999999999</v>
      </c>
      <c r="W160">
        <v>132.1</v>
      </c>
      <c r="X160">
        <v>129.4</v>
      </c>
      <c r="Y160">
        <v>130.9</v>
      </c>
      <c r="Z160">
        <v>128.4</v>
      </c>
      <c r="AA160">
        <v>116.7</v>
      </c>
      <c r="AB160">
        <v>125.7</v>
      </c>
      <c r="AC160">
        <v>134.80000000000001</v>
      </c>
      <c r="AD160">
        <v>123</v>
      </c>
      <c r="AE160">
        <v>125.3</v>
      </c>
      <c r="AF160">
        <v>131.4</v>
      </c>
    </row>
    <row r="161" spans="1:32">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f t="shared" si="4"/>
        <v>133.65833333333333</v>
      </c>
      <c r="Q161">
        <v>134.9</v>
      </c>
      <c r="R161">
        <v>145.80000000000001</v>
      </c>
      <c r="S161">
        <v>143.1</v>
      </c>
      <c r="T161">
        <v>137.69999999999999</v>
      </c>
      <c r="U161">
        <f t="shared" si="5"/>
        <v>140.39999999999998</v>
      </c>
      <c r="V161">
        <v>142.30000000000001</v>
      </c>
      <c r="W161" t="s">
        <v>32</v>
      </c>
      <c r="X161">
        <v>134.80000000000001</v>
      </c>
      <c r="Y161">
        <v>135.19999999999999</v>
      </c>
      <c r="Z161">
        <v>131.30000000000001</v>
      </c>
      <c r="AA161">
        <v>119.4</v>
      </c>
      <c r="AB161">
        <v>129.80000000000001</v>
      </c>
      <c r="AC161">
        <v>136.9</v>
      </c>
      <c r="AD161">
        <v>124.1</v>
      </c>
      <c r="AE161">
        <v>128.1</v>
      </c>
      <c r="AF161">
        <v>133.9</v>
      </c>
    </row>
    <row r="162" spans="1:32">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f t="shared" si="4"/>
        <v>132.94166666666669</v>
      </c>
      <c r="Q162">
        <v>135.69999999999999</v>
      </c>
      <c r="R162">
        <v>148.6</v>
      </c>
      <c r="S162">
        <v>131.5</v>
      </c>
      <c r="T162">
        <v>123.2</v>
      </c>
      <c r="U162">
        <f t="shared" si="5"/>
        <v>127.35</v>
      </c>
      <c r="V162">
        <v>130.19999999999999</v>
      </c>
      <c r="W162">
        <v>131.4</v>
      </c>
      <c r="X162">
        <v>119</v>
      </c>
      <c r="Y162">
        <v>126.8</v>
      </c>
      <c r="Z162">
        <v>123.8</v>
      </c>
      <c r="AA162">
        <v>113.9</v>
      </c>
      <c r="AB162">
        <v>122.9</v>
      </c>
      <c r="AC162">
        <v>134.30000000000001</v>
      </c>
      <c r="AD162">
        <v>122.5</v>
      </c>
      <c r="AE162">
        <v>122.7</v>
      </c>
      <c r="AF162">
        <v>129.9</v>
      </c>
    </row>
    <row r="163" spans="1:32">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f t="shared" si="4"/>
        <v>133.29166666666666</v>
      </c>
      <c r="Q163">
        <v>135.19999999999999</v>
      </c>
      <c r="R163">
        <v>146.5</v>
      </c>
      <c r="S163">
        <v>138.5</v>
      </c>
      <c r="T163">
        <v>131.69999999999999</v>
      </c>
      <c r="U163">
        <f t="shared" si="5"/>
        <v>135.1</v>
      </c>
      <c r="V163">
        <v>137.5</v>
      </c>
      <c r="W163">
        <v>131.4</v>
      </c>
      <c r="X163">
        <v>128.80000000000001</v>
      </c>
      <c r="Y163">
        <v>131.19999999999999</v>
      </c>
      <c r="Z163">
        <v>128.5</v>
      </c>
      <c r="AA163">
        <v>116.5</v>
      </c>
      <c r="AB163">
        <v>125.9</v>
      </c>
      <c r="AC163">
        <v>135.4</v>
      </c>
      <c r="AD163">
        <v>123.4</v>
      </c>
      <c r="AE163">
        <v>125.5</v>
      </c>
      <c r="AF163">
        <v>132</v>
      </c>
    </row>
    <row r="164" spans="1:32">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f t="shared" si="4"/>
        <v>136.20000000000002</v>
      </c>
      <c r="Q164">
        <v>138.5</v>
      </c>
      <c r="R164">
        <v>147.4</v>
      </c>
      <c r="S164">
        <v>144.30000000000001</v>
      </c>
      <c r="T164">
        <v>138.1</v>
      </c>
      <c r="U164">
        <f t="shared" si="5"/>
        <v>141.19999999999999</v>
      </c>
      <c r="V164">
        <v>143.5</v>
      </c>
      <c r="W164" t="s">
        <v>32</v>
      </c>
      <c r="X164">
        <v>135.30000000000001</v>
      </c>
      <c r="Y164">
        <v>136.1</v>
      </c>
      <c r="Z164">
        <v>132.1</v>
      </c>
      <c r="AA164">
        <v>119.1</v>
      </c>
      <c r="AB164">
        <v>130.6</v>
      </c>
      <c r="AC164">
        <v>138.6</v>
      </c>
      <c r="AD164">
        <v>124.4</v>
      </c>
      <c r="AE164">
        <v>128.6</v>
      </c>
      <c r="AF164">
        <v>136.19999999999999</v>
      </c>
    </row>
    <row r="165" spans="1:32">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f t="shared" si="4"/>
        <v>135.69166666666666</v>
      </c>
      <c r="Q165">
        <v>139.80000000000001</v>
      </c>
      <c r="R165">
        <v>150.5</v>
      </c>
      <c r="S165">
        <v>131.6</v>
      </c>
      <c r="T165">
        <v>123.7</v>
      </c>
      <c r="U165">
        <f t="shared" si="5"/>
        <v>127.65</v>
      </c>
      <c r="V165">
        <v>130.4</v>
      </c>
      <c r="W165">
        <v>132.6</v>
      </c>
      <c r="X165">
        <v>119.7</v>
      </c>
      <c r="Y165">
        <v>127.2</v>
      </c>
      <c r="Z165">
        <v>125</v>
      </c>
      <c r="AA165">
        <v>113.2</v>
      </c>
      <c r="AB165">
        <v>123.5</v>
      </c>
      <c r="AC165">
        <v>135.5</v>
      </c>
      <c r="AD165">
        <v>122.4</v>
      </c>
      <c r="AE165">
        <v>123</v>
      </c>
      <c r="AF165">
        <v>131.80000000000001</v>
      </c>
    </row>
    <row r="166" spans="1:32">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f t="shared" si="4"/>
        <v>135.86666666666665</v>
      </c>
      <c r="Q166">
        <v>139</v>
      </c>
      <c r="R166">
        <v>148.19999999999999</v>
      </c>
      <c r="S166">
        <v>139.30000000000001</v>
      </c>
      <c r="T166">
        <v>132.1</v>
      </c>
      <c r="U166">
        <f t="shared" si="5"/>
        <v>135.69999999999999</v>
      </c>
      <c r="V166">
        <v>138.30000000000001</v>
      </c>
      <c r="W166">
        <v>132.6</v>
      </c>
      <c r="X166">
        <v>129.4</v>
      </c>
      <c r="Y166">
        <v>131.9</v>
      </c>
      <c r="Z166">
        <v>129.4</v>
      </c>
      <c r="AA166">
        <v>116</v>
      </c>
      <c r="AB166">
        <v>126.6</v>
      </c>
      <c r="AC166">
        <v>136.80000000000001</v>
      </c>
      <c r="AD166">
        <v>123.6</v>
      </c>
      <c r="AE166">
        <v>125.9</v>
      </c>
      <c r="AF166">
        <v>134.19999999999999</v>
      </c>
    </row>
    <row r="167" spans="1:32">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f t="shared" si="4"/>
        <v>137.65833333333333</v>
      </c>
      <c r="Q167">
        <v>140.6</v>
      </c>
      <c r="R167">
        <v>149</v>
      </c>
      <c r="S167">
        <v>145.30000000000001</v>
      </c>
      <c r="T167">
        <v>139.19999999999999</v>
      </c>
      <c r="U167">
        <f t="shared" si="5"/>
        <v>142.25</v>
      </c>
      <c r="V167">
        <v>144.5</v>
      </c>
      <c r="W167" t="s">
        <v>32</v>
      </c>
      <c r="X167">
        <v>136.4</v>
      </c>
      <c r="Y167">
        <v>137.30000000000001</v>
      </c>
      <c r="Z167">
        <v>133</v>
      </c>
      <c r="AA167">
        <v>120.3</v>
      </c>
      <c r="AB167">
        <v>131.5</v>
      </c>
      <c r="AC167">
        <v>140.19999999999999</v>
      </c>
      <c r="AD167">
        <v>125.4</v>
      </c>
      <c r="AE167">
        <v>129.69999999999999</v>
      </c>
      <c r="AF167">
        <v>137.80000000000001</v>
      </c>
    </row>
    <row r="168" spans="1:32">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f t="shared" si="4"/>
        <v>136.04166666666666</v>
      </c>
      <c r="Q168">
        <v>140.5</v>
      </c>
      <c r="R168">
        <v>152.1</v>
      </c>
      <c r="S168">
        <v>132.69999999999999</v>
      </c>
      <c r="T168">
        <v>124.3</v>
      </c>
      <c r="U168">
        <f t="shared" si="5"/>
        <v>128.5</v>
      </c>
      <c r="V168">
        <v>131.4</v>
      </c>
      <c r="W168">
        <v>134.4</v>
      </c>
      <c r="X168">
        <v>118.9</v>
      </c>
      <c r="Y168">
        <v>127.7</v>
      </c>
      <c r="Z168">
        <v>125.7</v>
      </c>
      <c r="AA168">
        <v>114.6</v>
      </c>
      <c r="AB168">
        <v>124.1</v>
      </c>
      <c r="AC168">
        <v>135.69999999999999</v>
      </c>
      <c r="AD168">
        <v>123.3</v>
      </c>
      <c r="AE168">
        <v>123.8</v>
      </c>
      <c r="AF168">
        <v>132.69999999999999</v>
      </c>
    </row>
    <row r="169" spans="1:32">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f t="shared" si="4"/>
        <v>136.93333333333334</v>
      </c>
      <c r="Q169">
        <v>140.6</v>
      </c>
      <c r="R169">
        <v>149.80000000000001</v>
      </c>
      <c r="S169">
        <v>140.30000000000001</v>
      </c>
      <c r="T169">
        <v>133</v>
      </c>
      <c r="U169">
        <f t="shared" si="5"/>
        <v>136.65</v>
      </c>
      <c r="V169">
        <v>139.30000000000001</v>
      </c>
      <c r="W169">
        <v>134.4</v>
      </c>
      <c r="X169">
        <v>129.80000000000001</v>
      </c>
      <c r="Y169">
        <v>132.80000000000001</v>
      </c>
      <c r="Z169">
        <v>130.19999999999999</v>
      </c>
      <c r="AA169">
        <v>117.3</v>
      </c>
      <c r="AB169">
        <v>127.3</v>
      </c>
      <c r="AC169">
        <v>137.6</v>
      </c>
      <c r="AD169">
        <v>124.5</v>
      </c>
      <c r="AE169">
        <v>126.8</v>
      </c>
      <c r="AF169">
        <v>135.4</v>
      </c>
    </row>
    <row r="170" spans="1:32">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f t="shared" si="4"/>
        <v>137.05833333333334</v>
      </c>
      <c r="Q170">
        <v>139.6</v>
      </c>
      <c r="R170">
        <v>149.80000000000001</v>
      </c>
      <c r="S170">
        <v>146.1</v>
      </c>
      <c r="T170">
        <v>139.69999999999999</v>
      </c>
      <c r="U170">
        <f t="shared" si="5"/>
        <v>142.89999999999998</v>
      </c>
      <c r="V170">
        <v>145.19999999999999</v>
      </c>
      <c r="W170" t="s">
        <v>32</v>
      </c>
      <c r="X170">
        <v>137.4</v>
      </c>
      <c r="Y170">
        <v>137.9</v>
      </c>
      <c r="Z170">
        <v>133.4</v>
      </c>
      <c r="AA170">
        <v>121.2</v>
      </c>
      <c r="AB170">
        <v>132.30000000000001</v>
      </c>
      <c r="AC170">
        <v>139.6</v>
      </c>
      <c r="AD170">
        <v>126.7</v>
      </c>
      <c r="AE170">
        <v>130.30000000000001</v>
      </c>
      <c r="AF170">
        <v>137.6</v>
      </c>
    </row>
    <row r="171" spans="1:32">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f t="shared" si="4"/>
        <v>134.30833333333334</v>
      </c>
      <c r="Q171">
        <v>138</v>
      </c>
      <c r="R171">
        <v>153.6</v>
      </c>
      <c r="S171">
        <v>133.30000000000001</v>
      </c>
      <c r="T171">
        <v>124.6</v>
      </c>
      <c r="U171">
        <f t="shared" si="5"/>
        <v>128.94999999999999</v>
      </c>
      <c r="V171">
        <v>132</v>
      </c>
      <c r="W171">
        <v>135.69999999999999</v>
      </c>
      <c r="X171">
        <v>120.6</v>
      </c>
      <c r="Y171">
        <v>128.1</v>
      </c>
      <c r="Z171">
        <v>126.1</v>
      </c>
      <c r="AA171">
        <v>115.7</v>
      </c>
      <c r="AB171">
        <v>124.5</v>
      </c>
      <c r="AC171">
        <v>135.9</v>
      </c>
      <c r="AD171">
        <v>124.4</v>
      </c>
      <c r="AE171">
        <v>124.5</v>
      </c>
      <c r="AF171">
        <v>132.4</v>
      </c>
    </row>
    <row r="172" spans="1:32">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f t="shared" si="4"/>
        <v>135.91666666666666</v>
      </c>
      <c r="Q172">
        <v>139</v>
      </c>
      <c r="R172">
        <v>150.80000000000001</v>
      </c>
      <c r="S172">
        <v>141.1</v>
      </c>
      <c r="T172">
        <v>133.4</v>
      </c>
      <c r="U172">
        <f t="shared" si="5"/>
        <v>137.25</v>
      </c>
      <c r="V172">
        <v>140</v>
      </c>
      <c r="W172">
        <v>135.69999999999999</v>
      </c>
      <c r="X172">
        <v>131</v>
      </c>
      <c r="Y172">
        <v>133.30000000000001</v>
      </c>
      <c r="Z172">
        <v>130.6</v>
      </c>
      <c r="AA172">
        <v>118.3</v>
      </c>
      <c r="AB172">
        <v>127.9</v>
      </c>
      <c r="AC172">
        <v>137.4</v>
      </c>
      <c r="AD172">
        <v>125.7</v>
      </c>
      <c r="AE172">
        <v>127.5</v>
      </c>
      <c r="AF172">
        <v>135.19999999999999</v>
      </c>
    </row>
    <row r="173" spans="1:32">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f t="shared" si="4"/>
        <v>137.54166666666666</v>
      </c>
      <c r="Q173">
        <v>140.4</v>
      </c>
      <c r="R173">
        <v>150.5</v>
      </c>
      <c r="S173">
        <v>147.19999999999999</v>
      </c>
      <c r="T173">
        <v>140.6</v>
      </c>
      <c r="U173">
        <f t="shared" si="5"/>
        <v>143.89999999999998</v>
      </c>
      <c r="V173">
        <v>146.19999999999999</v>
      </c>
      <c r="W173" t="s">
        <v>32</v>
      </c>
      <c r="X173">
        <v>138.1</v>
      </c>
      <c r="Y173">
        <v>138.4</v>
      </c>
      <c r="Z173">
        <v>134.19999999999999</v>
      </c>
      <c r="AA173">
        <v>121</v>
      </c>
      <c r="AB173">
        <v>133</v>
      </c>
      <c r="AC173">
        <v>140.1</v>
      </c>
      <c r="AD173">
        <v>127.4</v>
      </c>
      <c r="AE173">
        <v>130.69999999999999</v>
      </c>
      <c r="AF173">
        <v>138.30000000000001</v>
      </c>
    </row>
    <row r="174" spans="1:32">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f t="shared" si="4"/>
        <v>135.49999999999997</v>
      </c>
      <c r="Q174">
        <v>139.69999999999999</v>
      </c>
      <c r="R174">
        <v>154.6</v>
      </c>
      <c r="S174">
        <v>134</v>
      </c>
      <c r="T174">
        <v>124.9</v>
      </c>
      <c r="U174">
        <f t="shared" si="5"/>
        <v>129.44999999999999</v>
      </c>
      <c r="V174">
        <v>132.6</v>
      </c>
      <c r="W174">
        <v>137.30000000000001</v>
      </c>
      <c r="X174">
        <v>122.6</v>
      </c>
      <c r="Y174">
        <v>128.30000000000001</v>
      </c>
      <c r="Z174">
        <v>126.6</v>
      </c>
      <c r="AA174">
        <v>115</v>
      </c>
      <c r="AB174">
        <v>124.8</v>
      </c>
      <c r="AC174">
        <v>136.30000000000001</v>
      </c>
      <c r="AD174">
        <v>124.6</v>
      </c>
      <c r="AE174">
        <v>124.5</v>
      </c>
      <c r="AF174">
        <v>133.5</v>
      </c>
    </row>
    <row r="175" spans="1:32">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f t="shared" si="4"/>
        <v>136.63333333333333</v>
      </c>
      <c r="Q175">
        <v>140.1</v>
      </c>
      <c r="R175">
        <v>151.6</v>
      </c>
      <c r="S175">
        <v>142</v>
      </c>
      <c r="T175">
        <v>134.1</v>
      </c>
      <c r="U175">
        <f t="shared" si="5"/>
        <v>138.05000000000001</v>
      </c>
      <c r="V175">
        <v>140.80000000000001</v>
      </c>
      <c r="W175">
        <v>137.30000000000001</v>
      </c>
      <c r="X175">
        <v>132.19999999999999</v>
      </c>
      <c r="Y175">
        <v>133.6</v>
      </c>
      <c r="Z175">
        <v>131.30000000000001</v>
      </c>
      <c r="AA175">
        <v>117.8</v>
      </c>
      <c r="AB175">
        <v>128.4</v>
      </c>
      <c r="AC175">
        <v>137.9</v>
      </c>
      <c r="AD175">
        <v>126.2</v>
      </c>
      <c r="AE175">
        <v>127.7</v>
      </c>
      <c r="AF175">
        <v>136.1</v>
      </c>
    </row>
    <row r="176" spans="1:32">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f t="shared" si="4"/>
        <v>139.60833333333335</v>
      </c>
      <c r="Q176">
        <v>142.4</v>
      </c>
      <c r="R176">
        <v>152.1</v>
      </c>
      <c r="S176">
        <v>148.19999999999999</v>
      </c>
      <c r="T176">
        <v>141.5</v>
      </c>
      <c r="U176">
        <f t="shared" si="5"/>
        <v>144.85</v>
      </c>
      <c r="V176">
        <v>147.30000000000001</v>
      </c>
      <c r="W176" t="s">
        <v>32</v>
      </c>
      <c r="X176">
        <v>141.1</v>
      </c>
      <c r="Y176">
        <v>139.4</v>
      </c>
      <c r="Z176">
        <v>135.80000000000001</v>
      </c>
      <c r="AA176">
        <v>121.6</v>
      </c>
      <c r="AB176">
        <v>133.69999999999999</v>
      </c>
      <c r="AC176">
        <v>141.5</v>
      </c>
      <c r="AD176">
        <v>128.1</v>
      </c>
      <c r="AE176">
        <v>131.69999999999999</v>
      </c>
      <c r="AF176">
        <v>140</v>
      </c>
    </row>
    <row r="177" spans="1:32">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f t="shared" si="4"/>
        <v>137.93333333333334</v>
      </c>
      <c r="Q177">
        <v>141.5</v>
      </c>
      <c r="R177">
        <v>156.19999999999999</v>
      </c>
      <c r="S177">
        <v>135</v>
      </c>
      <c r="T177">
        <v>125.4</v>
      </c>
      <c r="U177">
        <f t="shared" si="5"/>
        <v>130.19999999999999</v>
      </c>
      <c r="V177">
        <v>133.5</v>
      </c>
      <c r="W177">
        <v>138.6</v>
      </c>
      <c r="X177">
        <v>125.7</v>
      </c>
      <c r="Y177">
        <v>128.80000000000001</v>
      </c>
      <c r="Z177">
        <v>127.4</v>
      </c>
      <c r="AA177">
        <v>115.3</v>
      </c>
      <c r="AB177">
        <v>125.1</v>
      </c>
      <c r="AC177">
        <v>136.6</v>
      </c>
      <c r="AD177">
        <v>124.9</v>
      </c>
      <c r="AE177">
        <v>124.9</v>
      </c>
      <c r="AF177">
        <v>134.80000000000001</v>
      </c>
    </row>
    <row r="178" spans="1:32">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f t="shared" si="4"/>
        <v>138.84166666666667</v>
      </c>
      <c r="Q178">
        <v>142.1</v>
      </c>
      <c r="R178">
        <v>153.19999999999999</v>
      </c>
      <c r="S178">
        <v>143</v>
      </c>
      <c r="T178">
        <v>134.80000000000001</v>
      </c>
      <c r="U178">
        <f t="shared" si="5"/>
        <v>138.9</v>
      </c>
      <c r="V178">
        <v>141.80000000000001</v>
      </c>
      <c r="W178">
        <v>138.6</v>
      </c>
      <c r="X178">
        <v>135.30000000000001</v>
      </c>
      <c r="Y178">
        <v>134.4</v>
      </c>
      <c r="Z178">
        <v>132.6</v>
      </c>
      <c r="AA178">
        <v>118.3</v>
      </c>
      <c r="AB178">
        <v>128.9</v>
      </c>
      <c r="AC178">
        <v>138.6</v>
      </c>
      <c r="AD178">
        <v>126.8</v>
      </c>
      <c r="AE178">
        <v>128.4</v>
      </c>
      <c r="AF178">
        <v>137.6</v>
      </c>
    </row>
    <row r="179" spans="1:32">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f t="shared" si="4"/>
        <v>139.34166666666667</v>
      </c>
      <c r="Q179">
        <v>141.5</v>
      </c>
      <c r="R179">
        <v>153.19999999999999</v>
      </c>
      <c r="S179">
        <v>148</v>
      </c>
      <c r="T179">
        <v>141.9</v>
      </c>
      <c r="U179">
        <f t="shared" si="5"/>
        <v>144.94999999999999</v>
      </c>
      <c r="V179">
        <v>147.19999999999999</v>
      </c>
      <c r="W179" t="s">
        <v>32</v>
      </c>
      <c r="X179">
        <v>142.6</v>
      </c>
      <c r="Y179">
        <v>139.5</v>
      </c>
      <c r="Z179">
        <v>136.1</v>
      </c>
      <c r="AA179">
        <v>122</v>
      </c>
      <c r="AB179">
        <v>133.4</v>
      </c>
      <c r="AC179">
        <v>141.1</v>
      </c>
      <c r="AD179">
        <v>127.8</v>
      </c>
      <c r="AE179">
        <v>131.9</v>
      </c>
      <c r="AF179">
        <v>139.80000000000001</v>
      </c>
    </row>
    <row r="180" spans="1:32">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f t="shared" si="4"/>
        <v>135.72499999999999</v>
      </c>
      <c r="Q180">
        <v>138.80000000000001</v>
      </c>
      <c r="R180">
        <v>157</v>
      </c>
      <c r="S180">
        <v>135.6</v>
      </c>
      <c r="T180">
        <v>125.6</v>
      </c>
      <c r="U180">
        <f t="shared" si="5"/>
        <v>130.6</v>
      </c>
      <c r="V180">
        <v>134</v>
      </c>
      <c r="W180">
        <v>139.1</v>
      </c>
      <c r="X180">
        <v>126.8</v>
      </c>
      <c r="Y180">
        <v>129.30000000000001</v>
      </c>
      <c r="Z180">
        <v>128.19999999999999</v>
      </c>
      <c r="AA180">
        <v>115.3</v>
      </c>
      <c r="AB180">
        <v>125.6</v>
      </c>
      <c r="AC180">
        <v>136.69999999999999</v>
      </c>
      <c r="AD180">
        <v>124.6</v>
      </c>
      <c r="AE180">
        <v>125.1</v>
      </c>
      <c r="AF180">
        <v>134.1</v>
      </c>
    </row>
    <row r="181" spans="1:32">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f t="shared" si="4"/>
        <v>137.87499999999997</v>
      </c>
      <c r="Q181">
        <v>140.5</v>
      </c>
      <c r="R181">
        <v>154.19999999999999</v>
      </c>
      <c r="S181">
        <v>143.1</v>
      </c>
      <c r="T181">
        <v>135.1</v>
      </c>
      <c r="U181">
        <f t="shared" si="5"/>
        <v>139.1</v>
      </c>
      <c r="V181">
        <v>142</v>
      </c>
      <c r="W181">
        <v>139.1</v>
      </c>
      <c r="X181">
        <v>136.6</v>
      </c>
      <c r="Y181">
        <v>134.69999999999999</v>
      </c>
      <c r="Z181">
        <v>133.1</v>
      </c>
      <c r="AA181">
        <v>118.5</v>
      </c>
      <c r="AB181">
        <v>129</v>
      </c>
      <c r="AC181">
        <v>138.5</v>
      </c>
      <c r="AD181">
        <v>126.5</v>
      </c>
      <c r="AE181">
        <v>128.6</v>
      </c>
      <c r="AF181">
        <v>137.19999999999999</v>
      </c>
    </row>
    <row r="182" spans="1:32">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f t="shared" si="4"/>
        <v>138.35833333333332</v>
      </c>
      <c r="Q182">
        <v>140.4</v>
      </c>
      <c r="R182">
        <v>153.6</v>
      </c>
      <c r="S182">
        <v>148.30000000000001</v>
      </c>
      <c r="T182">
        <v>142.30000000000001</v>
      </c>
      <c r="U182">
        <f t="shared" si="5"/>
        <v>145.30000000000001</v>
      </c>
      <c r="V182">
        <v>147.5</v>
      </c>
      <c r="W182" t="s">
        <v>32</v>
      </c>
      <c r="X182">
        <v>142.30000000000001</v>
      </c>
      <c r="Y182">
        <v>139.80000000000001</v>
      </c>
      <c r="Z182">
        <v>136</v>
      </c>
      <c r="AA182">
        <v>122.7</v>
      </c>
      <c r="AB182">
        <v>134.30000000000001</v>
      </c>
      <c r="AC182">
        <v>141.6</v>
      </c>
      <c r="AD182">
        <v>128.6</v>
      </c>
      <c r="AE182">
        <v>132.30000000000001</v>
      </c>
      <c r="AF182">
        <v>139.30000000000001</v>
      </c>
    </row>
    <row r="183" spans="1:32">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f t="shared" si="4"/>
        <v>134.25833333333335</v>
      </c>
      <c r="Q183">
        <v>137.19999999999999</v>
      </c>
      <c r="R183">
        <v>157.69999999999999</v>
      </c>
      <c r="S183">
        <v>136</v>
      </c>
      <c r="T183">
        <v>125.9</v>
      </c>
      <c r="U183">
        <f t="shared" si="5"/>
        <v>130.94999999999999</v>
      </c>
      <c r="V183">
        <v>134.4</v>
      </c>
      <c r="W183">
        <v>140.4</v>
      </c>
      <c r="X183">
        <v>127.3</v>
      </c>
      <c r="Y183">
        <v>129.5</v>
      </c>
      <c r="Z183">
        <v>129</v>
      </c>
      <c r="AA183">
        <v>116.3</v>
      </c>
      <c r="AB183">
        <v>126.2</v>
      </c>
      <c r="AC183">
        <v>137.1</v>
      </c>
      <c r="AD183">
        <v>125.5</v>
      </c>
      <c r="AE183">
        <v>125.8</v>
      </c>
      <c r="AF183">
        <v>134.1</v>
      </c>
    </row>
    <row r="184" spans="1:32">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f t="shared" si="4"/>
        <v>136.72499999999999</v>
      </c>
      <c r="Q184">
        <v>139.19999999999999</v>
      </c>
      <c r="R184">
        <v>154.69999999999999</v>
      </c>
      <c r="S184">
        <v>143.5</v>
      </c>
      <c r="T184">
        <v>135.5</v>
      </c>
      <c r="U184">
        <f t="shared" si="5"/>
        <v>139.5</v>
      </c>
      <c r="V184">
        <v>142.30000000000001</v>
      </c>
      <c r="W184">
        <v>140.4</v>
      </c>
      <c r="X184">
        <v>136.6</v>
      </c>
      <c r="Y184">
        <v>134.9</v>
      </c>
      <c r="Z184">
        <v>133.30000000000001</v>
      </c>
      <c r="AA184">
        <v>119.3</v>
      </c>
      <c r="AB184">
        <v>129.69999999999999</v>
      </c>
      <c r="AC184">
        <v>139</v>
      </c>
      <c r="AD184">
        <v>127.3</v>
      </c>
      <c r="AE184">
        <v>129.1</v>
      </c>
      <c r="AF184">
        <v>136.9</v>
      </c>
    </row>
    <row r="185" spans="1:32">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f t="shared" si="4"/>
        <v>136.9</v>
      </c>
      <c r="Q185">
        <v>138.69999999999999</v>
      </c>
      <c r="R185">
        <v>153.30000000000001</v>
      </c>
      <c r="S185">
        <v>148.69999999999999</v>
      </c>
      <c r="T185">
        <v>142.4</v>
      </c>
      <c r="U185">
        <f t="shared" si="5"/>
        <v>145.55000000000001</v>
      </c>
      <c r="V185">
        <v>147.80000000000001</v>
      </c>
      <c r="W185" t="s">
        <v>32</v>
      </c>
      <c r="X185">
        <v>142.4</v>
      </c>
      <c r="Y185">
        <v>139.9</v>
      </c>
      <c r="Z185">
        <v>136.19999999999999</v>
      </c>
      <c r="AA185">
        <v>123.3</v>
      </c>
      <c r="AB185">
        <v>134.30000000000001</v>
      </c>
      <c r="AC185">
        <v>141.5</v>
      </c>
      <c r="AD185">
        <v>128.80000000000001</v>
      </c>
      <c r="AE185">
        <v>132.5</v>
      </c>
      <c r="AF185">
        <v>138.5</v>
      </c>
    </row>
    <row r="186" spans="1:32">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f t="shared" si="4"/>
        <v>132.69166666666669</v>
      </c>
      <c r="Q186">
        <v>135.6</v>
      </c>
      <c r="R186">
        <v>159.30000000000001</v>
      </c>
      <c r="S186">
        <v>136.30000000000001</v>
      </c>
      <c r="T186">
        <v>126.1</v>
      </c>
      <c r="U186">
        <f t="shared" si="5"/>
        <v>131.19999999999999</v>
      </c>
      <c r="V186">
        <v>134.69999999999999</v>
      </c>
      <c r="W186">
        <v>141.30000000000001</v>
      </c>
      <c r="X186">
        <v>127.3</v>
      </c>
      <c r="Y186">
        <v>129.9</v>
      </c>
      <c r="Z186">
        <v>129.80000000000001</v>
      </c>
      <c r="AA186">
        <v>117.4</v>
      </c>
      <c r="AB186">
        <v>126.5</v>
      </c>
      <c r="AC186">
        <v>137.19999999999999</v>
      </c>
      <c r="AD186">
        <v>126.2</v>
      </c>
      <c r="AE186">
        <v>126.5</v>
      </c>
      <c r="AF186">
        <v>134</v>
      </c>
    </row>
    <row r="187" spans="1:32">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f t="shared" si="4"/>
        <v>135.23333333333332</v>
      </c>
      <c r="Q187">
        <v>137.6</v>
      </c>
      <c r="R187">
        <v>154.9</v>
      </c>
      <c r="S187">
        <v>143.80000000000001</v>
      </c>
      <c r="T187">
        <v>135.6</v>
      </c>
      <c r="U187">
        <f t="shared" si="5"/>
        <v>139.69999999999999</v>
      </c>
      <c r="V187">
        <v>142.6</v>
      </c>
      <c r="W187">
        <v>141.30000000000001</v>
      </c>
      <c r="X187">
        <v>136.69999999999999</v>
      </c>
      <c r="Y187">
        <v>135.19999999999999</v>
      </c>
      <c r="Z187">
        <v>133.80000000000001</v>
      </c>
      <c r="AA187">
        <v>120.2</v>
      </c>
      <c r="AB187">
        <v>129.9</v>
      </c>
      <c r="AC187">
        <v>139</v>
      </c>
      <c r="AD187">
        <v>127.7</v>
      </c>
      <c r="AE187">
        <v>129.6</v>
      </c>
      <c r="AF187">
        <v>136.4</v>
      </c>
    </row>
    <row r="188" spans="1:32">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f t="shared" si="4"/>
        <v>136.94999999999999</v>
      </c>
      <c r="Q188">
        <v>138.6</v>
      </c>
      <c r="R188">
        <v>155.1</v>
      </c>
      <c r="S188">
        <v>149.19999999999999</v>
      </c>
      <c r="T188">
        <v>143</v>
      </c>
      <c r="U188">
        <f t="shared" si="5"/>
        <v>146.1</v>
      </c>
      <c r="V188">
        <v>148.30000000000001</v>
      </c>
      <c r="W188" t="s">
        <v>32</v>
      </c>
      <c r="X188">
        <v>142.6</v>
      </c>
      <c r="Y188">
        <v>139.9</v>
      </c>
      <c r="Z188">
        <v>136.69999999999999</v>
      </c>
      <c r="AA188">
        <v>124.6</v>
      </c>
      <c r="AB188">
        <v>135.1</v>
      </c>
      <c r="AC188">
        <v>142.69999999999999</v>
      </c>
      <c r="AD188">
        <v>129.30000000000001</v>
      </c>
      <c r="AE188">
        <v>133.30000000000001</v>
      </c>
      <c r="AF188">
        <v>138.69999999999999</v>
      </c>
    </row>
    <row r="189" spans="1:32">
      <c r="A189" t="s">
        <v>33</v>
      </c>
      <c r="B189">
        <v>2018</v>
      </c>
      <c r="C189" t="s">
        <v>36</v>
      </c>
      <c r="D189">
        <v>135</v>
      </c>
      <c r="E189">
        <v>143.1</v>
      </c>
      <c r="F189">
        <v>135.5</v>
      </c>
      <c r="G189">
        <v>139.9</v>
      </c>
      <c r="H189">
        <v>116.5</v>
      </c>
      <c r="I189">
        <v>138.5</v>
      </c>
      <c r="J189">
        <v>128</v>
      </c>
      <c r="K189">
        <v>115.5</v>
      </c>
      <c r="L189">
        <v>114.2</v>
      </c>
      <c r="M189">
        <v>140.69999999999999</v>
      </c>
      <c r="N189">
        <v>126.2</v>
      </c>
      <c r="O189">
        <v>147.6</v>
      </c>
      <c r="P189">
        <f t="shared" si="4"/>
        <v>131.72499999999999</v>
      </c>
      <c r="Q189">
        <v>134.80000000000001</v>
      </c>
      <c r="R189">
        <v>159.69999999999999</v>
      </c>
      <c r="S189">
        <v>136.69999999999999</v>
      </c>
      <c r="T189">
        <v>126.7</v>
      </c>
      <c r="U189">
        <f t="shared" si="5"/>
        <v>131.69999999999999</v>
      </c>
      <c r="V189">
        <v>135.19999999999999</v>
      </c>
      <c r="W189">
        <v>142</v>
      </c>
      <c r="X189">
        <v>126.4</v>
      </c>
      <c r="Y189">
        <v>130.80000000000001</v>
      </c>
      <c r="Z189">
        <v>130.5</v>
      </c>
      <c r="AA189">
        <v>117.8</v>
      </c>
      <c r="AB189">
        <v>126.8</v>
      </c>
      <c r="AC189">
        <v>137.80000000000001</v>
      </c>
      <c r="AD189">
        <v>126.7</v>
      </c>
      <c r="AE189">
        <v>127.1</v>
      </c>
      <c r="AF189">
        <v>134</v>
      </c>
    </row>
    <row r="190" spans="1:32">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f t="shared" si="4"/>
        <v>134.9</v>
      </c>
      <c r="Q190">
        <v>137.19999999999999</v>
      </c>
      <c r="R190">
        <v>156.30000000000001</v>
      </c>
      <c r="S190">
        <v>144.30000000000001</v>
      </c>
      <c r="T190">
        <v>136.19999999999999</v>
      </c>
      <c r="U190">
        <f t="shared" si="5"/>
        <v>140.25</v>
      </c>
      <c r="V190">
        <v>143.1</v>
      </c>
      <c r="W190">
        <v>142</v>
      </c>
      <c r="X190">
        <v>136.5</v>
      </c>
      <c r="Y190">
        <v>135.6</v>
      </c>
      <c r="Z190">
        <v>134.30000000000001</v>
      </c>
      <c r="AA190">
        <v>121</v>
      </c>
      <c r="AB190">
        <v>130.4</v>
      </c>
      <c r="AC190">
        <v>139.80000000000001</v>
      </c>
      <c r="AD190">
        <v>128.19999999999999</v>
      </c>
      <c r="AE190">
        <v>130.30000000000001</v>
      </c>
      <c r="AF190">
        <v>136.5</v>
      </c>
    </row>
    <row r="191" spans="1:32">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f t="shared" si="4"/>
        <v>136.78333333333333</v>
      </c>
      <c r="Q191">
        <v>138.6</v>
      </c>
      <c r="R191">
        <v>156.1</v>
      </c>
      <c r="S191">
        <v>150.1</v>
      </c>
      <c r="T191">
        <v>143.30000000000001</v>
      </c>
      <c r="U191">
        <f t="shared" si="5"/>
        <v>146.69999999999999</v>
      </c>
      <c r="V191">
        <v>149.1</v>
      </c>
      <c r="W191" t="s">
        <v>32</v>
      </c>
      <c r="X191">
        <v>143.80000000000001</v>
      </c>
      <c r="Y191">
        <v>140.9</v>
      </c>
      <c r="Z191">
        <v>137.6</v>
      </c>
      <c r="AA191">
        <v>125.3</v>
      </c>
      <c r="AB191">
        <v>136</v>
      </c>
      <c r="AC191">
        <v>143.69999999999999</v>
      </c>
      <c r="AD191">
        <v>130.4</v>
      </c>
      <c r="AE191">
        <v>134.19999999999999</v>
      </c>
      <c r="AF191">
        <v>139.1</v>
      </c>
    </row>
    <row r="192" spans="1:32">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f t="shared" si="4"/>
        <v>132.02500000000001</v>
      </c>
      <c r="Q192">
        <v>135.69999999999999</v>
      </c>
      <c r="R192">
        <v>159.19999999999999</v>
      </c>
      <c r="S192">
        <v>137.80000000000001</v>
      </c>
      <c r="T192">
        <v>127.4</v>
      </c>
      <c r="U192">
        <f t="shared" si="5"/>
        <v>132.60000000000002</v>
      </c>
      <c r="V192">
        <v>136.19999999999999</v>
      </c>
      <c r="W192">
        <v>142.9</v>
      </c>
      <c r="X192">
        <v>124.6</v>
      </c>
      <c r="Y192">
        <v>131.80000000000001</v>
      </c>
      <c r="Z192">
        <v>131.30000000000001</v>
      </c>
      <c r="AA192">
        <v>118.9</v>
      </c>
      <c r="AB192">
        <v>127.6</v>
      </c>
      <c r="AC192">
        <v>139.69999999999999</v>
      </c>
      <c r="AD192">
        <v>127.6</v>
      </c>
      <c r="AE192">
        <v>128.19999999999999</v>
      </c>
      <c r="AF192">
        <v>134.80000000000001</v>
      </c>
    </row>
    <row r="193" spans="1:32">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f t="shared" si="4"/>
        <v>134.96666666666667</v>
      </c>
      <c r="Q193">
        <v>137.5</v>
      </c>
      <c r="R193">
        <v>156.9</v>
      </c>
      <c r="S193">
        <v>145.30000000000001</v>
      </c>
      <c r="T193">
        <v>136.69999999999999</v>
      </c>
      <c r="U193">
        <f t="shared" si="5"/>
        <v>141</v>
      </c>
      <c r="V193">
        <v>144</v>
      </c>
      <c r="W193">
        <v>142.9</v>
      </c>
      <c r="X193">
        <v>136.5</v>
      </c>
      <c r="Y193">
        <v>136.6</v>
      </c>
      <c r="Z193">
        <v>135.19999999999999</v>
      </c>
      <c r="AA193">
        <v>121.9</v>
      </c>
      <c r="AB193">
        <v>131.30000000000001</v>
      </c>
      <c r="AC193">
        <v>141.4</v>
      </c>
      <c r="AD193">
        <v>129.19999999999999</v>
      </c>
      <c r="AE193">
        <v>131.30000000000001</v>
      </c>
      <c r="AF193">
        <v>137.1</v>
      </c>
    </row>
    <row r="194" spans="1:32">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f t="shared" si="4"/>
        <v>136.94166666666669</v>
      </c>
      <c r="Q194">
        <v>139.1</v>
      </c>
      <c r="R194">
        <v>157</v>
      </c>
      <c r="S194">
        <v>150.80000000000001</v>
      </c>
      <c r="T194">
        <v>144.1</v>
      </c>
      <c r="U194">
        <f t="shared" si="5"/>
        <v>147.44999999999999</v>
      </c>
      <c r="V194">
        <v>149.80000000000001</v>
      </c>
      <c r="W194" t="s">
        <v>32</v>
      </c>
      <c r="X194">
        <v>144.30000000000001</v>
      </c>
      <c r="Y194">
        <v>141.80000000000001</v>
      </c>
      <c r="Z194">
        <v>138.4</v>
      </c>
      <c r="AA194">
        <v>126.4</v>
      </c>
      <c r="AB194">
        <v>136.80000000000001</v>
      </c>
      <c r="AC194">
        <v>144.4</v>
      </c>
      <c r="AD194">
        <v>131.19999999999999</v>
      </c>
      <c r="AE194">
        <v>135.1</v>
      </c>
      <c r="AF194">
        <v>139.80000000000001</v>
      </c>
    </row>
    <row r="195" spans="1:32">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f t="shared" ref="P195:P258" si="6">AVERAGE(D195:O195)</f>
        <v>132.20833333333331</v>
      </c>
      <c r="Q195">
        <v>136.4</v>
      </c>
      <c r="R195">
        <v>160.30000000000001</v>
      </c>
      <c r="S195">
        <v>138.6</v>
      </c>
      <c r="T195">
        <v>127.9</v>
      </c>
      <c r="U195">
        <f t="shared" ref="U195:U258" si="7">AVERAGE(S195,T195)</f>
        <v>133.25</v>
      </c>
      <c r="V195">
        <v>137</v>
      </c>
      <c r="W195">
        <v>143.19999999999999</v>
      </c>
      <c r="X195">
        <v>124.7</v>
      </c>
      <c r="Y195">
        <v>132.5</v>
      </c>
      <c r="Z195">
        <v>132</v>
      </c>
      <c r="AA195">
        <v>119.8</v>
      </c>
      <c r="AB195">
        <v>128</v>
      </c>
      <c r="AC195">
        <v>140.4</v>
      </c>
      <c r="AD195">
        <v>128.1</v>
      </c>
      <c r="AE195">
        <v>128.9</v>
      </c>
      <c r="AF195">
        <v>135.4</v>
      </c>
    </row>
    <row r="196" spans="1:32">
      <c r="A196" t="s">
        <v>34</v>
      </c>
      <c r="B196">
        <v>2018</v>
      </c>
      <c r="C196" t="s">
        <v>38</v>
      </c>
      <c r="D196">
        <v>136.6</v>
      </c>
      <c r="E196">
        <v>146.6</v>
      </c>
      <c r="F196">
        <v>133.6</v>
      </c>
      <c r="G196">
        <v>142.1</v>
      </c>
      <c r="H196">
        <v>121</v>
      </c>
      <c r="I196">
        <v>154.6</v>
      </c>
      <c r="J196">
        <v>135.6</v>
      </c>
      <c r="K196">
        <v>122.3</v>
      </c>
      <c r="L196">
        <v>109.6</v>
      </c>
      <c r="M196">
        <v>138.1</v>
      </c>
      <c r="N196">
        <v>129.9</v>
      </c>
      <c r="O196">
        <v>151.69999999999999</v>
      </c>
      <c r="P196">
        <f t="shared" si="6"/>
        <v>135.14166666666668</v>
      </c>
      <c r="Q196">
        <v>138.1</v>
      </c>
      <c r="R196">
        <v>157.9</v>
      </c>
      <c r="S196">
        <v>146</v>
      </c>
      <c r="T196">
        <v>137.4</v>
      </c>
      <c r="U196">
        <f t="shared" si="7"/>
        <v>141.69999999999999</v>
      </c>
      <c r="V196">
        <v>144.69999999999999</v>
      </c>
      <c r="W196">
        <v>143.19999999999999</v>
      </c>
      <c r="X196">
        <v>136.9</v>
      </c>
      <c r="Y196">
        <v>137.4</v>
      </c>
      <c r="Z196">
        <v>136</v>
      </c>
      <c r="AA196">
        <v>122.9</v>
      </c>
      <c r="AB196">
        <v>131.80000000000001</v>
      </c>
      <c r="AC196">
        <v>142.1</v>
      </c>
      <c r="AD196">
        <v>129.9</v>
      </c>
      <c r="AE196">
        <v>132.1</v>
      </c>
      <c r="AF196">
        <v>137.80000000000001</v>
      </c>
    </row>
    <row r="197" spans="1:32">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f t="shared" si="6"/>
        <v>137.52499999999998</v>
      </c>
      <c r="Q197">
        <v>140</v>
      </c>
      <c r="R197">
        <v>157.30000000000001</v>
      </c>
      <c r="S197">
        <v>151.30000000000001</v>
      </c>
      <c r="T197">
        <v>144.69999999999999</v>
      </c>
      <c r="U197">
        <f t="shared" si="7"/>
        <v>148</v>
      </c>
      <c r="V197">
        <v>150.30000000000001</v>
      </c>
      <c r="W197" t="s">
        <v>32</v>
      </c>
      <c r="X197">
        <v>145.1</v>
      </c>
      <c r="Y197">
        <v>142.19999999999999</v>
      </c>
      <c r="Z197">
        <v>138.4</v>
      </c>
      <c r="AA197">
        <v>127.4</v>
      </c>
      <c r="AB197">
        <v>137.80000000000001</v>
      </c>
      <c r="AC197">
        <v>145.1</v>
      </c>
      <c r="AD197">
        <v>131.4</v>
      </c>
      <c r="AE197">
        <v>135.6</v>
      </c>
      <c r="AF197">
        <v>140.5</v>
      </c>
    </row>
    <row r="198" spans="1:32">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f t="shared" si="6"/>
        <v>134.07500000000002</v>
      </c>
      <c r="Q198">
        <v>138.4</v>
      </c>
      <c r="R198">
        <v>161</v>
      </c>
      <c r="S198">
        <v>138.9</v>
      </c>
      <c r="T198">
        <v>128.69999999999999</v>
      </c>
      <c r="U198">
        <f t="shared" si="7"/>
        <v>133.80000000000001</v>
      </c>
      <c r="V198">
        <v>137.4</v>
      </c>
      <c r="W198">
        <v>142.5</v>
      </c>
      <c r="X198">
        <v>126.5</v>
      </c>
      <c r="Y198">
        <v>133.1</v>
      </c>
      <c r="Z198">
        <v>132.6</v>
      </c>
      <c r="AA198">
        <v>120.4</v>
      </c>
      <c r="AB198">
        <v>128.5</v>
      </c>
      <c r="AC198">
        <v>141.19999999999999</v>
      </c>
      <c r="AD198">
        <v>128.19999999999999</v>
      </c>
      <c r="AE198">
        <v>129.5</v>
      </c>
      <c r="AF198">
        <v>136.19999999999999</v>
      </c>
    </row>
    <row r="199" spans="1:32">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f t="shared" si="6"/>
        <v>136.22499999999999</v>
      </c>
      <c r="Q199">
        <v>139.4</v>
      </c>
      <c r="R199">
        <v>158.30000000000001</v>
      </c>
      <c r="S199">
        <v>146.4</v>
      </c>
      <c r="T199">
        <v>138.1</v>
      </c>
      <c r="U199">
        <f t="shared" si="7"/>
        <v>142.25</v>
      </c>
      <c r="V199">
        <v>145.19999999999999</v>
      </c>
      <c r="W199">
        <v>142.5</v>
      </c>
      <c r="X199">
        <v>138.1</v>
      </c>
      <c r="Y199">
        <v>137.9</v>
      </c>
      <c r="Z199">
        <v>136.19999999999999</v>
      </c>
      <c r="AA199">
        <v>123.7</v>
      </c>
      <c r="AB199">
        <v>132.6</v>
      </c>
      <c r="AC199">
        <v>142.80000000000001</v>
      </c>
      <c r="AD199">
        <v>130.1</v>
      </c>
      <c r="AE199">
        <v>132.6</v>
      </c>
      <c r="AF199">
        <v>138.5</v>
      </c>
    </row>
    <row r="200" spans="1:32">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f t="shared" si="6"/>
        <v>139.04166666666669</v>
      </c>
      <c r="Q200">
        <v>142</v>
      </c>
      <c r="R200">
        <v>156.1</v>
      </c>
      <c r="S200">
        <v>151.5</v>
      </c>
      <c r="T200">
        <v>145.1</v>
      </c>
      <c r="U200">
        <f t="shared" si="7"/>
        <v>148.30000000000001</v>
      </c>
      <c r="V200">
        <v>150.6</v>
      </c>
      <c r="W200" t="s">
        <v>32</v>
      </c>
      <c r="X200">
        <v>146.80000000000001</v>
      </c>
      <c r="Y200">
        <v>143.1</v>
      </c>
      <c r="Z200">
        <v>139</v>
      </c>
      <c r="AA200">
        <v>127.5</v>
      </c>
      <c r="AB200">
        <v>138.4</v>
      </c>
      <c r="AC200">
        <v>145.80000000000001</v>
      </c>
      <c r="AD200">
        <v>131.4</v>
      </c>
      <c r="AE200">
        <v>136</v>
      </c>
      <c r="AF200">
        <v>141.80000000000001</v>
      </c>
    </row>
    <row r="201" spans="1:32">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f t="shared" si="6"/>
        <v>135.9</v>
      </c>
      <c r="Q201">
        <v>140.30000000000001</v>
      </c>
      <c r="R201">
        <v>161.4</v>
      </c>
      <c r="S201">
        <v>139.6</v>
      </c>
      <c r="T201">
        <v>128.9</v>
      </c>
      <c r="U201">
        <f t="shared" si="7"/>
        <v>134.25</v>
      </c>
      <c r="V201">
        <v>137.9</v>
      </c>
      <c r="W201">
        <v>143.6</v>
      </c>
      <c r="X201">
        <v>128.1</v>
      </c>
      <c r="Y201">
        <v>133.6</v>
      </c>
      <c r="Z201">
        <v>133.6</v>
      </c>
      <c r="AA201">
        <v>120.1</v>
      </c>
      <c r="AB201">
        <v>129</v>
      </c>
      <c r="AC201">
        <v>144</v>
      </c>
      <c r="AD201">
        <v>128.19999999999999</v>
      </c>
      <c r="AE201">
        <v>130.19999999999999</v>
      </c>
      <c r="AF201">
        <v>137.5</v>
      </c>
    </row>
    <row r="202" spans="1:32">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f t="shared" si="6"/>
        <v>137.82499999999999</v>
      </c>
      <c r="Q202">
        <v>141.4</v>
      </c>
      <c r="R202">
        <v>157.5</v>
      </c>
      <c r="S202">
        <v>146.80000000000001</v>
      </c>
      <c r="T202">
        <v>138.4</v>
      </c>
      <c r="U202">
        <f t="shared" si="7"/>
        <v>142.60000000000002</v>
      </c>
      <c r="V202">
        <v>145.6</v>
      </c>
      <c r="W202">
        <v>143.6</v>
      </c>
      <c r="X202">
        <v>139.69999999999999</v>
      </c>
      <c r="Y202">
        <v>138.6</v>
      </c>
      <c r="Z202">
        <v>137</v>
      </c>
      <c r="AA202">
        <v>123.6</v>
      </c>
      <c r="AB202">
        <v>133.1</v>
      </c>
      <c r="AC202">
        <v>144.69999999999999</v>
      </c>
      <c r="AD202">
        <v>130.1</v>
      </c>
      <c r="AE202">
        <v>133.19999999999999</v>
      </c>
      <c r="AF202">
        <v>139.80000000000001</v>
      </c>
    </row>
    <row r="203" spans="1:32">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f t="shared" si="6"/>
        <v>139.67499999999998</v>
      </c>
      <c r="Q203">
        <v>142.69999999999999</v>
      </c>
      <c r="R203">
        <v>156.4</v>
      </c>
      <c r="S203">
        <v>152.1</v>
      </c>
      <c r="T203">
        <v>145.80000000000001</v>
      </c>
      <c r="U203">
        <f t="shared" si="7"/>
        <v>148.94999999999999</v>
      </c>
      <c r="V203">
        <v>151.30000000000001</v>
      </c>
      <c r="W203" t="s">
        <v>32</v>
      </c>
      <c r="X203">
        <v>147.69999999999999</v>
      </c>
      <c r="Y203">
        <v>143.80000000000001</v>
      </c>
      <c r="Z203">
        <v>139.4</v>
      </c>
      <c r="AA203">
        <v>128.30000000000001</v>
      </c>
      <c r="AB203">
        <v>138.6</v>
      </c>
      <c r="AC203">
        <v>146.9</v>
      </c>
      <c r="AD203">
        <v>131.30000000000001</v>
      </c>
      <c r="AE203">
        <v>136.6</v>
      </c>
      <c r="AF203">
        <v>142.5</v>
      </c>
    </row>
    <row r="204" spans="1:32">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f t="shared" si="6"/>
        <v>135.625</v>
      </c>
      <c r="Q204">
        <v>140.1</v>
      </c>
      <c r="R204">
        <v>162.1</v>
      </c>
      <c r="S204">
        <v>140</v>
      </c>
      <c r="T204">
        <v>129</v>
      </c>
      <c r="U204">
        <f t="shared" si="7"/>
        <v>134.5</v>
      </c>
      <c r="V204">
        <v>138.30000000000001</v>
      </c>
      <c r="W204">
        <v>144.6</v>
      </c>
      <c r="X204">
        <v>129.80000000000001</v>
      </c>
      <c r="Y204">
        <v>134.4</v>
      </c>
      <c r="Z204">
        <v>134.9</v>
      </c>
      <c r="AA204">
        <v>120.7</v>
      </c>
      <c r="AB204">
        <v>129.80000000000001</v>
      </c>
      <c r="AC204">
        <v>145.30000000000001</v>
      </c>
      <c r="AD204">
        <v>128.30000000000001</v>
      </c>
      <c r="AE204">
        <v>131</v>
      </c>
      <c r="AF204">
        <v>138</v>
      </c>
    </row>
    <row r="205" spans="1:32">
      <c r="A205" t="s">
        <v>34</v>
      </c>
      <c r="B205">
        <v>2018</v>
      </c>
      <c r="C205" t="s">
        <v>41</v>
      </c>
      <c r="D205">
        <v>138.30000000000001</v>
      </c>
      <c r="E205">
        <v>148</v>
      </c>
      <c r="F205">
        <v>138.1</v>
      </c>
      <c r="G205">
        <v>142.6</v>
      </c>
      <c r="H205">
        <v>122.2</v>
      </c>
      <c r="I205">
        <v>150.6</v>
      </c>
      <c r="J205">
        <v>156.6</v>
      </c>
      <c r="K205">
        <v>122.4</v>
      </c>
      <c r="L205">
        <v>114.7</v>
      </c>
      <c r="M205">
        <v>139.4</v>
      </c>
      <c r="N205">
        <v>131.1</v>
      </c>
      <c r="O205">
        <v>153</v>
      </c>
      <c r="P205">
        <f t="shared" si="6"/>
        <v>138.08333333333334</v>
      </c>
      <c r="Q205">
        <v>141.69999999999999</v>
      </c>
      <c r="R205">
        <v>157.9</v>
      </c>
      <c r="S205">
        <v>147.30000000000001</v>
      </c>
      <c r="T205">
        <v>138.80000000000001</v>
      </c>
      <c r="U205">
        <f t="shared" si="7"/>
        <v>143.05000000000001</v>
      </c>
      <c r="V205">
        <v>146.1</v>
      </c>
      <c r="W205">
        <v>144.6</v>
      </c>
      <c r="X205">
        <v>140.9</v>
      </c>
      <c r="Y205">
        <v>139.4</v>
      </c>
      <c r="Z205">
        <v>137.69999999999999</v>
      </c>
      <c r="AA205">
        <v>124.3</v>
      </c>
      <c r="AB205">
        <v>133.6</v>
      </c>
      <c r="AC205">
        <v>146</v>
      </c>
      <c r="AD205">
        <v>130.1</v>
      </c>
      <c r="AE205">
        <v>133.9</v>
      </c>
      <c r="AF205">
        <v>140.4</v>
      </c>
    </row>
    <row r="206" spans="1:32">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f t="shared" si="6"/>
        <v>138.20833333333334</v>
      </c>
      <c r="Q206">
        <v>141.30000000000001</v>
      </c>
      <c r="R206">
        <v>157.69999999999999</v>
      </c>
      <c r="S206">
        <v>152.1</v>
      </c>
      <c r="T206">
        <v>146.1</v>
      </c>
      <c r="U206">
        <f t="shared" si="7"/>
        <v>149.1</v>
      </c>
      <c r="V206">
        <v>151.30000000000001</v>
      </c>
      <c r="W206" t="s">
        <v>32</v>
      </c>
      <c r="X206">
        <v>149</v>
      </c>
      <c r="Y206">
        <v>144</v>
      </c>
      <c r="Z206">
        <v>140</v>
      </c>
      <c r="AA206">
        <v>129.9</v>
      </c>
      <c r="AB206">
        <v>140</v>
      </c>
      <c r="AC206">
        <v>147.6</v>
      </c>
      <c r="AD206">
        <v>132</v>
      </c>
      <c r="AE206">
        <v>137.4</v>
      </c>
      <c r="AF206">
        <v>142.1</v>
      </c>
    </row>
    <row r="207" spans="1:32">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f t="shared" si="6"/>
        <v>134.125</v>
      </c>
      <c r="Q207">
        <v>138.9</v>
      </c>
      <c r="R207">
        <v>163.30000000000001</v>
      </c>
      <c r="S207">
        <v>140.80000000000001</v>
      </c>
      <c r="T207">
        <v>129.30000000000001</v>
      </c>
      <c r="U207">
        <f t="shared" si="7"/>
        <v>135.05000000000001</v>
      </c>
      <c r="V207">
        <v>139.1</v>
      </c>
      <c r="W207">
        <v>145.30000000000001</v>
      </c>
      <c r="X207">
        <v>131.19999999999999</v>
      </c>
      <c r="Y207">
        <v>134.9</v>
      </c>
      <c r="Z207">
        <v>135.69999999999999</v>
      </c>
      <c r="AA207">
        <v>122.5</v>
      </c>
      <c r="AB207">
        <v>130.19999999999999</v>
      </c>
      <c r="AC207">
        <v>145.19999999999999</v>
      </c>
      <c r="AD207">
        <v>129.30000000000001</v>
      </c>
      <c r="AE207">
        <v>131.9</v>
      </c>
      <c r="AF207">
        <v>138.1</v>
      </c>
    </row>
    <row r="208" spans="1:32">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f t="shared" si="6"/>
        <v>136.59166666666667</v>
      </c>
      <c r="Q208">
        <v>140.4</v>
      </c>
      <c r="R208">
        <v>159.19999999999999</v>
      </c>
      <c r="S208">
        <v>147.69999999999999</v>
      </c>
      <c r="T208">
        <v>139.1</v>
      </c>
      <c r="U208">
        <f t="shared" si="7"/>
        <v>143.39999999999998</v>
      </c>
      <c r="V208">
        <v>146.5</v>
      </c>
      <c r="W208">
        <v>145.30000000000001</v>
      </c>
      <c r="X208">
        <v>142.30000000000001</v>
      </c>
      <c r="Y208">
        <v>139.69999999999999</v>
      </c>
      <c r="Z208">
        <v>138.4</v>
      </c>
      <c r="AA208">
        <v>126</v>
      </c>
      <c r="AB208">
        <v>134.5</v>
      </c>
      <c r="AC208">
        <v>146.19999999999999</v>
      </c>
      <c r="AD208">
        <v>130.9</v>
      </c>
      <c r="AE208">
        <v>134.69999999999999</v>
      </c>
      <c r="AF208">
        <v>140.19999999999999</v>
      </c>
    </row>
    <row r="209" spans="1:32">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f t="shared" si="6"/>
        <v>136.83333333333334</v>
      </c>
      <c r="Q209">
        <v>140.19999999999999</v>
      </c>
      <c r="R209">
        <v>159.6</v>
      </c>
      <c r="S209">
        <v>150.69999999999999</v>
      </c>
      <c r="T209">
        <v>144.5</v>
      </c>
      <c r="U209">
        <f t="shared" si="7"/>
        <v>147.6</v>
      </c>
      <c r="V209">
        <v>149.80000000000001</v>
      </c>
      <c r="W209" t="s">
        <v>32</v>
      </c>
      <c r="X209">
        <v>149.69999999999999</v>
      </c>
      <c r="Y209">
        <v>147.5</v>
      </c>
      <c r="Z209">
        <v>144.80000000000001</v>
      </c>
      <c r="AA209">
        <v>130.80000000000001</v>
      </c>
      <c r="AB209">
        <v>140.1</v>
      </c>
      <c r="AC209">
        <v>148</v>
      </c>
      <c r="AD209">
        <v>134.4</v>
      </c>
      <c r="AE209">
        <v>139.80000000000001</v>
      </c>
      <c r="AF209">
        <v>142.19999999999999</v>
      </c>
    </row>
    <row r="210" spans="1:32">
      <c r="A210" t="s">
        <v>33</v>
      </c>
      <c r="B210">
        <v>2018</v>
      </c>
      <c r="C210" t="s">
        <v>43</v>
      </c>
      <c r="D210">
        <v>137.6</v>
      </c>
      <c r="E210">
        <v>144.9</v>
      </c>
      <c r="F210">
        <v>133.5</v>
      </c>
      <c r="G210">
        <v>141.5</v>
      </c>
      <c r="H210">
        <v>118</v>
      </c>
      <c r="I210">
        <v>139.5</v>
      </c>
      <c r="J210">
        <v>153</v>
      </c>
      <c r="K210">
        <v>113.2</v>
      </c>
      <c r="L210">
        <v>112.8</v>
      </c>
      <c r="M210">
        <v>141.1</v>
      </c>
      <c r="N210">
        <v>127.6</v>
      </c>
      <c r="O210">
        <v>152</v>
      </c>
      <c r="P210">
        <f t="shared" si="6"/>
        <v>134.55833333333331</v>
      </c>
      <c r="Q210">
        <v>139.4</v>
      </c>
      <c r="R210">
        <v>164</v>
      </c>
      <c r="S210">
        <v>141.5</v>
      </c>
      <c r="T210">
        <v>129.80000000000001</v>
      </c>
      <c r="U210">
        <f t="shared" si="7"/>
        <v>135.65</v>
      </c>
      <c r="V210">
        <v>139.69999999999999</v>
      </c>
      <c r="W210">
        <v>146.30000000000001</v>
      </c>
      <c r="X210">
        <v>133.4</v>
      </c>
      <c r="Y210">
        <v>135.1</v>
      </c>
      <c r="Z210">
        <v>136.19999999999999</v>
      </c>
      <c r="AA210">
        <v>123.3</v>
      </c>
      <c r="AB210">
        <v>130.69999999999999</v>
      </c>
      <c r="AC210">
        <v>145.5</v>
      </c>
      <c r="AD210">
        <v>130.4</v>
      </c>
      <c r="AE210">
        <v>132.5</v>
      </c>
      <c r="AF210">
        <v>138.9</v>
      </c>
    </row>
    <row r="211" spans="1:32">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f t="shared" si="6"/>
        <v>136.375</v>
      </c>
      <c r="Q211">
        <v>139.69999999999999</v>
      </c>
      <c r="R211">
        <v>162.6</v>
      </c>
      <c r="S211">
        <v>148</v>
      </c>
      <c r="T211">
        <v>139.19999999999999</v>
      </c>
      <c r="U211">
        <f t="shared" si="7"/>
        <v>143.6</v>
      </c>
      <c r="V211">
        <v>146.80000000000001</v>
      </c>
      <c r="W211">
        <v>146.9</v>
      </c>
      <c r="X211">
        <v>145.30000000000001</v>
      </c>
      <c r="Y211">
        <v>142.19999999999999</v>
      </c>
      <c r="Z211">
        <v>142.1</v>
      </c>
      <c r="AA211">
        <v>125.5</v>
      </c>
      <c r="AB211">
        <v>136.5</v>
      </c>
      <c r="AC211">
        <v>147.80000000000001</v>
      </c>
      <c r="AD211">
        <v>132</v>
      </c>
      <c r="AE211">
        <v>136.30000000000001</v>
      </c>
      <c r="AF211">
        <v>140.80000000000001</v>
      </c>
    </row>
    <row r="212" spans="1:32">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f t="shared" si="6"/>
        <v>137.29166666666663</v>
      </c>
      <c r="Q212">
        <v>140</v>
      </c>
      <c r="R212">
        <v>161.9</v>
      </c>
      <c r="S212">
        <v>151.69999999999999</v>
      </c>
      <c r="T212">
        <v>145.5</v>
      </c>
      <c r="U212">
        <f t="shared" si="7"/>
        <v>148.6</v>
      </c>
      <c r="V212">
        <v>150.80000000000001</v>
      </c>
      <c r="W212" t="s">
        <v>32</v>
      </c>
      <c r="X212">
        <v>150.30000000000001</v>
      </c>
      <c r="Y212">
        <v>148</v>
      </c>
      <c r="Z212">
        <v>145.4</v>
      </c>
      <c r="AA212">
        <v>130.30000000000001</v>
      </c>
      <c r="AB212">
        <v>143.1</v>
      </c>
      <c r="AC212">
        <v>150.19999999999999</v>
      </c>
      <c r="AD212">
        <v>133.1</v>
      </c>
      <c r="AE212">
        <v>140.1</v>
      </c>
      <c r="AF212">
        <v>142.4</v>
      </c>
    </row>
    <row r="213" spans="1:32">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f t="shared" si="6"/>
        <v>134.86666666666665</v>
      </c>
      <c r="Q213">
        <v>139.1</v>
      </c>
      <c r="R213">
        <v>164.4</v>
      </c>
      <c r="S213">
        <v>142.4</v>
      </c>
      <c r="T213">
        <v>130.19999999999999</v>
      </c>
      <c r="U213">
        <f t="shared" si="7"/>
        <v>136.30000000000001</v>
      </c>
      <c r="V213">
        <v>140.5</v>
      </c>
      <c r="W213">
        <v>146.9</v>
      </c>
      <c r="X213">
        <v>136.69999999999999</v>
      </c>
      <c r="Y213">
        <v>135.80000000000001</v>
      </c>
      <c r="Z213">
        <v>136.80000000000001</v>
      </c>
      <c r="AA213">
        <v>121.2</v>
      </c>
      <c r="AB213">
        <v>131.30000000000001</v>
      </c>
      <c r="AC213">
        <v>146.1</v>
      </c>
      <c r="AD213">
        <v>130.5</v>
      </c>
      <c r="AE213">
        <v>132.19999999999999</v>
      </c>
      <c r="AF213">
        <v>139</v>
      </c>
    </row>
    <row r="214" spans="1:32">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f t="shared" si="6"/>
        <v>136.33333333333334</v>
      </c>
      <c r="Q214">
        <v>139.69999999999999</v>
      </c>
      <c r="R214">
        <v>162.6</v>
      </c>
      <c r="S214">
        <v>148</v>
      </c>
      <c r="T214">
        <v>139.1</v>
      </c>
      <c r="U214">
        <f t="shared" si="7"/>
        <v>143.55000000000001</v>
      </c>
      <c r="V214">
        <v>146.69999999999999</v>
      </c>
      <c r="W214">
        <v>146.9</v>
      </c>
      <c r="X214">
        <v>145.1</v>
      </c>
      <c r="Y214">
        <v>142.19999999999999</v>
      </c>
      <c r="Z214">
        <v>142.1</v>
      </c>
      <c r="AA214">
        <v>125.5</v>
      </c>
      <c r="AB214">
        <v>136.5</v>
      </c>
      <c r="AC214">
        <v>147.80000000000001</v>
      </c>
      <c r="AD214">
        <v>132</v>
      </c>
      <c r="AE214">
        <v>136.30000000000001</v>
      </c>
      <c r="AF214">
        <v>140.80000000000001</v>
      </c>
    </row>
    <row r="215" spans="1:32">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f t="shared" si="6"/>
        <v>136.21666666666667</v>
      </c>
      <c r="Q215">
        <v>138.5</v>
      </c>
      <c r="R215">
        <v>162.4</v>
      </c>
      <c r="S215">
        <v>151.6</v>
      </c>
      <c r="T215">
        <v>145.9</v>
      </c>
      <c r="U215">
        <f t="shared" si="7"/>
        <v>148.75</v>
      </c>
      <c r="V215">
        <v>150.80000000000001</v>
      </c>
      <c r="W215" t="s">
        <v>32</v>
      </c>
      <c r="X215">
        <v>149</v>
      </c>
      <c r="Y215">
        <v>149.5</v>
      </c>
      <c r="Z215">
        <v>149.6</v>
      </c>
      <c r="AA215">
        <v>128.9</v>
      </c>
      <c r="AB215">
        <v>143.30000000000001</v>
      </c>
      <c r="AC215">
        <v>155.1</v>
      </c>
      <c r="AD215">
        <v>133.19999999999999</v>
      </c>
      <c r="AE215">
        <v>141.6</v>
      </c>
      <c r="AF215">
        <v>141.9</v>
      </c>
    </row>
    <row r="216" spans="1:32">
      <c r="A216" t="s">
        <v>33</v>
      </c>
      <c r="B216">
        <v>2018</v>
      </c>
      <c r="C216" t="s">
        <v>46</v>
      </c>
      <c r="D216">
        <v>138.5</v>
      </c>
      <c r="E216">
        <v>147.80000000000001</v>
      </c>
      <c r="F216">
        <v>141.1</v>
      </c>
      <c r="G216">
        <v>141.6</v>
      </c>
      <c r="H216">
        <v>118.1</v>
      </c>
      <c r="I216">
        <v>138.5</v>
      </c>
      <c r="J216">
        <v>132.4</v>
      </c>
      <c r="K216">
        <v>117.5</v>
      </c>
      <c r="L216">
        <v>111</v>
      </c>
      <c r="M216">
        <v>141.5</v>
      </c>
      <c r="N216">
        <v>128.1</v>
      </c>
      <c r="O216">
        <v>152.9</v>
      </c>
      <c r="P216">
        <f t="shared" si="6"/>
        <v>134.08333333333334</v>
      </c>
      <c r="Q216">
        <v>137.6</v>
      </c>
      <c r="R216">
        <v>164.6</v>
      </c>
      <c r="S216">
        <v>142.69999999999999</v>
      </c>
      <c r="T216">
        <v>130.30000000000001</v>
      </c>
      <c r="U216">
        <f t="shared" si="7"/>
        <v>136.5</v>
      </c>
      <c r="V216">
        <v>140.80000000000001</v>
      </c>
      <c r="W216">
        <v>146.5</v>
      </c>
      <c r="X216">
        <v>132.4</v>
      </c>
      <c r="Y216">
        <v>136.19999999999999</v>
      </c>
      <c r="Z216">
        <v>137.30000000000001</v>
      </c>
      <c r="AA216">
        <v>118.8</v>
      </c>
      <c r="AB216">
        <v>131.69999999999999</v>
      </c>
      <c r="AC216">
        <v>146.5</v>
      </c>
      <c r="AD216">
        <v>130.80000000000001</v>
      </c>
      <c r="AE216">
        <v>131.69999999999999</v>
      </c>
      <c r="AF216">
        <v>138</v>
      </c>
    </row>
    <row r="217" spans="1:32">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f t="shared" si="6"/>
        <v>135.3833333333333</v>
      </c>
      <c r="Q217">
        <v>138.19999999999999</v>
      </c>
      <c r="R217">
        <v>163</v>
      </c>
      <c r="S217">
        <v>148.1</v>
      </c>
      <c r="T217">
        <v>139.4</v>
      </c>
      <c r="U217">
        <f t="shared" si="7"/>
        <v>143.75</v>
      </c>
      <c r="V217">
        <v>146.80000000000001</v>
      </c>
      <c r="W217">
        <v>146.5</v>
      </c>
      <c r="X217">
        <v>142.69999999999999</v>
      </c>
      <c r="Y217">
        <v>143.19999999999999</v>
      </c>
      <c r="Z217">
        <v>144.9</v>
      </c>
      <c r="AA217">
        <v>123.6</v>
      </c>
      <c r="AB217">
        <v>136.80000000000001</v>
      </c>
      <c r="AC217">
        <v>150.1</v>
      </c>
      <c r="AD217">
        <v>132.19999999999999</v>
      </c>
      <c r="AE217">
        <v>136.80000000000001</v>
      </c>
      <c r="AF217">
        <v>140.1</v>
      </c>
    </row>
    <row r="218" spans="1:32">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f t="shared" si="6"/>
        <v>135.18333333333334</v>
      </c>
      <c r="Q218">
        <v>137.4</v>
      </c>
      <c r="R218">
        <v>162.69999999999999</v>
      </c>
      <c r="S218">
        <v>150.6</v>
      </c>
      <c r="T218">
        <v>145.1</v>
      </c>
      <c r="U218">
        <f t="shared" si="7"/>
        <v>147.85</v>
      </c>
      <c r="V218">
        <v>149.9</v>
      </c>
      <c r="W218" t="s">
        <v>32</v>
      </c>
      <c r="X218">
        <v>146.19999999999999</v>
      </c>
      <c r="Y218">
        <v>150.1</v>
      </c>
      <c r="Z218">
        <v>149.6</v>
      </c>
      <c r="AA218">
        <v>128.6</v>
      </c>
      <c r="AB218">
        <v>142.9</v>
      </c>
      <c r="AC218">
        <v>155.19999999999999</v>
      </c>
      <c r="AD218">
        <v>133.5</v>
      </c>
      <c r="AE218">
        <v>141.69999999999999</v>
      </c>
      <c r="AF218">
        <v>141</v>
      </c>
    </row>
    <row r="219" spans="1:32">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f t="shared" si="6"/>
        <v>133.91666666666669</v>
      </c>
      <c r="Q219">
        <v>137.30000000000001</v>
      </c>
      <c r="R219">
        <v>164.7</v>
      </c>
      <c r="S219">
        <v>143</v>
      </c>
      <c r="T219">
        <v>130.4</v>
      </c>
      <c r="U219">
        <f t="shared" si="7"/>
        <v>136.69999999999999</v>
      </c>
      <c r="V219">
        <v>141.1</v>
      </c>
      <c r="W219">
        <v>147.69999999999999</v>
      </c>
      <c r="X219">
        <v>128.6</v>
      </c>
      <c r="Y219">
        <v>136.30000000000001</v>
      </c>
      <c r="Z219">
        <v>137.80000000000001</v>
      </c>
      <c r="AA219">
        <v>118.6</v>
      </c>
      <c r="AB219">
        <v>131.9</v>
      </c>
      <c r="AC219">
        <v>146.6</v>
      </c>
      <c r="AD219">
        <v>131.69999999999999</v>
      </c>
      <c r="AE219">
        <v>131.80000000000001</v>
      </c>
      <c r="AF219">
        <v>138</v>
      </c>
    </row>
    <row r="220" spans="1:32">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f t="shared" si="6"/>
        <v>134.66666666666666</v>
      </c>
      <c r="Q220">
        <v>137.4</v>
      </c>
      <c r="R220">
        <v>163.19999999999999</v>
      </c>
      <c r="S220">
        <v>147.6</v>
      </c>
      <c r="T220">
        <v>139</v>
      </c>
      <c r="U220">
        <f t="shared" si="7"/>
        <v>143.30000000000001</v>
      </c>
      <c r="V220">
        <v>146.4</v>
      </c>
      <c r="W220">
        <v>147.69999999999999</v>
      </c>
      <c r="X220">
        <v>139.5</v>
      </c>
      <c r="Y220">
        <v>143.6</v>
      </c>
      <c r="Z220">
        <v>145.1</v>
      </c>
      <c r="AA220">
        <v>123.3</v>
      </c>
      <c r="AB220">
        <v>136.69999999999999</v>
      </c>
      <c r="AC220">
        <v>150.19999999999999</v>
      </c>
      <c r="AD220">
        <v>132.80000000000001</v>
      </c>
      <c r="AE220">
        <v>136.9</v>
      </c>
      <c r="AF220">
        <v>139.6</v>
      </c>
    </row>
    <row r="221" spans="1:32">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f t="shared" si="6"/>
        <v>135.21666666666667</v>
      </c>
      <c r="Q221">
        <v>137.19999999999999</v>
      </c>
      <c r="R221">
        <v>162.80000000000001</v>
      </c>
      <c r="S221">
        <v>150.5</v>
      </c>
      <c r="T221">
        <v>146.1</v>
      </c>
      <c r="U221">
        <f t="shared" si="7"/>
        <v>148.30000000000001</v>
      </c>
      <c r="V221">
        <v>149.9</v>
      </c>
      <c r="W221" t="s">
        <v>32</v>
      </c>
      <c r="X221">
        <v>145.30000000000001</v>
      </c>
      <c r="Y221">
        <v>150.1</v>
      </c>
      <c r="Z221">
        <v>149.9</v>
      </c>
      <c r="AA221">
        <v>129.19999999999999</v>
      </c>
      <c r="AB221">
        <v>143.4</v>
      </c>
      <c r="AC221">
        <v>155.5</v>
      </c>
      <c r="AD221">
        <v>134.9</v>
      </c>
      <c r="AE221">
        <v>142.19999999999999</v>
      </c>
      <c r="AF221">
        <v>141</v>
      </c>
    </row>
    <row r="222" spans="1:32">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f t="shared" si="6"/>
        <v>134.70000000000002</v>
      </c>
      <c r="Q222">
        <v>138</v>
      </c>
      <c r="R222">
        <v>164.9</v>
      </c>
      <c r="S222">
        <v>143.30000000000001</v>
      </c>
      <c r="T222">
        <v>130.80000000000001</v>
      </c>
      <c r="U222">
        <f t="shared" si="7"/>
        <v>137.05000000000001</v>
      </c>
      <c r="V222">
        <v>141.4</v>
      </c>
      <c r="W222">
        <v>148.5</v>
      </c>
      <c r="X222">
        <v>127.1</v>
      </c>
      <c r="Y222">
        <v>136.6</v>
      </c>
      <c r="Z222">
        <v>138.5</v>
      </c>
      <c r="AA222">
        <v>119.2</v>
      </c>
      <c r="AB222">
        <v>132.19999999999999</v>
      </c>
      <c r="AC222">
        <v>146.6</v>
      </c>
      <c r="AD222">
        <v>133</v>
      </c>
      <c r="AE222">
        <v>132.4</v>
      </c>
      <c r="AF222">
        <v>138.6</v>
      </c>
    </row>
    <row r="223" spans="1:32">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f t="shared" si="6"/>
        <v>134.96666666666667</v>
      </c>
      <c r="Q223">
        <v>137.5</v>
      </c>
      <c r="R223">
        <v>163.4</v>
      </c>
      <c r="S223">
        <v>147.69999999999999</v>
      </c>
      <c r="T223">
        <v>139.69999999999999</v>
      </c>
      <c r="U223">
        <f t="shared" si="7"/>
        <v>143.69999999999999</v>
      </c>
      <c r="V223">
        <v>146.5</v>
      </c>
      <c r="W223">
        <v>148.5</v>
      </c>
      <c r="X223">
        <v>138.4</v>
      </c>
      <c r="Y223">
        <v>143.69999999999999</v>
      </c>
      <c r="Z223">
        <v>145.6</v>
      </c>
      <c r="AA223">
        <v>123.9</v>
      </c>
      <c r="AB223">
        <v>137.1</v>
      </c>
      <c r="AC223">
        <v>150.30000000000001</v>
      </c>
      <c r="AD223">
        <v>134.1</v>
      </c>
      <c r="AE223">
        <v>137.4</v>
      </c>
      <c r="AF223">
        <v>139.9</v>
      </c>
    </row>
    <row r="224" spans="1:32">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f t="shared" si="6"/>
        <v>135.32500000000002</v>
      </c>
      <c r="Q224">
        <v>137.30000000000001</v>
      </c>
      <c r="R224">
        <v>162.9</v>
      </c>
      <c r="S224">
        <v>150.80000000000001</v>
      </c>
      <c r="T224">
        <v>146.1</v>
      </c>
      <c r="U224">
        <f t="shared" si="7"/>
        <v>148.44999999999999</v>
      </c>
      <c r="V224">
        <v>150.1</v>
      </c>
      <c r="W224" t="s">
        <v>32</v>
      </c>
      <c r="X224">
        <v>146.4</v>
      </c>
      <c r="Y224">
        <v>150</v>
      </c>
      <c r="Z224">
        <v>150.4</v>
      </c>
      <c r="AA224">
        <v>129.9</v>
      </c>
      <c r="AB224">
        <v>143.80000000000001</v>
      </c>
      <c r="AC224">
        <v>155.5</v>
      </c>
      <c r="AD224">
        <v>134</v>
      </c>
      <c r="AE224">
        <v>142.4</v>
      </c>
      <c r="AF224">
        <v>141.19999999999999</v>
      </c>
    </row>
    <row r="225" spans="1:32">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f t="shared" si="6"/>
        <v>135.73333333333335</v>
      </c>
      <c r="Q225">
        <v>139.6</v>
      </c>
      <c r="R225">
        <v>165.3</v>
      </c>
      <c r="S225">
        <v>143.5</v>
      </c>
      <c r="T225">
        <v>131.19999999999999</v>
      </c>
      <c r="U225">
        <f t="shared" si="7"/>
        <v>137.35</v>
      </c>
      <c r="V225">
        <v>141.6</v>
      </c>
      <c r="W225">
        <v>149</v>
      </c>
      <c r="X225">
        <v>128.80000000000001</v>
      </c>
      <c r="Y225">
        <v>136.80000000000001</v>
      </c>
      <c r="Z225">
        <v>139.19999999999999</v>
      </c>
      <c r="AA225">
        <v>119.9</v>
      </c>
      <c r="AB225">
        <v>133</v>
      </c>
      <c r="AC225">
        <v>146.69999999999999</v>
      </c>
      <c r="AD225">
        <v>132.5</v>
      </c>
      <c r="AE225">
        <v>132.80000000000001</v>
      </c>
      <c r="AF225">
        <v>139.5</v>
      </c>
    </row>
    <row r="226" spans="1:32">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f t="shared" si="6"/>
        <v>135.4</v>
      </c>
      <c r="Q226">
        <v>138.1</v>
      </c>
      <c r="R226">
        <v>163.5</v>
      </c>
      <c r="S226">
        <v>147.9</v>
      </c>
      <c r="T226">
        <v>139.9</v>
      </c>
      <c r="U226">
        <f t="shared" si="7"/>
        <v>143.9</v>
      </c>
      <c r="V226">
        <v>146.69999999999999</v>
      </c>
      <c r="W226">
        <v>149</v>
      </c>
      <c r="X226">
        <v>139.69999999999999</v>
      </c>
      <c r="Y226">
        <v>143.80000000000001</v>
      </c>
      <c r="Z226">
        <v>146.19999999999999</v>
      </c>
      <c r="AA226">
        <v>124.6</v>
      </c>
      <c r="AB226">
        <v>137.69999999999999</v>
      </c>
      <c r="AC226">
        <v>150.30000000000001</v>
      </c>
      <c r="AD226">
        <v>133.4</v>
      </c>
      <c r="AE226">
        <v>137.69999999999999</v>
      </c>
      <c r="AF226">
        <v>140.4</v>
      </c>
    </row>
    <row r="227" spans="1:32">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f t="shared" si="6"/>
        <v>136.90833333333333</v>
      </c>
      <c r="Q227">
        <v>139.19999999999999</v>
      </c>
      <c r="R227">
        <v>163.30000000000001</v>
      </c>
      <c r="S227">
        <v>151.30000000000001</v>
      </c>
      <c r="T227">
        <v>146.6</v>
      </c>
      <c r="U227">
        <f t="shared" si="7"/>
        <v>148.94999999999999</v>
      </c>
      <c r="V227">
        <v>150.69999999999999</v>
      </c>
      <c r="W227" t="s">
        <v>32</v>
      </c>
      <c r="X227">
        <v>146.9</v>
      </c>
      <c r="Y227">
        <v>149.5</v>
      </c>
      <c r="Z227">
        <v>151.30000000000001</v>
      </c>
      <c r="AA227">
        <v>130.19999999999999</v>
      </c>
      <c r="AB227">
        <v>145.9</v>
      </c>
      <c r="AC227">
        <v>156.69999999999999</v>
      </c>
      <c r="AD227">
        <v>133.9</v>
      </c>
      <c r="AE227">
        <v>142.9</v>
      </c>
      <c r="AF227">
        <v>142.4</v>
      </c>
    </row>
    <row r="228" spans="1:32">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f t="shared" si="6"/>
        <v>138.97500000000002</v>
      </c>
      <c r="Q228">
        <v>143.80000000000001</v>
      </c>
      <c r="R228">
        <v>166.2</v>
      </c>
      <c r="S228">
        <v>144</v>
      </c>
      <c r="T228">
        <v>131.69999999999999</v>
      </c>
      <c r="U228">
        <f t="shared" si="7"/>
        <v>137.85</v>
      </c>
      <c r="V228">
        <v>142.19999999999999</v>
      </c>
      <c r="W228">
        <v>150.1</v>
      </c>
      <c r="X228">
        <v>129.4</v>
      </c>
      <c r="Y228">
        <v>137.19999999999999</v>
      </c>
      <c r="Z228">
        <v>139.80000000000001</v>
      </c>
      <c r="AA228">
        <v>120.1</v>
      </c>
      <c r="AB228">
        <v>134</v>
      </c>
      <c r="AC228">
        <v>148</v>
      </c>
      <c r="AD228">
        <v>132.6</v>
      </c>
      <c r="AE228">
        <v>133.30000000000001</v>
      </c>
      <c r="AF228">
        <v>141.5</v>
      </c>
    </row>
    <row r="229" spans="1:32">
      <c r="A229" t="s">
        <v>34</v>
      </c>
      <c r="B229">
        <v>2019</v>
      </c>
      <c r="C229" t="s">
        <v>38</v>
      </c>
      <c r="D229">
        <v>138.30000000000001</v>
      </c>
      <c r="E229">
        <v>158.5</v>
      </c>
      <c r="F229">
        <v>136</v>
      </c>
      <c r="G229">
        <v>142.5</v>
      </c>
      <c r="H229">
        <v>122</v>
      </c>
      <c r="I229">
        <v>146.5</v>
      </c>
      <c r="J229">
        <v>143</v>
      </c>
      <c r="K229">
        <v>124.9</v>
      </c>
      <c r="L229">
        <v>109.9</v>
      </c>
      <c r="M229">
        <v>139.9</v>
      </c>
      <c r="N229">
        <v>134</v>
      </c>
      <c r="O229">
        <v>155.5</v>
      </c>
      <c r="P229">
        <f t="shared" si="6"/>
        <v>137.58333333333334</v>
      </c>
      <c r="Q229">
        <v>140.9</v>
      </c>
      <c r="R229">
        <v>164.1</v>
      </c>
      <c r="S229">
        <v>148.4</v>
      </c>
      <c r="T229">
        <v>140.4</v>
      </c>
      <c r="U229">
        <f t="shared" si="7"/>
        <v>144.4</v>
      </c>
      <c r="V229">
        <v>147.30000000000001</v>
      </c>
      <c r="W229">
        <v>150.1</v>
      </c>
      <c r="X229">
        <v>140.30000000000001</v>
      </c>
      <c r="Y229">
        <v>143.69999999999999</v>
      </c>
      <c r="Z229">
        <v>146.9</v>
      </c>
      <c r="AA229">
        <v>124.9</v>
      </c>
      <c r="AB229">
        <v>139.19999999999999</v>
      </c>
      <c r="AC229">
        <v>151.6</v>
      </c>
      <c r="AD229">
        <v>133.4</v>
      </c>
      <c r="AE229">
        <v>138.19999999999999</v>
      </c>
      <c r="AF229">
        <v>142</v>
      </c>
    </row>
    <row r="230" spans="1:32">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f t="shared" si="6"/>
        <v>138.6</v>
      </c>
      <c r="Q230">
        <v>141</v>
      </c>
      <c r="R230">
        <v>164.2</v>
      </c>
      <c r="S230">
        <v>151.4</v>
      </c>
      <c r="T230">
        <v>146.5</v>
      </c>
      <c r="U230">
        <f t="shared" si="7"/>
        <v>148.94999999999999</v>
      </c>
      <c r="V230">
        <v>150.69999999999999</v>
      </c>
      <c r="W230" t="s">
        <v>32</v>
      </c>
      <c r="X230">
        <v>147.80000000000001</v>
      </c>
      <c r="Y230">
        <v>149.6</v>
      </c>
      <c r="Z230">
        <v>151.69999999999999</v>
      </c>
      <c r="AA230">
        <v>130.19999999999999</v>
      </c>
      <c r="AB230">
        <v>146.4</v>
      </c>
      <c r="AC230">
        <v>157.69999999999999</v>
      </c>
      <c r="AD230">
        <v>134.80000000000001</v>
      </c>
      <c r="AE230">
        <v>143.30000000000001</v>
      </c>
      <c r="AF230">
        <v>143.6</v>
      </c>
    </row>
    <row r="231" spans="1:32">
      <c r="A231" t="s">
        <v>33</v>
      </c>
      <c r="B231">
        <v>2019</v>
      </c>
      <c r="C231" t="s">
        <v>39</v>
      </c>
      <c r="D231">
        <v>140.69999999999999</v>
      </c>
      <c r="E231">
        <v>159.6</v>
      </c>
      <c r="F231">
        <v>140.4</v>
      </c>
      <c r="G231">
        <v>143.4</v>
      </c>
      <c r="H231">
        <v>118.6</v>
      </c>
      <c r="I231">
        <v>150.9</v>
      </c>
      <c r="J231">
        <v>169.8</v>
      </c>
      <c r="K231">
        <v>127.4</v>
      </c>
      <c r="L231">
        <v>111.8</v>
      </c>
      <c r="M231">
        <v>141</v>
      </c>
      <c r="N231">
        <v>129</v>
      </c>
      <c r="O231">
        <v>155.1</v>
      </c>
      <c r="P231">
        <f t="shared" si="6"/>
        <v>140.64166666666665</v>
      </c>
      <c r="Q231">
        <v>145.6</v>
      </c>
      <c r="R231">
        <v>166.7</v>
      </c>
      <c r="S231">
        <v>144.30000000000001</v>
      </c>
      <c r="T231">
        <v>131.69999999999999</v>
      </c>
      <c r="U231">
        <f t="shared" si="7"/>
        <v>138</v>
      </c>
      <c r="V231">
        <v>142.4</v>
      </c>
      <c r="W231">
        <v>149.4</v>
      </c>
      <c r="X231">
        <v>130.5</v>
      </c>
      <c r="Y231">
        <v>137.4</v>
      </c>
      <c r="Z231">
        <v>140.30000000000001</v>
      </c>
      <c r="AA231">
        <v>119.6</v>
      </c>
      <c r="AB231">
        <v>134.30000000000001</v>
      </c>
      <c r="AC231">
        <v>148.9</v>
      </c>
      <c r="AD231">
        <v>133.69999999999999</v>
      </c>
      <c r="AE231">
        <v>133.6</v>
      </c>
      <c r="AF231">
        <v>142.1</v>
      </c>
    </row>
    <row r="232" spans="1:32">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f t="shared" si="6"/>
        <v>139.28333333333333</v>
      </c>
      <c r="Q232">
        <v>142.69999999999999</v>
      </c>
      <c r="R232">
        <v>164.9</v>
      </c>
      <c r="S232">
        <v>148.6</v>
      </c>
      <c r="T232">
        <v>140.4</v>
      </c>
      <c r="U232">
        <f t="shared" si="7"/>
        <v>144.5</v>
      </c>
      <c r="V232">
        <v>147.4</v>
      </c>
      <c r="W232">
        <v>149.4</v>
      </c>
      <c r="X232">
        <v>141.19999999999999</v>
      </c>
      <c r="Y232">
        <v>143.80000000000001</v>
      </c>
      <c r="Z232">
        <v>147.4</v>
      </c>
      <c r="AA232">
        <v>124.6</v>
      </c>
      <c r="AB232">
        <v>139.6</v>
      </c>
      <c r="AC232">
        <v>152.5</v>
      </c>
      <c r="AD232">
        <v>134.30000000000001</v>
      </c>
      <c r="AE232">
        <v>138.6</v>
      </c>
      <c r="AF232">
        <v>142.9</v>
      </c>
    </row>
    <row r="233" spans="1:32">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f t="shared" si="6"/>
        <v>140.32499999999999</v>
      </c>
      <c r="Q233">
        <v>143</v>
      </c>
      <c r="R233">
        <v>164.5</v>
      </c>
      <c r="S233">
        <v>151.6</v>
      </c>
      <c r="T233">
        <v>146.6</v>
      </c>
      <c r="U233">
        <f t="shared" si="7"/>
        <v>149.1</v>
      </c>
      <c r="V233">
        <v>150.9</v>
      </c>
      <c r="W233" t="s">
        <v>32</v>
      </c>
      <c r="X233">
        <v>146.80000000000001</v>
      </c>
      <c r="Y233">
        <v>150</v>
      </c>
      <c r="Z233">
        <v>152.19999999999999</v>
      </c>
      <c r="AA233">
        <v>131.19999999999999</v>
      </c>
      <c r="AB233">
        <v>147.5</v>
      </c>
      <c r="AC233">
        <v>159.1</v>
      </c>
      <c r="AD233">
        <v>136.1</v>
      </c>
      <c r="AE233">
        <v>144.19999999999999</v>
      </c>
      <c r="AF233">
        <v>144.9</v>
      </c>
    </row>
    <row r="234" spans="1:32">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f t="shared" si="6"/>
        <v>142.47499999999999</v>
      </c>
      <c r="Q234">
        <v>147.69999999999999</v>
      </c>
      <c r="R234">
        <v>167.2</v>
      </c>
      <c r="S234">
        <v>144.69999999999999</v>
      </c>
      <c r="T234">
        <v>131.9</v>
      </c>
      <c r="U234">
        <f t="shared" si="7"/>
        <v>138.30000000000001</v>
      </c>
      <c r="V234">
        <v>142.69999999999999</v>
      </c>
      <c r="W234">
        <v>150.6</v>
      </c>
      <c r="X234">
        <v>127</v>
      </c>
      <c r="Y234">
        <v>137.69999999999999</v>
      </c>
      <c r="Z234">
        <v>140.80000000000001</v>
      </c>
      <c r="AA234">
        <v>120.6</v>
      </c>
      <c r="AB234">
        <v>135</v>
      </c>
      <c r="AC234">
        <v>150.4</v>
      </c>
      <c r="AD234">
        <v>135.1</v>
      </c>
      <c r="AE234">
        <v>134.5</v>
      </c>
      <c r="AF234">
        <v>143.30000000000001</v>
      </c>
    </row>
    <row r="235" spans="1:32">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f t="shared" si="6"/>
        <v>141.06666666666666</v>
      </c>
      <c r="Q235">
        <v>144.69999999999999</v>
      </c>
      <c r="R235">
        <v>165.2</v>
      </c>
      <c r="S235">
        <v>148.9</v>
      </c>
      <c r="T235">
        <v>140.5</v>
      </c>
      <c r="U235">
        <f t="shared" si="7"/>
        <v>144.69999999999999</v>
      </c>
      <c r="V235">
        <v>147.6</v>
      </c>
      <c r="W235">
        <v>150.6</v>
      </c>
      <c r="X235">
        <v>139.30000000000001</v>
      </c>
      <c r="Y235">
        <v>144.19999999999999</v>
      </c>
      <c r="Z235">
        <v>147.9</v>
      </c>
      <c r="AA235">
        <v>125.6</v>
      </c>
      <c r="AB235">
        <v>140.5</v>
      </c>
      <c r="AC235">
        <v>154</v>
      </c>
      <c r="AD235">
        <v>135.69999999999999</v>
      </c>
      <c r="AE235">
        <v>139.5</v>
      </c>
      <c r="AF235">
        <v>144.19999999999999</v>
      </c>
    </row>
    <row r="236" spans="1:32">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f t="shared" si="6"/>
        <v>140.87500000000003</v>
      </c>
      <c r="Q236">
        <v>144</v>
      </c>
      <c r="R236">
        <v>165.1</v>
      </c>
      <c r="S236">
        <v>151.80000000000001</v>
      </c>
      <c r="T236">
        <v>146.6</v>
      </c>
      <c r="U236">
        <f t="shared" si="7"/>
        <v>149.19999999999999</v>
      </c>
      <c r="V236">
        <v>151.1</v>
      </c>
      <c r="W236" t="s">
        <v>32</v>
      </c>
      <c r="X236">
        <v>146.4</v>
      </c>
      <c r="Y236">
        <v>150.19999999999999</v>
      </c>
      <c r="Z236">
        <v>152.69999999999999</v>
      </c>
      <c r="AA236">
        <v>131.4</v>
      </c>
      <c r="AB236">
        <v>148</v>
      </c>
      <c r="AC236">
        <v>159.69999999999999</v>
      </c>
      <c r="AD236">
        <v>138.80000000000001</v>
      </c>
      <c r="AE236">
        <v>144.9</v>
      </c>
      <c r="AF236">
        <v>145.69999999999999</v>
      </c>
    </row>
    <row r="237" spans="1:32">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f t="shared" si="6"/>
        <v>143.33333333333334</v>
      </c>
      <c r="Q237">
        <v>149.1</v>
      </c>
      <c r="R237">
        <v>167.9</v>
      </c>
      <c r="S237">
        <v>145</v>
      </c>
      <c r="T237">
        <v>132.19999999999999</v>
      </c>
      <c r="U237">
        <f t="shared" si="7"/>
        <v>138.6</v>
      </c>
      <c r="V237">
        <v>143</v>
      </c>
      <c r="W237">
        <v>151.6</v>
      </c>
      <c r="X237">
        <v>125.5</v>
      </c>
      <c r="Y237">
        <v>138.1</v>
      </c>
      <c r="Z237">
        <v>141.5</v>
      </c>
      <c r="AA237">
        <v>120.8</v>
      </c>
      <c r="AB237">
        <v>135.4</v>
      </c>
      <c r="AC237">
        <v>151.5</v>
      </c>
      <c r="AD237">
        <v>137.80000000000001</v>
      </c>
      <c r="AE237">
        <v>135.30000000000001</v>
      </c>
      <c r="AF237">
        <v>144.19999999999999</v>
      </c>
    </row>
    <row r="238" spans="1:32">
      <c r="A238" t="s">
        <v>34</v>
      </c>
      <c r="B238">
        <v>2019</v>
      </c>
      <c r="C238" t="s">
        <v>41</v>
      </c>
      <c r="D238">
        <v>140.1</v>
      </c>
      <c r="E238">
        <v>160.6</v>
      </c>
      <c r="F238">
        <v>138.5</v>
      </c>
      <c r="G238">
        <v>144.69999999999999</v>
      </c>
      <c r="H238">
        <v>122.9</v>
      </c>
      <c r="I238">
        <v>149.4</v>
      </c>
      <c r="J238">
        <v>167.4</v>
      </c>
      <c r="K238">
        <v>130.9</v>
      </c>
      <c r="L238">
        <v>112</v>
      </c>
      <c r="M238">
        <v>142.6</v>
      </c>
      <c r="N238">
        <v>134.9</v>
      </c>
      <c r="O238">
        <v>156.6</v>
      </c>
      <c r="P238">
        <f t="shared" si="6"/>
        <v>141.71666666666667</v>
      </c>
      <c r="Q238">
        <v>145.9</v>
      </c>
      <c r="R238">
        <v>165.8</v>
      </c>
      <c r="S238">
        <v>149.1</v>
      </c>
      <c r="T238">
        <v>140.6</v>
      </c>
      <c r="U238">
        <f t="shared" si="7"/>
        <v>144.85</v>
      </c>
      <c r="V238">
        <v>147.9</v>
      </c>
      <c r="W238">
        <v>151.6</v>
      </c>
      <c r="X238">
        <v>138.5</v>
      </c>
      <c r="Y238">
        <v>144.5</v>
      </c>
      <c r="Z238">
        <v>148.5</v>
      </c>
      <c r="AA238">
        <v>125.8</v>
      </c>
      <c r="AB238">
        <v>140.9</v>
      </c>
      <c r="AC238">
        <v>154.9</v>
      </c>
      <c r="AD238">
        <v>138.4</v>
      </c>
      <c r="AE238">
        <v>140.19999999999999</v>
      </c>
      <c r="AF238">
        <v>145</v>
      </c>
    </row>
    <row r="239" spans="1:32">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f t="shared" si="6"/>
        <v>141.93333333333334</v>
      </c>
      <c r="Q239">
        <v>145.5</v>
      </c>
      <c r="R239">
        <v>165.7</v>
      </c>
      <c r="S239">
        <v>151.69999999999999</v>
      </c>
      <c r="T239">
        <v>146.6</v>
      </c>
      <c r="U239">
        <f t="shared" si="7"/>
        <v>149.14999999999998</v>
      </c>
      <c r="V239">
        <v>151</v>
      </c>
      <c r="W239" t="s">
        <v>32</v>
      </c>
      <c r="X239">
        <v>146.9</v>
      </c>
      <c r="Y239">
        <v>150.30000000000001</v>
      </c>
      <c r="Z239">
        <v>153.4</v>
      </c>
      <c r="AA239">
        <v>131.6</v>
      </c>
      <c r="AB239">
        <v>148.30000000000001</v>
      </c>
      <c r="AC239">
        <v>160.19999999999999</v>
      </c>
      <c r="AD239">
        <v>140.19999999999999</v>
      </c>
      <c r="AE239">
        <v>145.4</v>
      </c>
      <c r="AF239">
        <v>146.69999999999999</v>
      </c>
    </row>
    <row r="240" spans="1:32">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f t="shared" si="6"/>
        <v>143.78333333333333</v>
      </c>
      <c r="Q240">
        <v>149.5</v>
      </c>
      <c r="R240">
        <v>168.6</v>
      </c>
      <c r="S240">
        <v>145.30000000000001</v>
      </c>
      <c r="T240">
        <v>132.19999999999999</v>
      </c>
      <c r="U240">
        <f t="shared" si="7"/>
        <v>138.75</v>
      </c>
      <c r="V240">
        <v>143.30000000000001</v>
      </c>
      <c r="W240">
        <v>152.19999999999999</v>
      </c>
      <c r="X240">
        <v>126.6</v>
      </c>
      <c r="Y240">
        <v>138.30000000000001</v>
      </c>
      <c r="Z240">
        <v>141.9</v>
      </c>
      <c r="AA240">
        <v>121.2</v>
      </c>
      <c r="AB240">
        <v>135.9</v>
      </c>
      <c r="AC240">
        <v>151.6</v>
      </c>
      <c r="AD240">
        <v>139</v>
      </c>
      <c r="AE240">
        <v>135.69999999999999</v>
      </c>
      <c r="AF240">
        <v>144.69999999999999</v>
      </c>
    </row>
    <row r="241" spans="1:32">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f t="shared" si="6"/>
        <v>142.55833333333331</v>
      </c>
      <c r="Q241">
        <v>147</v>
      </c>
      <c r="R241">
        <v>166.5</v>
      </c>
      <c r="S241">
        <v>149.19999999999999</v>
      </c>
      <c r="T241">
        <v>140.6</v>
      </c>
      <c r="U241">
        <f t="shared" si="7"/>
        <v>144.89999999999998</v>
      </c>
      <c r="V241">
        <v>147.9</v>
      </c>
      <c r="W241">
        <v>152.19999999999999</v>
      </c>
      <c r="X241">
        <v>139.19999999999999</v>
      </c>
      <c r="Y241">
        <v>144.6</v>
      </c>
      <c r="Z241">
        <v>149</v>
      </c>
      <c r="AA241">
        <v>126.1</v>
      </c>
      <c r="AB241">
        <v>141.30000000000001</v>
      </c>
      <c r="AC241">
        <v>155.19999999999999</v>
      </c>
      <c r="AD241">
        <v>139.69999999999999</v>
      </c>
      <c r="AE241">
        <v>140.69999999999999</v>
      </c>
      <c r="AF241">
        <v>145.80000000000001</v>
      </c>
    </row>
    <row r="242" spans="1:32">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f t="shared" si="6"/>
        <v>144.04999999999998</v>
      </c>
      <c r="Q242">
        <v>148.30000000000001</v>
      </c>
      <c r="R242">
        <v>166.3</v>
      </c>
      <c r="S242">
        <v>151.69999999999999</v>
      </c>
      <c r="T242">
        <v>146.69999999999999</v>
      </c>
      <c r="U242">
        <f t="shared" si="7"/>
        <v>149.19999999999999</v>
      </c>
      <c r="V242">
        <v>151</v>
      </c>
      <c r="W242" t="s">
        <v>32</v>
      </c>
      <c r="X242">
        <v>147.69999999999999</v>
      </c>
      <c r="Y242">
        <v>150.6</v>
      </c>
      <c r="Z242">
        <v>153.69999999999999</v>
      </c>
      <c r="AA242">
        <v>131.69999999999999</v>
      </c>
      <c r="AB242">
        <v>148.69999999999999</v>
      </c>
      <c r="AC242">
        <v>160.69999999999999</v>
      </c>
      <c r="AD242">
        <v>140.30000000000001</v>
      </c>
      <c r="AE242">
        <v>145.69999999999999</v>
      </c>
      <c r="AF242">
        <v>148.30000000000001</v>
      </c>
    </row>
    <row r="243" spans="1:32">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f t="shared" si="6"/>
        <v>145.89166666666668</v>
      </c>
      <c r="Q243">
        <v>151.9</v>
      </c>
      <c r="R243">
        <v>169.3</v>
      </c>
      <c r="S243">
        <v>145.9</v>
      </c>
      <c r="T243">
        <v>132.4</v>
      </c>
      <c r="U243">
        <f t="shared" si="7"/>
        <v>139.15</v>
      </c>
      <c r="V243">
        <v>143.9</v>
      </c>
      <c r="W243">
        <v>153</v>
      </c>
      <c r="X243">
        <v>128.9</v>
      </c>
      <c r="Y243">
        <v>138.69999999999999</v>
      </c>
      <c r="Z243">
        <v>142.4</v>
      </c>
      <c r="AA243">
        <v>121.5</v>
      </c>
      <c r="AB243">
        <v>136.19999999999999</v>
      </c>
      <c r="AC243">
        <v>151.69999999999999</v>
      </c>
      <c r="AD243">
        <v>139.5</v>
      </c>
      <c r="AE243">
        <v>136</v>
      </c>
      <c r="AF243">
        <v>146</v>
      </c>
    </row>
    <row r="244" spans="1:32">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f t="shared" si="6"/>
        <v>144.66666666666666</v>
      </c>
      <c r="Q244">
        <v>149.6</v>
      </c>
      <c r="R244">
        <v>167.1</v>
      </c>
      <c r="S244">
        <v>149.4</v>
      </c>
      <c r="T244">
        <v>140.80000000000001</v>
      </c>
      <c r="U244">
        <f t="shared" si="7"/>
        <v>145.10000000000002</v>
      </c>
      <c r="V244">
        <v>148.19999999999999</v>
      </c>
      <c r="W244">
        <v>153</v>
      </c>
      <c r="X244">
        <v>140.6</v>
      </c>
      <c r="Y244">
        <v>145</v>
      </c>
      <c r="Z244">
        <v>149.4</v>
      </c>
      <c r="AA244">
        <v>126.3</v>
      </c>
      <c r="AB244">
        <v>141.69999999999999</v>
      </c>
      <c r="AC244">
        <v>155.4</v>
      </c>
      <c r="AD244">
        <v>140</v>
      </c>
      <c r="AE244">
        <v>141</v>
      </c>
      <c r="AF244">
        <v>147.19999999999999</v>
      </c>
    </row>
    <row r="245" spans="1:32">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f t="shared" si="6"/>
        <v>146.14166666666668</v>
      </c>
      <c r="Q245">
        <v>150.9</v>
      </c>
      <c r="R245">
        <v>167.2</v>
      </c>
      <c r="S245">
        <v>152.30000000000001</v>
      </c>
      <c r="T245">
        <v>147</v>
      </c>
      <c r="U245">
        <f t="shared" si="7"/>
        <v>149.65</v>
      </c>
      <c r="V245">
        <v>151.5</v>
      </c>
      <c r="W245" t="s">
        <v>32</v>
      </c>
      <c r="X245">
        <v>148.4</v>
      </c>
      <c r="Y245">
        <v>150.9</v>
      </c>
      <c r="Z245">
        <v>154.30000000000001</v>
      </c>
      <c r="AA245">
        <v>132.1</v>
      </c>
      <c r="AB245">
        <v>149.1</v>
      </c>
      <c r="AC245">
        <v>160.80000000000001</v>
      </c>
      <c r="AD245">
        <v>140.6</v>
      </c>
      <c r="AE245">
        <v>146.1</v>
      </c>
      <c r="AF245">
        <v>149.9</v>
      </c>
    </row>
    <row r="246" spans="1:32">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f t="shared" si="6"/>
        <v>147.53333333333333</v>
      </c>
      <c r="Q246">
        <v>153.6</v>
      </c>
      <c r="R246">
        <v>169.9</v>
      </c>
      <c r="S246">
        <v>146.30000000000001</v>
      </c>
      <c r="T246">
        <v>132.6</v>
      </c>
      <c r="U246">
        <f t="shared" si="7"/>
        <v>139.44999999999999</v>
      </c>
      <c r="V246">
        <v>144.19999999999999</v>
      </c>
      <c r="W246">
        <v>153.5</v>
      </c>
      <c r="X246">
        <v>132.19999999999999</v>
      </c>
      <c r="Y246">
        <v>139.1</v>
      </c>
      <c r="Z246">
        <v>142.80000000000001</v>
      </c>
      <c r="AA246">
        <v>121.7</v>
      </c>
      <c r="AB246">
        <v>136.69999999999999</v>
      </c>
      <c r="AC246">
        <v>151.80000000000001</v>
      </c>
      <c r="AD246">
        <v>139.80000000000001</v>
      </c>
      <c r="AE246">
        <v>136.30000000000001</v>
      </c>
      <c r="AF246">
        <v>147</v>
      </c>
    </row>
    <row r="247" spans="1:32">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f t="shared" si="6"/>
        <v>146.58333333333334</v>
      </c>
      <c r="Q247">
        <v>151.9</v>
      </c>
      <c r="R247">
        <v>167.9</v>
      </c>
      <c r="S247">
        <v>149.9</v>
      </c>
      <c r="T247">
        <v>141</v>
      </c>
      <c r="U247">
        <f t="shared" si="7"/>
        <v>145.44999999999999</v>
      </c>
      <c r="V247">
        <v>148.6</v>
      </c>
      <c r="W247">
        <v>153.5</v>
      </c>
      <c r="X247">
        <v>142.30000000000001</v>
      </c>
      <c r="Y247">
        <v>145.30000000000001</v>
      </c>
      <c r="Z247">
        <v>149.9</v>
      </c>
      <c r="AA247">
        <v>126.6</v>
      </c>
      <c r="AB247">
        <v>142.1</v>
      </c>
      <c r="AC247">
        <v>155.5</v>
      </c>
      <c r="AD247">
        <v>140.30000000000001</v>
      </c>
      <c r="AE247">
        <v>141.30000000000001</v>
      </c>
      <c r="AF247">
        <v>148.6</v>
      </c>
    </row>
    <row r="248" spans="1:32">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f t="shared" si="6"/>
        <v>148.89166666666662</v>
      </c>
      <c r="Q248">
        <v>154.30000000000001</v>
      </c>
      <c r="R248">
        <v>167.8</v>
      </c>
      <c r="S248">
        <v>152.6</v>
      </c>
      <c r="T248">
        <v>147.30000000000001</v>
      </c>
      <c r="U248">
        <f t="shared" si="7"/>
        <v>149.94999999999999</v>
      </c>
      <c r="V248">
        <v>151.9</v>
      </c>
      <c r="W248" t="s">
        <v>32</v>
      </c>
      <c r="X248">
        <v>149.9</v>
      </c>
      <c r="Y248">
        <v>151.19999999999999</v>
      </c>
      <c r="Z248">
        <v>154.80000000000001</v>
      </c>
      <c r="AA248">
        <v>135</v>
      </c>
      <c r="AB248">
        <v>149.5</v>
      </c>
      <c r="AC248">
        <v>161.1</v>
      </c>
      <c r="AD248">
        <v>140.6</v>
      </c>
      <c r="AE248">
        <v>147.1</v>
      </c>
      <c r="AF248">
        <v>152.30000000000001</v>
      </c>
    </row>
    <row r="249" spans="1:32">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f t="shared" si="6"/>
        <v>150.03333333333333</v>
      </c>
      <c r="Q249">
        <v>156.30000000000001</v>
      </c>
      <c r="R249">
        <v>170.4</v>
      </c>
      <c r="S249">
        <v>146.80000000000001</v>
      </c>
      <c r="T249">
        <v>132.80000000000001</v>
      </c>
      <c r="U249">
        <f t="shared" si="7"/>
        <v>139.80000000000001</v>
      </c>
      <c r="V249">
        <v>144.6</v>
      </c>
      <c r="W249">
        <v>152.80000000000001</v>
      </c>
      <c r="X249">
        <v>133.6</v>
      </c>
      <c r="Y249">
        <v>139.80000000000001</v>
      </c>
      <c r="Z249">
        <v>143.19999999999999</v>
      </c>
      <c r="AA249">
        <v>125.2</v>
      </c>
      <c r="AB249">
        <v>136.80000000000001</v>
      </c>
      <c r="AC249">
        <v>151.9</v>
      </c>
      <c r="AD249">
        <v>140.19999999999999</v>
      </c>
      <c r="AE249">
        <v>137.69999999999999</v>
      </c>
      <c r="AF249">
        <v>148.30000000000001</v>
      </c>
    </row>
    <row r="250" spans="1:32">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f t="shared" si="6"/>
        <v>149.25833333333335</v>
      </c>
      <c r="Q250">
        <v>155</v>
      </c>
      <c r="R250">
        <v>168.5</v>
      </c>
      <c r="S250">
        <v>150.30000000000001</v>
      </c>
      <c r="T250">
        <v>141.30000000000001</v>
      </c>
      <c r="U250">
        <f t="shared" si="7"/>
        <v>145.80000000000001</v>
      </c>
      <c r="V250">
        <v>149</v>
      </c>
      <c r="W250">
        <v>152.80000000000001</v>
      </c>
      <c r="X250">
        <v>143.69999999999999</v>
      </c>
      <c r="Y250">
        <v>145.80000000000001</v>
      </c>
      <c r="Z250">
        <v>150.4</v>
      </c>
      <c r="AA250">
        <v>129.80000000000001</v>
      </c>
      <c r="AB250">
        <v>142.30000000000001</v>
      </c>
      <c r="AC250">
        <v>155.69999999999999</v>
      </c>
      <c r="AD250">
        <v>140.4</v>
      </c>
      <c r="AE250">
        <v>142.5</v>
      </c>
      <c r="AF250">
        <v>150.4</v>
      </c>
    </row>
    <row r="251" spans="1:32">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f t="shared" si="6"/>
        <v>148.79999999999998</v>
      </c>
      <c r="Q251">
        <v>153</v>
      </c>
      <c r="R251">
        <v>168.6</v>
      </c>
      <c r="S251">
        <v>152.80000000000001</v>
      </c>
      <c r="T251">
        <v>147.4</v>
      </c>
      <c r="U251">
        <f t="shared" si="7"/>
        <v>150.10000000000002</v>
      </c>
      <c r="V251">
        <v>152.1</v>
      </c>
      <c r="W251" t="s">
        <v>32</v>
      </c>
      <c r="X251">
        <v>150.4</v>
      </c>
      <c r="Y251">
        <v>151.69999999999999</v>
      </c>
      <c r="Z251">
        <v>155.69999999999999</v>
      </c>
      <c r="AA251">
        <v>136.30000000000001</v>
      </c>
      <c r="AB251">
        <v>150.1</v>
      </c>
      <c r="AC251">
        <v>161.69999999999999</v>
      </c>
      <c r="AD251">
        <v>142.5</v>
      </c>
      <c r="AE251">
        <v>148.1</v>
      </c>
      <c r="AF251">
        <v>151.9</v>
      </c>
    </row>
    <row r="252" spans="1:32">
      <c r="A252" t="s">
        <v>33</v>
      </c>
      <c r="B252">
        <v>2020</v>
      </c>
      <c r="C252" t="s">
        <v>31</v>
      </c>
      <c r="D252">
        <v>145.6</v>
      </c>
      <c r="E252">
        <v>167.6</v>
      </c>
      <c r="F252">
        <v>157</v>
      </c>
      <c r="G252">
        <v>149.30000000000001</v>
      </c>
      <c r="H252">
        <v>126.3</v>
      </c>
      <c r="I252">
        <v>144.4</v>
      </c>
      <c r="J252">
        <v>207.8</v>
      </c>
      <c r="K252">
        <v>139.1</v>
      </c>
      <c r="L252">
        <v>114.8</v>
      </c>
      <c r="M252">
        <v>149.5</v>
      </c>
      <c r="N252">
        <v>131.1</v>
      </c>
      <c r="O252">
        <v>158.5</v>
      </c>
      <c r="P252">
        <f t="shared" si="6"/>
        <v>149.24999999999997</v>
      </c>
      <c r="Q252">
        <v>154.4</v>
      </c>
      <c r="R252">
        <v>170.8</v>
      </c>
      <c r="S252">
        <v>147</v>
      </c>
      <c r="T252">
        <v>133.19999999999999</v>
      </c>
      <c r="U252">
        <f t="shared" si="7"/>
        <v>140.1</v>
      </c>
      <c r="V252">
        <v>144.9</v>
      </c>
      <c r="W252">
        <v>153.9</v>
      </c>
      <c r="X252">
        <v>135.1</v>
      </c>
      <c r="Y252">
        <v>140.1</v>
      </c>
      <c r="Z252">
        <v>143.80000000000001</v>
      </c>
      <c r="AA252">
        <v>126.1</v>
      </c>
      <c r="AB252">
        <v>137.19999999999999</v>
      </c>
      <c r="AC252">
        <v>152.1</v>
      </c>
      <c r="AD252">
        <v>142.1</v>
      </c>
      <c r="AE252">
        <v>138.4</v>
      </c>
      <c r="AF252">
        <v>148.19999999999999</v>
      </c>
    </row>
    <row r="253" spans="1:32">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f t="shared" si="6"/>
        <v>148.90833333333333</v>
      </c>
      <c r="Q253">
        <v>153.5</v>
      </c>
      <c r="R253">
        <v>169.2</v>
      </c>
      <c r="S253">
        <v>150.5</v>
      </c>
      <c r="T253">
        <v>141.5</v>
      </c>
      <c r="U253">
        <f t="shared" si="7"/>
        <v>146</v>
      </c>
      <c r="V253">
        <v>149.19999999999999</v>
      </c>
      <c r="W253">
        <v>153.9</v>
      </c>
      <c r="X253">
        <v>144.6</v>
      </c>
      <c r="Y253">
        <v>146.19999999999999</v>
      </c>
      <c r="Z253">
        <v>151.19999999999999</v>
      </c>
      <c r="AA253">
        <v>130.9</v>
      </c>
      <c r="AB253">
        <v>142.80000000000001</v>
      </c>
      <c r="AC253">
        <v>156.1</v>
      </c>
      <c r="AD253">
        <v>142.30000000000001</v>
      </c>
      <c r="AE253">
        <v>143.4</v>
      </c>
      <c r="AF253">
        <v>150.19999999999999</v>
      </c>
    </row>
    <row r="254" spans="1:32">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f t="shared" si="6"/>
        <v>146.66666666666666</v>
      </c>
      <c r="Q254">
        <v>149.80000000000001</v>
      </c>
      <c r="R254">
        <v>169.4</v>
      </c>
      <c r="S254">
        <v>153</v>
      </c>
      <c r="T254">
        <v>147.5</v>
      </c>
      <c r="U254">
        <f t="shared" si="7"/>
        <v>150.25</v>
      </c>
      <c r="V254">
        <v>152.30000000000001</v>
      </c>
      <c r="W254" t="s">
        <v>32</v>
      </c>
      <c r="X254">
        <v>152.30000000000001</v>
      </c>
      <c r="Y254">
        <v>151.80000000000001</v>
      </c>
      <c r="Z254">
        <v>156.19999999999999</v>
      </c>
      <c r="AA254">
        <v>136</v>
      </c>
      <c r="AB254">
        <v>150.4</v>
      </c>
      <c r="AC254">
        <v>161.9</v>
      </c>
      <c r="AD254">
        <v>143.4</v>
      </c>
      <c r="AE254">
        <v>148.4</v>
      </c>
      <c r="AF254">
        <v>150.4</v>
      </c>
    </row>
    <row r="255" spans="1:32">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f t="shared" si="6"/>
        <v>147.07499999999999</v>
      </c>
      <c r="Q255">
        <v>151.69999999999999</v>
      </c>
      <c r="R255">
        <v>172</v>
      </c>
      <c r="S255">
        <v>147.30000000000001</v>
      </c>
      <c r="T255">
        <v>133.5</v>
      </c>
      <c r="U255">
        <f t="shared" si="7"/>
        <v>140.4</v>
      </c>
      <c r="V255">
        <v>145.19999999999999</v>
      </c>
      <c r="W255">
        <v>154.80000000000001</v>
      </c>
      <c r="X255">
        <v>138.9</v>
      </c>
      <c r="Y255">
        <v>140.4</v>
      </c>
      <c r="Z255">
        <v>144.4</v>
      </c>
      <c r="AA255">
        <v>125.2</v>
      </c>
      <c r="AB255">
        <v>137.69999999999999</v>
      </c>
      <c r="AC255">
        <v>152.19999999999999</v>
      </c>
      <c r="AD255">
        <v>143.5</v>
      </c>
      <c r="AE255">
        <v>138.4</v>
      </c>
      <c r="AF255">
        <v>147.69999999999999</v>
      </c>
    </row>
    <row r="256" spans="1:32">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f t="shared" si="6"/>
        <v>146.75833333333333</v>
      </c>
      <c r="Q256">
        <v>150.5</v>
      </c>
      <c r="R256">
        <v>170.1</v>
      </c>
      <c r="S256">
        <v>150.80000000000001</v>
      </c>
      <c r="T256">
        <v>141.69999999999999</v>
      </c>
      <c r="U256">
        <f t="shared" si="7"/>
        <v>146.25</v>
      </c>
      <c r="V256">
        <v>149.5</v>
      </c>
      <c r="W256">
        <v>154.80000000000001</v>
      </c>
      <c r="X256">
        <v>147.19999999999999</v>
      </c>
      <c r="Y256">
        <v>146.4</v>
      </c>
      <c r="Z256">
        <v>151.69999999999999</v>
      </c>
      <c r="AA256">
        <v>130.30000000000001</v>
      </c>
      <c r="AB256">
        <v>143.19999999999999</v>
      </c>
      <c r="AC256">
        <v>156.19999999999999</v>
      </c>
      <c r="AD256">
        <v>143.4</v>
      </c>
      <c r="AE256">
        <v>143.6</v>
      </c>
      <c r="AF256">
        <v>149.1</v>
      </c>
    </row>
    <row r="257" spans="1:32">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f t="shared" si="6"/>
        <v>145.5333333333333</v>
      </c>
      <c r="Q257">
        <v>148.19999999999999</v>
      </c>
      <c r="R257">
        <v>170.5</v>
      </c>
      <c r="S257">
        <v>153.4</v>
      </c>
      <c r="T257">
        <v>147.6</v>
      </c>
      <c r="U257">
        <f t="shared" si="7"/>
        <v>150.5</v>
      </c>
      <c r="V257">
        <v>152.5</v>
      </c>
      <c r="W257" t="s">
        <v>32</v>
      </c>
      <c r="X257">
        <v>153.4</v>
      </c>
      <c r="Y257">
        <v>151.5</v>
      </c>
      <c r="Z257">
        <v>156.69999999999999</v>
      </c>
      <c r="AA257">
        <v>135.80000000000001</v>
      </c>
      <c r="AB257">
        <v>151.19999999999999</v>
      </c>
      <c r="AC257">
        <v>161.19999999999999</v>
      </c>
      <c r="AD257">
        <v>145.1</v>
      </c>
      <c r="AE257">
        <v>148.6</v>
      </c>
      <c r="AF257">
        <v>149.80000000000001</v>
      </c>
    </row>
    <row r="258" spans="1:32">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f t="shared" si="6"/>
        <v>145.70000000000002</v>
      </c>
      <c r="Q258">
        <v>150.1</v>
      </c>
      <c r="R258">
        <v>173.3</v>
      </c>
      <c r="S258">
        <v>147.69999999999999</v>
      </c>
      <c r="T258">
        <v>133.80000000000001</v>
      </c>
      <c r="U258">
        <f t="shared" si="7"/>
        <v>140.75</v>
      </c>
      <c r="V258">
        <v>145.6</v>
      </c>
      <c r="W258">
        <v>154.5</v>
      </c>
      <c r="X258">
        <v>141.4</v>
      </c>
      <c r="Y258">
        <v>140.80000000000001</v>
      </c>
      <c r="Z258">
        <v>145</v>
      </c>
      <c r="AA258">
        <v>124.6</v>
      </c>
      <c r="AB258">
        <v>137.9</v>
      </c>
      <c r="AC258">
        <v>152.5</v>
      </c>
      <c r="AD258">
        <v>145.30000000000001</v>
      </c>
      <c r="AE258">
        <v>138.69999999999999</v>
      </c>
      <c r="AF258">
        <v>147.30000000000001</v>
      </c>
    </row>
    <row r="259" spans="1:32">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f t="shared" ref="P259:P322" si="8">AVERAGE(D259:O259)</f>
        <v>145.54166666666666</v>
      </c>
      <c r="Q259">
        <v>148.9</v>
      </c>
      <c r="R259">
        <v>171.2</v>
      </c>
      <c r="S259">
        <v>151.19999999999999</v>
      </c>
      <c r="T259">
        <v>141.9</v>
      </c>
      <c r="U259">
        <f t="shared" ref="U259:U322" si="9">AVERAGE(S259,T259)</f>
        <v>146.55000000000001</v>
      </c>
      <c r="V259">
        <v>149.80000000000001</v>
      </c>
      <c r="W259">
        <v>154.5</v>
      </c>
      <c r="X259">
        <v>148.9</v>
      </c>
      <c r="Y259">
        <v>146.4</v>
      </c>
      <c r="Z259">
        <v>152.30000000000001</v>
      </c>
      <c r="AA259">
        <v>129.9</v>
      </c>
      <c r="AB259">
        <v>143.69999999999999</v>
      </c>
      <c r="AC259">
        <v>156.1</v>
      </c>
      <c r="AD259">
        <v>145.19999999999999</v>
      </c>
      <c r="AE259">
        <v>143.80000000000001</v>
      </c>
      <c r="AF259">
        <v>148.6</v>
      </c>
    </row>
    <row r="260" spans="1:32">
      <c r="A260" t="s">
        <v>30</v>
      </c>
      <c r="B260">
        <v>2020</v>
      </c>
      <c r="C260" t="s">
        <v>37</v>
      </c>
      <c r="D260">
        <v>147.19999999999999</v>
      </c>
      <c r="E260">
        <v>167.15</v>
      </c>
      <c r="F260">
        <v>146.9</v>
      </c>
      <c r="G260">
        <v>155.6</v>
      </c>
      <c r="H260">
        <v>137.1</v>
      </c>
      <c r="I260">
        <v>147.30000000000001</v>
      </c>
      <c r="J260">
        <v>162.69999999999999</v>
      </c>
      <c r="K260">
        <v>150.19999999999999</v>
      </c>
      <c r="L260">
        <v>119.8</v>
      </c>
      <c r="M260">
        <v>158.69999999999999</v>
      </c>
      <c r="N260">
        <v>139.19999999999999</v>
      </c>
      <c r="O260">
        <v>159.6</v>
      </c>
      <c r="P260">
        <f t="shared" si="8"/>
        <v>149.28749999999999</v>
      </c>
      <c r="Q260">
        <v>150.1</v>
      </c>
      <c r="R260">
        <v>169.95</v>
      </c>
      <c r="S260">
        <v>153.19999999999999</v>
      </c>
      <c r="T260">
        <v>147.55000000000001</v>
      </c>
      <c r="U260">
        <f t="shared" si="9"/>
        <v>150.375</v>
      </c>
      <c r="V260">
        <v>152</v>
      </c>
      <c r="W260" t="s">
        <v>32</v>
      </c>
      <c r="X260">
        <v>148.4</v>
      </c>
      <c r="Y260">
        <v>151.6</v>
      </c>
      <c r="Z260">
        <v>154.30000000000001</v>
      </c>
      <c r="AA260">
        <v>135.9</v>
      </c>
      <c r="AB260">
        <v>150.80000000000001</v>
      </c>
      <c r="AC260">
        <v>161.55000000000001</v>
      </c>
      <c r="AD260">
        <v>144.25</v>
      </c>
      <c r="AE260">
        <v>148.5</v>
      </c>
      <c r="AF260">
        <v>150.10000000000002</v>
      </c>
    </row>
    <row r="261" spans="1:32">
      <c r="A261" t="s">
        <v>33</v>
      </c>
      <c r="B261">
        <v>2020</v>
      </c>
      <c r="C261" t="s">
        <v>37</v>
      </c>
      <c r="D261">
        <v>151.80000000000001</v>
      </c>
      <c r="E261">
        <v>167.55</v>
      </c>
      <c r="F261">
        <v>151.9</v>
      </c>
      <c r="G261">
        <v>155.5</v>
      </c>
      <c r="H261">
        <v>131.6</v>
      </c>
      <c r="I261">
        <v>152.9</v>
      </c>
      <c r="J261">
        <v>180</v>
      </c>
      <c r="K261">
        <v>150.80000000000001</v>
      </c>
      <c r="L261">
        <v>121.2</v>
      </c>
      <c r="M261">
        <v>154</v>
      </c>
      <c r="N261">
        <v>133.5</v>
      </c>
      <c r="O261">
        <v>159.05000000000001</v>
      </c>
      <c r="P261">
        <f t="shared" si="8"/>
        <v>150.81666666666666</v>
      </c>
      <c r="Q261">
        <v>153.5</v>
      </c>
      <c r="R261">
        <v>172.65</v>
      </c>
      <c r="S261">
        <v>147.5</v>
      </c>
      <c r="T261">
        <v>133.65</v>
      </c>
      <c r="U261">
        <f t="shared" si="9"/>
        <v>140.57499999999999</v>
      </c>
      <c r="V261">
        <v>145.4</v>
      </c>
      <c r="W261">
        <v>155.6</v>
      </c>
      <c r="X261">
        <v>137.1</v>
      </c>
      <c r="Y261">
        <v>140.6</v>
      </c>
      <c r="Z261">
        <v>144.80000000000001</v>
      </c>
      <c r="AA261">
        <v>124.9</v>
      </c>
      <c r="AB261">
        <v>137.80000000000001</v>
      </c>
      <c r="AC261">
        <v>152.35</v>
      </c>
      <c r="AD261">
        <v>144.4</v>
      </c>
      <c r="AE261">
        <v>138.55000000000001</v>
      </c>
      <c r="AF261">
        <v>147.5</v>
      </c>
    </row>
    <row r="262" spans="1:32">
      <c r="A262" t="s">
        <v>34</v>
      </c>
      <c r="B262">
        <v>2020</v>
      </c>
      <c r="C262" t="s">
        <v>37</v>
      </c>
      <c r="D262">
        <v>148.69999999999999</v>
      </c>
      <c r="E262">
        <v>167.3</v>
      </c>
      <c r="F262">
        <v>148.80000000000001</v>
      </c>
      <c r="G262">
        <v>155.6</v>
      </c>
      <c r="H262">
        <v>135.1</v>
      </c>
      <c r="I262">
        <v>149.9</v>
      </c>
      <c r="J262">
        <v>168.6</v>
      </c>
      <c r="K262">
        <v>150.4</v>
      </c>
      <c r="L262">
        <v>120.3</v>
      </c>
      <c r="M262">
        <v>157.1</v>
      </c>
      <c r="N262">
        <v>136.80000000000001</v>
      </c>
      <c r="O262">
        <v>159.35</v>
      </c>
      <c r="P262">
        <f t="shared" si="8"/>
        <v>149.82916666666665</v>
      </c>
      <c r="Q262">
        <v>151.4</v>
      </c>
      <c r="R262">
        <v>170.65</v>
      </c>
      <c r="S262">
        <v>151</v>
      </c>
      <c r="T262">
        <v>141.80000000000001</v>
      </c>
      <c r="U262">
        <f t="shared" si="9"/>
        <v>146.4</v>
      </c>
      <c r="V262">
        <v>149.65</v>
      </c>
      <c r="W262">
        <v>155.6</v>
      </c>
      <c r="X262">
        <v>144.1</v>
      </c>
      <c r="Y262">
        <v>146.4</v>
      </c>
      <c r="Z262">
        <v>150.69999999999999</v>
      </c>
      <c r="AA262">
        <v>130.1</v>
      </c>
      <c r="AB262">
        <v>143.44999999999999</v>
      </c>
      <c r="AC262">
        <v>156.15</v>
      </c>
      <c r="AD262">
        <v>144.30000000000001</v>
      </c>
      <c r="AE262">
        <v>143.69999999999999</v>
      </c>
      <c r="AF262">
        <v>148.85</v>
      </c>
    </row>
    <row r="263" spans="1:32">
      <c r="A263" t="s">
        <v>30</v>
      </c>
      <c r="B263">
        <v>2020</v>
      </c>
      <c r="C263" t="s">
        <v>38</v>
      </c>
      <c r="D263">
        <v>145.80000000000001</v>
      </c>
      <c r="E263">
        <v>166.8</v>
      </c>
      <c r="F263">
        <v>147.25</v>
      </c>
      <c r="G263">
        <v>153.64999999999998</v>
      </c>
      <c r="H263">
        <v>135.19999999999999</v>
      </c>
      <c r="I263">
        <v>144.55000000000001</v>
      </c>
      <c r="J263">
        <v>157.5</v>
      </c>
      <c r="K263">
        <v>146</v>
      </c>
      <c r="L263">
        <v>116.19999999999999</v>
      </c>
      <c r="M263">
        <v>156.35</v>
      </c>
      <c r="N263">
        <v>139.64999999999998</v>
      </c>
      <c r="O263">
        <v>160</v>
      </c>
      <c r="P263">
        <f t="shared" si="8"/>
        <v>147.41249999999999</v>
      </c>
      <c r="Q263">
        <v>149.14999999999998</v>
      </c>
      <c r="R263">
        <v>170.5</v>
      </c>
      <c r="S263">
        <v>153.4</v>
      </c>
      <c r="T263">
        <v>147.6</v>
      </c>
      <c r="U263">
        <f t="shared" si="9"/>
        <v>150.5</v>
      </c>
      <c r="V263">
        <v>152.5</v>
      </c>
      <c r="W263" t="s">
        <v>32</v>
      </c>
      <c r="X263">
        <v>150.9</v>
      </c>
      <c r="Y263">
        <v>151.5</v>
      </c>
      <c r="Z263">
        <v>155.5</v>
      </c>
      <c r="AA263">
        <v>135.80000000000001</v>
      </c>
      <c r="AB263">
        <v>151.19999999999999</v>
      </c>
      <c r="AC263">
        <v>161.19999999999999</v>
      </c>
      <c r="AD263">
        <v>145.1</v>
      </c>
      <c r="AE263">
        <v>148.6</v>
      </c>
      <c r="AF263">
        <v>149.80000000000001</v>
      </c>
    </row>
    <row r="264" spans="1:32">
      <c r="A264" t="s">
        <v>33</v>
      </c>
      <c r="B264">
        <v>2020</v>
      </c>
      <c r="C264" t="s">
        <v>38</v>
      </c>
      <c r="D264">
        <v>149.15</v>
      </c>
      <c r="E264">
        <v>167.5</v>
      </c>
      <c r="F264">
        <v>150.4</v>
      </c>
      <c r="G264">
        <v>153.30000000000001</v>
      </c>
      <c r="H264">
        <v>129.55000000000001</v>
      </c>
      <c r="I264">
        <v>148.10000000000002</v>
      </c>
      <c r="J264">
        <v>173.5</v>
      </c>
      <c r="K264">
        <v>145.25</v>
      </c>
      <c r="L264">
        <v>117.80000000000001</v>
      </c>
      <c r="M264">
        <v>152.75</v>
      </c>
      <c r="N264">
        <v>132.69999999999999</v>
      </c>
      <c r="O264">
        <v>159.1</v>
      </c>
      <c r="P264">
        <f t="shared" si="8"/>
        <v>148.25833333333333</v>
      </c>
      <c r="Q264">
        <v>151.80000000000001</v>
      </c>
      <c r="R264">
        <v>173.3</v>
      </c>
      <c r="S264">
        <v>147.69999999999999</v>
      </c>
      <c r="T264">
        <v>133.80000000000001</v>
      </c>
      <c r="U264">
        <f t="shared" si="9"/>
        <v>140.75</v>
      </c>
      <c r="V264">
        <v>145.6</v>
      </c>
      <c r="W264">
        <v>155.05000000000001</v>
      </c>
      <c r="X264">
        <v>139.25</v>
      </c>
      <c r="Y264">
        <v>140.80000000000001</v>
      </c>
      <c r="Z264">
        <v>144.9</v>
      </c>
      <c r="AA264">
        <v>124.6</v>
      </c>
      <c r="AB264">
        <v>137.9</v>
      </c>
      <c r="AC264">
        <v>152.5</v>
      </c>
      <c r="AD264">
        <v>145.30000000000001</v>
      </c>
      <c r="AE264">
        <v>138.69999999999999</v>
      </c>
      <c r="AF264">
        <v>147.30000000000001</v>
      </c>
    </row>
    <row r="265" spans="1:32">
      <c r="A265" t="s">
        <v>34</v>
      </c>
      <c r="B265">
        <v>2020</v>
      </c>
      <c r="C265" t="s">
        <v>38</v>
      </c>
      <c r="D265">
        <v>146.89999999999998</v>
      </c>
      <c r="E265">
        <v>167</v>
      </c>
      <c r="F265">
        <v>148.44999999999999</v>
      </c>
      <c r="G265">
        <v>153.55000000000001</v>
      </c>
      <c r="H265">
        <v>133.14999999999998</v>
      </c>
      <c r="I265">
        <v>146.19999999999999</v>
      </c>
      <c r="J265">
        <v>162.94999999999999</v>
      </c>
      <c r="K265">
        <v>145.75</v>
      </c>
      <c r="L265">
        <v>116.75</v>
      </c>
      <c r="M265">
        <v>155.14999999999998</v>
      </c>
      <c r="N265">
        <v>136.75</v>
      </c>
      <c r="O265">
        <v>159.6</v>
      </c>
      <c r="P265">
        <f t="shared" si="8"/>
        <v>147.68333333333331</v>
      </c>
      <c r="Q265">
        <v>150.15</v>
      </c>
      <c r="R265">
        <v>171.2</v>
      </c>
      <c r="S265">
        <v>151.19999999999999</v>
      </c>
      <c r="T265">
        <v>141.9</v>
      </c>
      <c r="U265">
        <f t="shared" si="9"/>
        <v>146.55000000000001</v>
      </c>
      <c r="V265">
        <v>149.80000000000001</v>
      </c>
      <c r="W265">
        <v>155.05000000000001</v>
      </c>
      <c r="X265">
        <v>146.5</v>
      </c>
      <c r="Y265">
        <v>146.4</v>
      </c>
      <c r="Z265">
        <v>151.5</v>
      </c>
      <c r="AA265">
        <v>129.9</v>
      </c>
      <c r="AB265">
        <v>143.69999999999999</v>
      </c>
      <c r="AC265">
        <v>156.1</v>
      </c>
      <c r="AD265">
        <v>145.19999999999999</v>
      </c>
      <c r="AE265">
        <v>143.80000000000001</v>
      </c>
      <c r="AF265">
        <v>148.6</v>
      </c>
    </row>
    <row r="266" spans="1:32">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f t="shared" si="8"/>
        <v>149.89166666666668</v>
      </c>
      <c r="Q266">
        <v>152.30000000000001</v>
      </c>
      <c r="R266">
        <v>182.4</v>
      </c>
      <c r="S266">
        <v>154.69999999999999</v>
      </c>
      <c r="T266">
        <v>150</v>
      </c>
      <c r="U266">
        <f t="shared" si="9"/>
        <v>152.35</v>
      </c>
      <c r="V266">
        <v>154.1</v>
      </c>
      <c r="W266" t="s">
        <v>32</v>
      </c>
      <c r="X266">
        <v>144.9</v>
      </c>
      <c r="Y266">
        <v>151.69999999999999</v>
      </c>
      <c r="Z266">
        <v>158.19999999999999</v>
      </c>
      <c r="AA266">
        <v>141.4</v>
      </c>
      <c r="AB266">
        <v>153.19999999999999</v>
      </c>
      <c r="AC266">
        <v>161.80000000000001</v>
      </c>
      <c r="AD266">
        <v>151.19999999999999</v>
      </c>
      <c r="AE266">
        <v>151.69999999999999</v>
      </c>
      <c r="AF266">
        <v>152.69999999999999</v>
      </c>
    </row>
    <row r="267" spans="1:32">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f t="shared" si="8"/>
        <v>153.16666666666666</v>
      </c>
      <c r="Q267">
        <v>157</v>
      </c>
      <c r="R267">
        <v>186.7</v>
      </c>
      <c r="S267">
        <v>149.1</v>
      </c>
      <c r="T267">
        <v>136.6</v>
      </c>
      <c r="U267">
        <f t="shared" si="9"/>
        <v>142.85</v>
      </c>
      <c r="V267">
        <v>147.19999999999999</v>
      </c>
      <c r="W267">
        <v>154.69999999999999</v>
      </c>
      <c r="X267">
        <v>137.1</v>
      </c>
      <c r="Y267">
        <v>140.4</v>
      </c>
      <c r="Z267">
        <v>148.1</v>
      </c>
      <c r="AA267">
        <v>129.30000000000001</v>
      </c>
      <c r="AB267">
        <v>144.5</v>
      </c>
      <c r="AC267">
        <v>152.5</v>
      </c>
      <c r="AD267">
        <v>152.19999999999999</v>
      </c>
      <c r="AE267">
        <v>142</v>
      </c>
      <c r="AF267">
        <v>150.80000000000001</v>
      </c>
    </row>
    <row r="268" spans="1:32">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f t="shared" si="8"/>
        <v>151.06666666666669</v>
      </c>
      <c r="Q268">
        <v>154</v>
      </c>
      <c r="R268">
        <v>183.5</v>
      </c>
      <c r="S268">
        <v>152.5</v>
      </c>
      <c r="T268">
        <v>144.4</v>
      </c>
      <c r="U268">
        <f t="shared" si="9"/>
        <v>148.44999999999999</v>
      </c>
      <c r="V268">
        <v>151.4</v>
      </c>
      <c r="W268">
        <v>154.69999999999999</v>
      </c>
      <c r="X268">
        <v>141.9</v>
      </c>
      <c r="Y268">
        <v>146.4</v>
      </c>
      <c r="Z268">
        <v>154.4</v>
      </c>
      <c r="AA268">
        <v>135</v>
      </c>
      <c r="AB268">
        <v>148.30000000000001</v>
      </c>
      <c r="AC268">
        <v>156.4</v>
      </c>
      <c r="AD268">
        <v>151.6</v>
      </c>
      <c r="AE268">
        <v>147</v>
      </c>
      <c r="AF268">
        <v>151.80000000000001</v>
      </c>
    </row>
    <row r="269" spans="1:32">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f t="shared" si="8"/>
        <v>149.89166666666668</v>
      </c>
      <c r="Q269">
        <v>152.30000000000001</v>
      </c>
      <c r="R269">
        <v>182.4</v>
      </c>
      <c r="S269">
        <v>154.69999999999999</v>
      </c>
      <c r="T269">
        <v>150</v>
      </c>
      <c r="U269">
        <f t="shared" si="9"/>
        <v>152.35</v>
      </c>
      <c r="V269">
        <v>154.1</v>
      </c>
      <c r="W269" t="s">
        <v>32</v>
      </c>
      <c r="X269">
        <v>144.9</v>
      </c>
      <c r="Y269">
        <v>151.69999999999999</v>
      </c>
      <c r="Z269">
        <v>158.19999999999999</v>
      </c>
      <c r="AA269">
        <v>141.4</v>
      </c>
      <c r="AB269">
        <v>153.19999999999999</v>
      </c>
      <c r="AC269">
        <v>161.80000000000001</v>
      </c>
      <c r="AD269">
        <v>151.19999999999999</v>
      </c>
      <c r="AE269">
        <v>151.69999999999999</v>
      </c>
      <c r="AF269">
        <v>152.69999999999999</v>
      </c>
    </row>
    <row r="270" spans="1:32">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f t="shared" si="8"/>
        <v>153.16666666666666</v>
      </c>
      <c r="Q270">
        <v>157</v>
      </c>
      <c r="R270">
        <v>186.7</v>
      </c>
      <c r="S270">
        <v>149.1</v>
      </c>
      <c r="T270">
        <v>136.6</v>
      </c>
      <c r="U270">
        <f t="shared" si="9"/>
        <v>142.85</v>
      </c>
      <c r="V270">
        <v>147.19999999999999</v>
      </c>
      <c r="W270">
        <v>154.69999999999999</v>
      </c>
      <c r="X270">
        <v>137.1</v>
      </c>
      <c r="Y270">
        <v>140.4</v>
      </c>
      <c r="Z270">
        <v>148.1</v>
      </c>
      <c r="AA270">
        <v>129.30000000000001</v>
      </c>
      <c r="AB270">
        <v>144.5</v>
      </c>
      <c r="AC270">
        <v>152.5</v>
      </c>
      <c r="AD270">
        <v>152.19999999999999</v>
      </c>
      <c r="AE270">
        <v>142</v>
      </c>
      <c r="AF270">
        <v>150.80000000000001</v>
      </c>
    </row>
    <row r="271" spans="1:32">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f t="shared" si="8"/>
        <v>151.06666666666669</v>
      </c>
      <c r="Q271">
        <v>154</v>
      </c>
      <c r="R271">
        <v>183.5</v>
      </c>
      <c r="S271">
        <v>152.5</v>
      </c>
      <c r="T271">
        <v>144.4</v>
      </c>
      <c r="U271">
        <f t="shared" si="9"/>
        <v>148.44999999999999</v>
      </c>
      <c r="V271">
        <v>151.4</v>
      </c>
      <c r="W271">
        <v>154.69999999999999</v>
      </c>
      <c r="X271">
        <v>141.9</v>
      </c>
      <c r="Y271">
        <v>146.4</v>
      </c>
      <c r="Z271">
        <v>154.4</v>
      </c>
      <c r="AA271">
        <v>135</v>
      </c>
      <c r="AB271">
        <v>148.30000000000001</v>
      </c>
      <c r="AC271">
        <v>156.4</v>
      </c>
      <c r="AD271">
        <v>151.6</v>
      </c>
      <c r="AE271">
        <v>147</v>
      </c>
      <c r="AF271">
        <v>151.80000000000001</v>
      </c>
    </row>
    <row r="272" spans="1:32">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f t="shared" si="8"/>
        <v>151.94166666666666</v>
      </c>
      <c r="Q272">
        <v>155.30000000000001</v>
      </c>
      <c r="R272">
        <v>180.9</v>
      </c>
      <c r="S272">
        <v>155.1</v>
      </c>
      <c r="T272">
        <v>149.30000000000001</v>
      </c>
      <c r="U272">
        <f t="shared" si="9"/>
        <v>152.19999999999999</v>
      </c>
      <c r="V272">
        <v>154.30000000000001</v>
      </c>
      <c r="W272" t="s">
        <v>32</v>
      </c>
      <c r="X272">
        <v>145.80000000000001</v>
      </c>
      <c r="Y272">
        <v>151.9</v>
      </c>
      <c r="Z272">
        <v>158.80000000000001</v>
      </c>
      <c r="AA272">
        <v>143.6</v>
      </c>
      <c r="AB272">
        <v>152.19999999999999</v>
      </c>
      <c r="AC272">
        <v>162.69999999999999</v>
      </c>
      <c r="AD272">
        <v>153.6</v>
      </c>
      <c r="AE272">
        <v>153</v>
      </c>
      <c r="AF272">
        <v>154.69999999999999</v>
      </c>
    </row>
    <row r="273" spans="1:32">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f t="shared" si="8"/>
        <v>155.41666666666666</v>
      </c>
      <c r="Q273">
        <v>159.9</v>
      </c>
      <c r="R273">
        <v>187.2</v>
      </c>
      <c r="S273">
        <v>150</v>
      </c>
      <c r="T273">
        <v>135.19999999999999</v>
      </c>
      <c r="U273">
        <f t="shared" si="9"/>
        <v>142.6</v>
      </c>
      <c r="V273">
        <v>147.80000000000001</v>
      </c>
      <c r="W273">
        <v>155.5</v>
      </c>
      <c r="X273">
        <v>138.30000000000001</v>
      </c>
      <c r="Y273">
        <v>144.5</v>
      </c>
      <c r="Z273">
        <v>148.69999999999999</v>
      </c>
      <c r="AA273">
        <v>133.9</v>
      </c>
      <c r="AB273">
        <v>141.19999999999999</v>
      </c>
      <c r="AC273">
        <v>155.5</v>
      </c>
      <c r="AD273">
        <v>155.19999999999999</v>
      </c>
      <c r="AE273">
        <v>144.80000000000001</v>
      </c>
      <c r="AF273">
        <v>152.9</v>
      </c>
    </row>
    <row r="274" spans="1:32">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f t="shared" si="8"/>
        <v>153.18333333333331</v>
      </c>
      <c r="Q274">
        <v>157</v>
      </c>
      <c r="R274">
        <v>182.6</v>
      </c>
      <c r="S274">
        <v>153.1</v>
      </c>
      <c r="T274">
        <v>143.4</v>
      </c>
      <c r="U274">
        <f t="shared" si="9"/>
        <v>148.25</v>
      </c>
      <c r="V274">
        <v>151.69999999999999</v>
      </c>
      <c r="W274">
        <v>155.5</v>
      </c>
      <c r="X274">
        <v>143</v>
      </c>
      <c r="Y274">
        <v>148.4</v>
      </c>
      <c r="Z274">
        <v>155</v>
      </c>
      <c r="AA274">
        <v>138.5</v>
      </c>
      <c r="AB274">
        <v>146</v>
      </c>
      <c r="AC274">
        <v>158.5</v>
      </c>
      <c r="AD274">
        <v>154.30000000000001</v>
      </c>
      <c r="AE274">
        <v>149</v>
      </c>
      <c r="AF274">
        <v>153.9</v>
      </c>
    </row>
    <row r="275" spans="1:32">
      <c r="A275" t="s">
        <v>30</v>
      </c>
      <c r="B275">
        <v>2020</v>
      </c>
      <c r="C275" t="s">
        <v>42</v>
      </c>
      <c r="D275">
        <v>146.9</v>
      </c>
      <c r="E275">
        <v>183.9</v>
      </c>
      <c r="F275">
        <v>149.5</v>
      </c>
      <c r="G275">
        <v>153.4</v>
      </c>
      <c r="H275">
        <v>140.4</v>
      </c>
      <c r="I275">
        <v>147</v>
      </c>
      <c r="J275">
        <v>178.8</v>
      </c>
      <c r="K275">
        <v>149.30000000000001</v>
      </c>
      <c r="L275">
        <v>115.1</v>
      </c>
      <c r="M275">
        <v>160</v>
      </c>
      <c r="N275">
        <v>145.4</v>
      </c>
      <c r="O275">
        <v>161.6</v>
      </c>
      <c r="P275">
        <f t="shared" si="8"/>
        <v>152.60833333333332</v>
      </c>
      <c r="Q275">
        <v>156.1</v>
      </c>
      <c r="R275">
        <v>182.9</v>
      </c>
      <c r="S275">
        <v>155.4</v>
      </c>
      <c r="T275">
        <v>149.9</v>
      </c>
      <c r="U275">
        <f t="shared" si="9"/>
        <v>152.65</v>
      </c>
      <c r="V275">
        <v>154.6</v>
      </c>
      <c r="W275" t="s">
        <v>32</v>
      </c>
      <c r="X275">
        <v>146.4</v>
      </c>
      <c r="Y275">
        <v>151.6</v>
      </c>
      <c r="Z275">
        <v>159.1</v>
      </c>
      <c r="AA275">
        <v>144.6</v>
      </c>
      <c r="AB275">
        <v>152.80000000000001</v>
      </c>
      <c r="AC275">
        <v>161.1</v>
      </c>
      <c r="AD275">
        <v>157.4</v>
      </c>
      <c r="AE275">
        <v>153.69999999999999</v>
      </c>
      <c r="AF275">
        <v>155.4</v>
      </c>
    </row>
    <row r="276" spans="1:32">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f t="shared" si="8"/>
        <v>156.69166666666669</v>
      </c>
      <c r="Q276">
        <v>161.30000000000001</v>
      </c>
      <c r="R276">
        <v>188.7</v>
      </c>
      <c r="S276">
        <v>150.19999999999999</v>
      </c>
      <c r="T276">
        <v>136.30000000000001</v>
      </c>
      <c r="U276">
        <f t="shared" si="9"/>
        <v>143.25</v>
      </c>
      <c r="V276">
        <v>148.1</v>
      </c>
      <c r="W276">
        <v>156.30000000000001</v>
      </c>
      <c r="X276">
        <v>137.19999999999999</v>
      </c>
      <c r="Y276">
        <v>145.4</v>
      </c>
      <c r="Z276">
        <v>150</v>
      </c>
      <c r="AA276">
        <v>135.1</v>
      </c>
      <c r="AB276">
        <v>141.80000000000001</v>
      </c>
      <c r="AC276">
        <v>154.9</v>
      </c>
      <c r="AD276">
        <v>159.80000000000001</v>
      </c>
      <c r="AE276">
        <v>146</v>
      </c>
      <c r="AF276">
        <v>154</v>
      </c>
    </row>
    <row r="277" spans="1:32">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f t="shared" si="8"/>
        <v>154.08333333333334</v>
      </c>
      <c r="Q277">
        <v>158</v>
      </c>
      <c r="R277">
        <v>184.4</v>
      </c>
      <c r="S277">
        <v>153.4</v>
      </c>
      <c r="T277">
        <v>144.30000000000001</v>
      </c>
      <c r="U277">
        <f t="shared" si="9"/>
        <v>148.85000000000002</v>
      </c>
      <c r="V277">
        <v>152</v>
      </c>
      <c r="W277">
        <v>156.30000000000001</v>
      </c>
      <c r="X277">
        <v>142.9</v>
      </c>
      <c r="Y277">
        <v>148.69999999999999</v>
      </c>
      <c r="Z277">
        <v>155.6</v>
      </c>
      <c r="AA277">
        <v>139.6</v>
      </c>
      <c r="AB277">
        <v>146.6</v>
      </c>
      <c r="AC277">
        <v>157.5</v>
      </c>
      <c r="AD277">
        <v>158.4</v>
      </c>
      <c r="AE277">
        <v>150</v>
      </c>
      <c r="AF277">
        <v>154.69999999999999</v>
      </c>
    </row>
    <row r="278" spans="1:32">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f t="shared" si="8"/>
        <v>155.94166666666669</v>
      </c>
      <c r="Q278">
        <v>159.6</v>
      </c>
      <c r="R278">
        <v>182.7</v>
      </c>
      <c r="S278">
        <v>155.69999999999999</v>
      </c>
      <c r="T278">
        <v>150.6</v>
      </c>
      <c r="U278">
        <f t="shared" si="9"/>
        <v>153.14999999999998</v>
      </c>
      <c r="V278">
        <v>155</v>
      </c>
      <c r="W278" t="s">
        <v>32</v>
      </c>
      <c r="X278">
        <v>146.80000000000001</v>
      </c>
      <c r="Y278">
        <v>152</v>
      </c>
      <c r="Z278">
        <v>159.5</v>
      </c>
      <c r="AA278">
        <v>146.4</v>
      </c>
      <c r="AB278">
        <v>152.4</v>
      </c>
      <c r="AC278">
        <v>162.5</v>
      </c>
      <c r="AD278">
        <v>156.19999999999999</v>
      </c>
      <c r="AE278">
        <v>154.30000000000001</v>
      </c>
      <c r="AF278">
        <v>157.5</v>
      </c>
    </row>
    <row r="279" spans="1:32">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f t="shared" si="8"/>
        <v>159.65</v>
      </c>
      <c r="Q279">
        <v>164.4</v>
      </c>
      <c r="R279">
        <v>188.7</v>
      </c>
      <c r="S279">
        <v>150.5</v>
      </c>
      <c r="T279">
        <v>136.1</v>
      </c>
      <c r="U279">
        <f t="shared" si="9"/>
        <v>143.30000000000001</v>
      </c>
      <c r="V279">
        <v>148.30000000000001</v>
      </c>
      <c r="W279">
        <v>156.5</v>
      </c>
      <c r="X279">
        <v>137.1</v>
      </c>
      <c r="Y279">
        <v>145.1</v>
      </c>
      <c r="Z279">
        <v>151</v>
      </c>
      <c r="AA279">
        <v>135.4</v>
      </c>
      <c r="AB279">
        <v>142</v>
      </c>
      <c r="AC279">
        <v>155.69999999999999</v>
      </c>
      <c r="AD279">
        <v>158.1</v>
      </c>
      <c r="AE279">
        <v>146.19999999999999</v>
      </c>
      <c r="AF279">
        <v>155.19999999999999</v>
      </c>
    </row>
    <row r="280" spans="1:32">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f t="shared" si="8"/>
        <v>157.26666666666668</v>
      </c>
      <c r="Q280">
        <v>161.4</v>
      </c>
      <c r="R280">
        <v>184.3</v>
      </c>
      <c r="S280">
        <v>153.69999999999999</v>
      </c>
      <c r="T280">
        <v>144.6</v>
      </c>
      <c r="U280">
        <f t="shared" si="9"/>
        <v>149.14999999999998</v>
      </c>
      <c r="V280">
        <v>152.30000000000001</v>
      </c>
      <c r="W280">
        <v>156.5</v>
      </c>
      <c r="X280">
        <v>143.1</v>
      </c>
      <c r="Y280">
        <v>148.69999999999999</v>
      </c>
      <c r="Z280">
        <v>156.30000000000001</v>
      </c>
      <c r="AA280">
        <v>140.6</v>
      </c>
      <c r="AB280">
        <v>146.5</v>
      </c>
      <c r="AC280">
        <v>158.5</v>
      </c>
      <c r="AD280">
        <v>157</v>
      </c>
      <c r="AE280">
        <v>150.4</v>
      </c>
      <c r="AF280">
        <v>156.4</v>
      </c>
    </row>
    <row r="281" spans="1:32">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f t="shared" si="8"/>
        <v>159.91666666666669</v>
      </c>
      <c r="Q281">
        <v>163.4</v>
      </c>
      <c r="R281">
        <v>183.4</v>
      </c>
      <c r="S281">
        <v>156.30000000000001</v>
      </c>
      <c r="T281">
        <v>151</v>
      </c>
      <c r="U281">
        <f t="shared" si="9"/>
        <v>153.65</v>
      </c>
      <c r="V281">
        <v>155.5</v>
      </c>
      <c r="W281" t="s">
        <v>32</v>
      </c>
      <c r="X281">
        <v>147.5</v>
      </c>
      <c r="Y281">
        <v>152.80000000000001</v>
      </c>
      <c r="Z281">
        <v>160.4</v>
      </c>
      <c r="AA281">
        <v>146.1</v>
      </c>
      <c r="AB281">
        <v>153.6</v>
      </c>
      <c r="AC281">
        <v>161.6</v>
      </c>
      <c r="AD281">
        <v>156.19999999999999</v>
      </c>
      <c r="AE281">
        <v>154.5</v>
      </c>
      <c r="AF281">
        <v>159.80000000000001</v>
      </c>
    </row>
    <row r="282" spans="1:32">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f t="shared" si="8"/>
        <v>162.80833333333334</v>
      </c>
      <c r="Q282">
        <v>167</v>
      </c>
      <c r="R282">
        <v>188.8</v>
      </c>
      <c r="S282">
        <v>151.1</v>
      </c>
      <c r="T282">
        <v>136.4</v>
      </c>
      <c r="U282">
        <f t="shared" si="9"/>
        <v>143.75</v>
      </c>
      <c r="V282">
        <v>148.80000000000001</v>
      </c>
      <c r="W282">
        <v>158</v>
      </c>
      <c r="X282">
        <v>137.30000000000001</v>
      </c>
      <c r="Y282">
        <v>145.1</v>
      </c>
      <c r="Z282">
        <v>152</v>
      </c>
      <c r="AA282">
        <v>135.19999999999999</v>
      </c>
      <c r="AB282">
        <v>144.4</v>
      </c>
      <c r="AC282">
        <v>156.4</v>
      </c>
      <c r="AD282">
        <v>157.9</v>
      </c>
      <c r="AE282">
        <v>146.6</v>
      </c>
      <c r="AF282">
        <v>156.69999999999999</v>
      </c>
    </row>
    <row r="283" spans="1:32">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f t="shared" si="8"/>
        <v>160.90833333333333</v>
      </c>
      <c r="Q283">
        <v>164.7</v>
      </c>
      <c r="R283">
        <v>184.8</v>
      </c>
      <c r="S283">
        <v>154.30000000000001</v>
      </c>
      <c r="T283">
        <v>144.9</v>
      </c>
      <c r="U283">
        <f t="shared" si="9"/>
        <v>149.60000000000002</v>
      </c>
      <c r="V283">
        <v>152.80000000000001</v>
      </c>
      <c r="W283">
        <v>158</v>
      </c>
      <c r="X283">
        <v>143.6</v>
      </c>
      <c r="Y283">
        <v>149.19999999999999</v>
      </c>
      <c r="Z283">
        <v>157.19999999999999</v>
      </c>
      <c r="AA283">
        <v>140.4</v>
      </c>
      <c r="AB283">
        <v>148.4</v>
      </c>
      <c r="AC283">
        <v>158.6</v>
      </c>
      <c r="AD283">
        <v>156.9</v>
      </c>
      <c r="AE283">
        <v>150.69999999999999</v>
      </c>
      <c r="AF283">
        <v>158.4</v>
      </c>
    </row>
    <row r="284" spans="1:32">
      <c r="A284" t="s">
        <v>30</v>
      </c>
      <c r="B284">
        <v>2020</v>
      </c>
      <c r="C284" t="s">
        <v>46</v>
      </c>
      <c r="D284">
        <v>144.6</v>
      </c>
      <c r="E284">
        <v>188.5</v>
      </c>
      <c r="F284">
        <v>173.4</v>
      </c>
      <c r="G284">
        <v>154</v>
      </c>
      <c r="H284">
        <v>150</v>
      </c>
      <c r="I284">
        <v>145.9</v>
      </c>
      <c r="J284">
        <v>225.2</v>
      </c>
      <c r="K284">
        <v>159.5</v>
      </c>
      <c r="L284">
        <v>114.4</v>
      </c>
      <c r="M284">
        <v>163.5</v>
      </c>
      <c r="N284">
        <v>153.4</v>
      </c>
      <c r="O284">
        <v>163.6</v>
      </c>
      <c r="P284">
        <f t="shared" si="8"/>
        <v>161.33333333333334</v>
      </c>
      <c r="Q284">
        <v>164.5</v>
      </c>
      <c r="R284">
        <v>183.6</v>
      </c>
      <c r="S284">
        <v>157</v>
      </c>
      <c r="T284">
        <v>151.6</v>
      </c>
      <c r="U284">
        <f t="shared" si="9"/>
        <v>154.30000000000001</v>
      </c>
      <c r="V284">
        <v>156.30000000000001</v>
      </c>
      <c r="W284" t="s">
        <v>32</v>
      </c>
      <c r="X284">
        <v>148.69999999999999</v>
      </c>
      <c r="Y284">
        <v>153.4</v>
      </c>
      <c r="Z284">
        <v>161.6</v>
      </c>
      <c r="AA284">
        <v>146.4</v>
      </c>
      <c r="AB284">
        <v>153.9</v>
      </c>
      <c r="AC284">
        <v>162.9</v>
      </c>
      <c r="AD284">
        <v>156.6</v>
      </c>
      <c r="AE284">
        <v>155.19999999999999</v>
      </c>
      <c r="AF284">
        <v>160.69999999999999</v>
      </c>
    </row>
    <row r="285" spans="1:32">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f t="shared" si="8"/>
        <v>163.20000000000002</v>
      </c>
      <c r="Q285">
        <v>167</v>
      </c>
      <c r="R285">
        <v>190.2</v>
      </c>
      <c r="S285">
        <v>151.9</v>
      </c>
      <c r="T285">
        <v>136.69999999999999</v>
      </c>
      <c r="U285">
        <f t="shared" si="9"/>
        <v>144.30000000000001</v>
      </c>
      <c r="V285">
        <v>149.6</v>
      </c>
      <c r="W285">
        <v>158.4</v>
      </c>
      <c r="X285">
        <v>137.9</v>
      </c>
      <c r="Y285">
        <v>145.5</v>
      </c>
      <c r="Z285">
        <v>152.9</v>
      </c>
      <c r="AA285">
        <v>135.5</v>
      </c>
      <c r="AB285">
        <v>144.30000000000001</v>
      </c>
      <c r="AC285">
        <v>156.9</v>
      </c>
      <c r="AD285">
        <v>157.9</v>
      </c>
      <c r="AE285">
        <v>146.9</v>
      </c>
      <c r="AF285">
        <v>156.9</v>
      </c>
    </row>
    <row r="286" spans="1:32">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f t="shared" si="8"/>
        <v>161.97499999999999</v>
      </c>
      <c r="Q286">
        <v>165.4</v>
      </c>
      <c r="R286">
        <v>185.4</v>
      </c>
      <c r="S286">
        <v>155</v>
      </c>
      <c r="T286">
        <v>145.4</v>
      </c>
      <c r="U286">
        <f t="shared" si="9"/>
        <v>150.19999999999999</v>
      </c>
      <c r="V286">
        <v>153.6</v>
      </c>
      <c r="W286">
        <v>158.4</v>
      </c>
      <c r="X286">
        <v>144.6</v>
      </c>
      <c r="Y286">
        <v>149.69999999999999</v>
      </c>
      <c r="Z286">
        <v>158.30000000000001</v>
      </c>
      <c r="AA286">
        <v>140.69999999999999</v>
      </c>
      <c r="AB286">
        <v>148.5</v>
      </c>
      <c r="AC286">
        <v>159.4</v>
      </c>
      <c r="AD286">
        <v>157.1</v>
      </c>
      <c r="AE286">
        <v>151.19999999999999</v>
      </c>
      <c r="AF286">
        <v>158.9</v>
      </c>
    </row>
    <row r="287" spans="1:32">
      <c r="A287" t="s">
        <v>30</v>
      </c>
      <c r="B287">
        <v>2021</v>
      </c>
      <c r="C287" t="s">
        <v>31</v>
      </c>
      <c r="D287">
        <v>143.4</v>
      </c>
      <c r="E287">
        <v>187.5</v>
      </c>
      <c r="F287">
        <v>173.4</v>
      </c>
      <c r="G287">
        <v>154</v>
      </c>
      <c r="H287">
        <v>154.80000000000001</v>
      </c>
      <c r="I287">
        <v>147</v>
      </c>
      <c r="J287">
        <v>187.8</v>
      </c>
      <c r="K287">
        <v>159.5</v>
      </c>
      <c r="L287">
        <v>113.8</v>
      </c>
      <c r="M287">
        <v>164.5</v>
      </c>
      <c r="N287">
        <v>156.1</v>
      </c>
      <c r="O287">
        <v>164.3</v>
      </c>
      <c r="P287">
        <f t="shared" si="8"/>
        <v>158.84166666666664</v>
      </c>
      <c r="Q287">
        <v>159.6</v>
      </c>
      <c r="R287">
        <v>184.6</v>
      </c>
      <c r="S287">
        <v>157.5</v>
      </c>
      <c r="T287">
        <v>152.4</v>
      </c>
      <c r="U287">
        <f t="shared" si="9"/>
        <v>154.94999999999999</v>
      </c>
      <c r="V287">
        <v>156.80000000000001</v>
      </c>
      <c r="W287" t="s">
        <v>32</v>
      </c>
      <c r="X287">
        <v>150.9</v>
      </c>
      <c r="Y287">
        <v>153.9</v>
      </c>
      <c r="Z287">
        <v>162.5</v>
      </c>
      <c r="AA287">
        <v>147.5</v>
      </c>
      <c r="AB287">
        <v>155.1</v>
      </c>
      <c r="AC287">
        <v>163.5</v>
      </c>
      <c r="AD287">
        <v>156.19999999999999</v>
      </c>
      <c r="AE287">
        <v>155.9</v>
      </c>
      <c r="AF287">
        <v>158.5</v>
      </c>
    </row>
    <row r="288" spans="1:32">
      <c r="A288" t="s">
        <v>33</v>
      </c>
      <c r="B288">
        <v>2021</v>
      </c>
      <c r="C288" t="s">
        <v>31</v>
      </c>
      <c r="D288">
        <v>148</v>
      </c>
      <c r="E288">
        <v>194.8</v>
      </c>
      <c r="F288">
        <v>178.4</v>
      </c>
      <c r="G288">
        <v>154.4</v>
      </c>
      <c r="H288">
        <v>144.1</v>
      </c>
      <c r="I288">
        <v>152.6</v>
      </c>
      <c r="J288">
        <v>206.8</v>
      </c>
      <c r="K288">
        <v>162.1</v>
      </c>
      <c r="L288">
        <v>116.3</v>
      </c>
      <c r="M288">
        <v>163</v>
      </c>
      <c r="N288">
        <v>145.9</v>
      </c>
      <c r="O288">
        <v>167.2</v>
      </c>
      <c r="P288">
        <f t="shared" si="8"/>
        <v>161.13333333333335</v>
      </c>
      <c r="Q288">
        <v>163.4</v>
      </c>
      <c r="R288">
        <v>191.8</v>
      </c>
      <c r="S288">
        <v>152.5</v>
      </c>
      <c r="T288">
        <v>137.30000000000001</v>
      </c>
      <c r="U288">
        <f t="shared" si="9"/>
        <v>144.9</v>
      </c>
      <c r="V288">
        <v>150.19999999999999</v>
      </c>
      <c r="W288">
        <v>157.69999999999999</v>
      </c>
      <c r="X288">
        <v>142.9</v>
      </c>
      <c r="Y288">
        <v>145.69999999999999</v>
      </c>
      <c r="Z288">
        <v>154.1</v>
      </c>
      <c r="AA288">
        <v>136.9</v>
      </c>
      <c r="AB288">
        <v>145.4</v>
      </c>
      <c r="AC288">
        <v>156.1</v>
      </c>
      <c r="AD288">
        <v>157.69999999999999</v>
      </c>
      <c r="AE288">
        <v>147.6</v>
      </c>
      <c r="AF288">
        <v>156</v>
      </c>
    </row>
    <row r="289" spans="1:32">
      <c r="A289" t="s">
        <v>34</v>
      </c>
      <c r="B289">
        <v>2021</v>
      </c>
      <c r="C289" t="s">
        <v>31</v>
      </c>
      <c r="D289">
        <v>144.9</v>
      </c>
      <c r="E289">
        <v>190.1</v>
      </c>
      <c r="F289">
        <v>175.3</v>
      </c>
      <c r="G289">
        <v>154.1</v>
      </c>
      <c r="H289">
        <v>150.9</v>
      </c>
      <c r="I289">
        <v>149.6</v>
      </c>
      <c r="J289">
        <v>194.2</v>
      </c>
      <c r="K289">
        <v>160.4</v>
      </c>
      <c r="L289">
        <v>114.6</v>
      </c>
      <c r="M289">
        <v>164</v>
      </c>
      <c r="N289">
        <v>151.80000000000001</v>
      </c>
      <c r="O289">
        <v>165.6</v>
      </c>
      <c r="P289">
        <f t="shared" si="8"/>
        <v>159.62499999999997</v>
      </c>
      <c r="Q289">
        <v>161</v>
      </c>
      <c r="R289">
        <v>186.5</v>
      </c>
      <c r="S289">
        <v>155.5</v>
      </c>
      <c r="T289">
        <v>146.1</v>
      </c>
      <c r="U289">
        <f t="shared" si="9"/>
        <v>150.80000000000001</v>
      </c>
      <c r="V289">
        <v>154.19999999999999</v>
      </c>
      <c r="W289">
        <v>157.69999999999999</v>
      </c>
      <c r="X289">
        <v>147.9</v>
      </c>
      <c r="Y289">
        <v>150</v>
      </c>
      <c r="Z289">
        <v>159.30000000000001</v>
      </c>
      <c r="AA289">
        <v>141.9</v>
      </c>
      <c r="AB289">
        <v>149.6</v>
      </c>
      <c r="AC289">
        <v>159.19999999999999</v>
      </c>
      <c r="AD289">
        <v>156.80000000000001</v>
      </c>
      <c r="AE289">
        <v>151.9</v>
      </c>
      <c r="AF289">
        <v>157.30000000000001</v>
      </c>
    </row>
    <row r="290" spans="1:32">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f t="shared" si="8"/>
        <v>155.88333333333333</v>
      </c>
      <c r="Q290">
        <v>154.69999999999999</v>
      </c>
      <c r="R290">
        <v>186.5</v>
      </c>
      <c r="S290">
        <v>159.1</v>
      </c>
      <c r="T290">
        <v>153.9</v>
      </c>
      <c r="U290">
        <f t="shared" si="9"/>
        <v>156.5</v>
      </c>
      <c r="V290">
        <v>158.4</v>
      </c>
      <c r="W290" t="s">
        <v>32</v>
      </c>
      <c r="X290">
        <v>154.4</v>
      </c>
      <c r="Y290">
        <v>154.80000000000001</v>
      </c>
      <c r="Z290">
        <v>164.3</v>
      </c>
      <c r="AA290">
        <v>150.19999999999999</v>
      </c>
      <c r="AB290">
        <v>157</v>
      </c>
      <c r="AC290">
        <v>163.6</v>
      </c>
      <c r="AD290">
        <v>155.19999999999999</v>
      </c>
      <c r="AE290">
        <v>157.19999999999999</v>
      </c>
      <c r="AF290">
        <v>156.69999999999999</v>
      </c>
    </row>
    <row r="291" spans="1:32">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f t="shared" si="8"/>
        <v>158.76666666666668</v>
      </c>
      <c r="Q291">
        <v>160.80000000000001</v>
      </c>
      <c r="R291">
        <v>193.3</v>
      </c>
      <c r="S291">
        <v>154.19999999999999</v>
      </c>
      <c r="T291">
        <v>138.19999999999999</v>
      </c>
      <c r="U291">
        <f t="shared" si="9"/>
        <v>146.19999999999999</v>
      </c>
      <c r="V291">
        <v>151.80000000000001</v>
      </c>
      <c r="W291">
        <v>159.80000000000001</v>
      </c>
      <c r="X291">
        <v>149.1</v>
      </c>
      <c r="Y291">
        <v>146.5</v>
      </c>
      <c r="Z291">
        <v>156.30000000000001</v>
      </c>
      <c r="AA291">
        <v>140.5</v>
      </c>
      <c r="AB291">
        <v>147.30000000000001</v>
      </c>
      <c r="AC291">
        <v>156.6</v>
      </c>
      <c r="AD291">
        <v>156.69999999999999</v>
      </c>
      <c r="AE291">
        <v>149.30000000000001</v>
      </c>
      <c r="AF291">
        <v>156.5</v>
      </c>
    </row>
    <row r="292" spans="1:32">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f t="shared" si="8"/>
        <v>156.86666666666667</v>
      </c>
      <c r="Q292">
        <v>156.9</v>
      </c>
      <c r="R292">
        <v>188.3</v>
      </c>
      <c r="S292">
        <v>157.19999999999999</v>
      </c>
      <c r="T292">
        <v>147.4</v>
      </c>
      <c r="U292">
        <f t="shared" si="9"/>
        <v>152.30000000000001</v>
      </c>
      <c r="V292">
        <v>155.80000000000001</v>
      </c>
      <c r="W292">
        <v>159.80000000000001</v>
      </c>
      <c r="X292">
        <v>152.4</v>
      </c>
      <c r="Y292">
        <v>150.9</v>
      </c>
      <c r="Z292">
        <v>161.30000000000001</v>
      </c>
      <c r="AA292">
        <v>145.1</v>
      </c>
      <c r="AB292">
        <v>151.5</v>
      </c>
      <c r="AC292">
        <v>159.5</v>
      </c>
      <c r="AD292">
        <v>155.80000000000001</v>
      </c>
      <c r="AE292">
        <v>153.4</v>
      </c>
      <c r="AF292">
        <v>156.6</v>
      </c>
    </row>
    <row r="293" spans="1:32">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f t="shared" si="8"/>
        <v>155.93333333333334</v>
      </c>
      <c r="Q293">
        <v>154.5</v>
      </c>
      <c r="R293">
        <v>186.1</v>
      </c>
      <c r="S293">
        <v>159.6</v>
      </c>
      <c r="T293">
        <v>154.4</v>
      </c>
      <c r="U293">
        <f t="shared" si="9"/>
        <v>157</v>
      </c>
      <c r="V293">
        <v>158.9</v>
      </c>
      <c r="W293" t="s">
        <v>48</v>
      </c>
      <c r="X293">
        <v>156</v>
      </c>
      <c r="Y293">
        <v>154.80000000000001</v>
      </c>
      <c r="Z293">
        <v>164.6</v>
      </c>
      <c r="AA293">
        <v>151.30000000000001</v>
      </c>
      <c r="AB293">
        <v>157.80000000000001</v>
      </c>
      <c r="AC293">
        <v>163.80000000000001</v>
      </c>
      <c r="AD293">
        <v>153.1</v>
      </c>
      <c r="AE293">
        <v>157.30000000000001</v>
      </c>
      <c r="AF293">
        <v>156.69999999999999</v>
      </c>
    </row>
    <row r="294" spans="1:32">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f t="shared" si="8"/>
        <v>158.67499999999998</v>
      </c>
      <c r="Q294">
        <v>160.4</v>
      </c>
      <c r="R294">
        <v>193.5</v>
      </c>
      <c r="S294">
        <v>155.1</v>
      </c>
      <c r="T294">
        <v>138.69999999999999</v>
      </c>
      <c r="U294">
        <f t="shared" si="9"/>
        <v>146.89999999999998</v>
      </c>
      <c r="V294">
        <v>152.6</v>
      </c>
      <c r="W294">
        <v>159.9</v>
      </c>
      <c r="X294">
        <v>154.80000000000001</v>
      </c>
      <c r="Y294">
        <v>147.19999999999999</v>
      </c>
      <c r="Z294">
        <v>156.9</v>
      </c>
      <c r="AA294">
        <v>141.69999999999999</v>
      </c>
      <c r="AB294">
        <v>148.6</v>
      </c>
      <c r="AC294">
        <v>157.6</v>
      </c>
      <c r="AD294">
        <v>154.9</v>
      </c>
      <c r="AE294">
        <v>150</v>
      </c>
      <c r="AF294">
        <v>156.9</v>
      </c>
    </row>
    <row r="295" spans="1:32">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f t="shared" si="8"/>
        <v>156.89166666666665</v>
      </c>
      <c r="Q295">
        <v>156.69999999999999</v>
      </c>
      <c r="R295">
        <v>188.1</v>
      </c>
      <c r="S295">
        <v>157.80000000000001</v>
      </c>
      <c r="T295">
        <v>147.9</v>
      </c>
      <c r="U295">
        <f t="shared" si="9"/>
        <v>152.85000000000002</v>
      </c>
      <c r="V295">
        <v>156.4</v>
      </c>
      <c r="W295">
        <v>159.9</v>
      </c>
      <c r="X295">
        <v>155.5</v>
      </c>
      <c r="Y295">
        <v>151.19999999999999</v>
      </c>
      <c r="Z295">
        <v>161.69999999999999</v>
      </c>
      <c r="AA295">
        <v>146.19999999999999</v>
      </c>
      <c r="AB295">
        <v>152.6</v>
      </c>
      <c r="AC295">
        <v>160.19999999999999</v>
      </c>
      <c r="AD295">
        <v>153.80000000000001</v>
      </c>
      <c r="AE295">
        <v>153.80000000000001</v>
      </c>
      <c r="AF295">
        <v>156.80000000000001</v>
      </c>
    </row>
    <row r="296" spans="1:32">
      <c r="A296" t="s">
        <v>30</v>
      </c>
      <c r="B296">
        <v>2021</v>
      </c>
      <c r="C296" t="s">
        <v>37</v>
      </c>
      <c r="D296">
        <v>142.69999999999999</v>
      </c>
      <c r="E296">
        <v>195.5</v>
      </c>
      <c r="F296">
        <v>163.4</v>
      </c>
      <c r="G296">
        <v>155</v>
      </c>
      <c r="H296">
        <v>175.2</v>
      </c>
      <c r="I296">
        <v>160.6</v>
      </c>
      <c r="J296">
        <v>135.1</v>
      </c>
      <c r="K296">
        <v>161.1</v>
      </c>
      <c r="L296">
        <v>112.2</v>
      </c>
      <c r="M296">
        <v>164.4</v>
      </c>
      <c r="N296">
        <v>161.9</v>
      </c>
      <c r="O296">
        <v>166.8</v>
      </c>
      <c r="P296">
        <f t="shared" si="8"/>
        <v>157.82500000000002</v>
      </c>
      <c r="Q296">
        <v>155.6</v>
      </c>
      <c r="R296">
        <v>186.8</v>
      </c>
      <c r="S296">
        <v>160.69999999999999</v>
      </c>
      <c r="T296">
        <v>155.1</v>
      </c>
      <c r="U296">
        <f t="shared" si="9"/>
        <v>157.89999999999998</v>
      </c>
      <c r="V296">
        <v>159.9</v>
      </c>
      <c r="W296" t="s">
        <v>48</v>
      </c>
      <c r="X296">
        <v>156</v>
      </c>
      <c r="Y296">
        <v>155.5</v>
      </c>
      <c r="Z296">
        <v>165.3</v>
      </c>
      <c r="AA296">
        <v>151.69999999999999</v>
      </c>
      <c r="AB296">
        <v>158.6</v>
      </c>
      <c r="AC296">
        <v>164.1</v>
      </c>
      <c r="AD296">
        <v>154.6</v>
      </c>
      <c r="AE296">
        <v>158</v>
      </c>
      <c r="AF296">
        <v>157.6</v>
      </c>
    </row>
    <row r="297" spans="1:32">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f t="shared" si="8"/>
        <v>160.63333333333333</v>
      </c>
      <c r="Q297">
        <v>162</v>
      </c>
      <c r="R297">
        <v>194.4</v>
      </c>
      <c r="S297">
        <v>155.9</v>
      </c>
      <c r="T297">
        <v>139.30000000000001</v>
      </c>
      <c r="U297">
        <f t="shared" si="9"/>
        <v>147.60000000000002</v>
      </c>
      <c r="V297">
        <v>153.4</v>
      </c>
      <c r="W297">
        <v>161.4</v>
      </c>
      <c r="X297">
        <v>154.9</v>
      </c>
      <c r="Y297">
        <v>147.6</v>
      </c>
      <c r="Z297">
        <v>157.5</v>
      </c>
      <c r="AA297">
        <v>142.1</v>
      </c>
      <c r="AB297">
        <v>149.1</v>
      </c>
      <c r="AC297">
        <v>157.6</v>
      </c>
      <c r="AD297">
        <v>156.6</v>
      </c>
      <c r="AE297">
        <v>150.5</v>
      </c>
      <c r="AF297">
        <v>158</v>
      </c>
    </row>
    <row r="298" spans="1:32">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f t="shared" si="8"/>
        <v>158.84166666666667</v>
      </c>
      <c r="Q298">
        <v>158</v>
      </c>
      <c r="R298">
        <v>188.8</v>
      </c>
      <c r="S298">
        <v>158.80000000000001</v>
      </c>
      <c r="T298">
        <v>148.5</v>
      </c>
      <c r="U298">
        <f t="shared" si="9"/>
        <v>153.65</v>
      </c>
      <c r="V298">
        <v>157.30000000000001</v>
      </c>
      <c r="W298">
        <v>161.4</v>
      </c>
      <c r="X298">
        <v>155.6</v>
      </c>
      <c r="Y298">
        <v>151.80000000000001</v>
      </c>
      <c r="Z298">
        <v>162.30000000000001</v>
      </c>
      <c r="AA298">
        <v>146.6</v>
      </c>
      <c r="AB298">
        <v>153.19999999999999</v>
      </c>
      <c r="AC298">
        <v>160.30000000000001</v>
      </c>
      <c r="AD298">
        <v>155.4</v>
      </c>
      <c r="AE298">
        <v>154.4</v>
      </c>
      <c r="AF298">
        <v>157.80000000000001</v>
      </c>
    </row>
    <row r="299" spans="1:32">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f t="shared" si="8"/>
        <v>161.38333333333333</v>
      </c>
      <c r="Q299">
        <v>158.69999999999999</v>
      </c>
      <c r="R299">
        <v>189.6</v>
      </c>
      <c r="S299">
        <v>165.3</v>
      </c>
      <c r="T299">
        <v>160.6</v>
      </c>
      <c r="U299">
        <f t="shared" si="9"/>
        <v>162.94999999999999</v>
      </c>
      <c r="V299">
        <v>164.5</v>
      </c>
      <c r="W299" t="s">
        <v>32</v>
      </c>
      <c r="X299">
        <v>161.69999999999999</v>
      </c>
      <c r="Y299">
        <v>158.80000000000001</v>
      </c>
      <c r="Z299">
        <v>169.1</v>
      </c>
      <c r="AA299">
        <v>153.19999999999999</v>
      </c>
      <c r="AB299">
        <v>160</v>
      </c>
      <c r="AC299">
        <v>167.6</v>
      </c>
      <c r="AD299">
        <v>159.30000000000001</v>
      </c>
      <c r="AE299">
        <v>161.1</v>
      </c>
      <c r="AF299">
        <v>161.1</v>
      </c>
    </row>
    <row r="300" spans="1:32">
      <c r="A300" t="s">
        <v>33</v>
      </c>
      <c r="B300">
        <v>2021</v>
      </c>
      <c r="C300" t="s">
        <v>38</v>
      </c>
      <c r="D300">
        <v>148.80000000000001</v>
      </c>
      <c r="E300">
        <v>204.3</v>
      </c>
      <c r="F300">
        <v>173</v>
      </c>
      <c r="G300">
        <v>156.5</v>
      </c>
      <c r="H300">
        <v>168.8</v>
      </c>
      <c r="I300">
        <v>172.5</v>
      </c>
      <c r="J300">
        <v>166.5</v>
      </c>
      <c r="K300">
        <v>165.9</v>
      </c>
      <c r="L300">
        <v>115.9</v>
      </c>
      <c r="M300">
        <v>165.2</v>
      </c>
      <c r="N300">
        <v>152</v>
      </c>
      <c r="O300">
        <v>171.1</v>
      </c>
      <c r="P300">
        <f t="shared" si="8"/>
        <v>163.37500000000003</v>
      </c>
      <c r="Q300">
        <v>164.2</v>
      </c>
      <c r="R300">
        <v>198.2</v>
      </c>
      <c r="S300">
        <v>156.5</v>
      </c>
      <c r="T300">
        <v>140.19999999999999</v>
      </c>
      <c r="U300">
        <f t="shared" si="9"/>
        <v>148.35</v>
      </c>
      <c r="V300">
        <v>154.1</v>
      </c>
      <c r="W300">
        <v>161.6</v>
      </c>
      <c r="X300">
        <v>155.5</v>
      </c>
      <c r="Y300">
        <v>150.1</v>
      </c>
      <c r="Z300">
        <v>160.4</v>
      </c>
      <c r="AA300">
        <v>145</v>
      </c>
      <c r="AB300">
        <v>152.6</v>
      </c>
      <c r="AC300">
        <v>156.6</v>
      </c>
      <c r="AD300">
        <v>157.5</v>
      </c>
      <c r="AE300">
        <v>152.30000000000001</v>
      </c>
      <c r="AF300">
        <v>159.5</v>
      </c>
    </row>
    <row r="301" spans="1:32">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f t="shared" si="8"/>
        <v>162.08333333333334</v>
      </c>
      <c r="Q301">
        <v>160.69999999999999</v>
      </c>
      <c r="R301">
        <v>191.9</v>
      </c>
      <c r="S301">
        <v>161.80000000000001</v>
      </c>
      <c r="T301">
        <v>152.1</v>
      </c>
      <c r="U301">
        <f t="shared" si="9"/>
        <v>156.94999999999999</v>
      </c>
      <c r="V301">
        <v>160.4</v>
      </c>
      <c r="W301">
        <v>161.6</v>
      </c>
      <c r="X301">
        <v>159.4</v>
      </c>
      <c r="Y301">
        <v>154.69999999999999</v>
      </c>
      <c r="Z301">
        <v>165.8</v>
      </c>
      <c r="AA301">
        <v>148.9</v>
      </c>
      <c r="AB301">
        <v>155.80000000000001</v>
      </c>
      <c r="AC301">
        <v>161.19999999999999</v>
      </c>
      <c r="AD301">
        <v>158.6</v>
      </c>
      <c r="AE301">
        <v>156.80000000000001</v>
      </c>
      <c r="AF301">
        <v>160.4</v>
      </c>
    </row>
    <row r="302" spans="1:32">
      <c r="A302" t="s">
        <v>30</v>
      </c>
      <c r="B302">
        <v>2021</v>
      </c>
      <c r="C302" t="s">
        <v>39</v>
      </c>
      <c r="D302">
        <v>145.6</v>
      </c>
      <c r="E302">
        <v>200.1</v>
      </c>
      <c r="F302">
        <v>179.3</v>
      </c>
      <c r="G302">
        <v>156.1</v>
      </c>
      <c r="H302">
        <v>190.4</v>
      </c>
      <c r="I302">
        <v>158.6</v>
      </c>
      <c r="J302">
        <v>144.69999999999999</v>
      </c>
      <c r="K302">
        <v>165.5</v>
      </c>
      <c r="L302">
        <v>114.6</v>
      </c>
      <c r="M302">
        <v>170</v>
      </c>
      <c r="N302">
        <v>165.5</v>
      </c>
      <c r="O302">
        <v>171.7</v>
      </c>
      <c r="P302">
        <f t="shared" si="8"/>
        <v>163.50833333333333</v>
      </c>
      <c r="Q302">
        <v>160.5</v>
      </c>
      <c r="R302">
        <v>189.1</v>
      </c>
      <c r="S302">
        <v>165.3</v>
      </c>
      <c r="T302">
        <v>159.9</v>
      </c>
      <c r="U302">
        <f t="shared" si="9"/>
        <v>162.60000000000002</v>
      </c>
      <c r="V302">
        <v>164.6</v>
      </c>
      <c r="W302" t="s">
        <v>32</v>
      </c>
      <c r="X302">
        <v>162.1</v>
      </c>
      <c r="Y302">
        <v>159.19999999999999</v>
      </c>
      <c r="Z302">
        <v>169.7</v>
      </c>
      <c r="AA302">
        <v>154.19999999999999</v>
      </c>
      <c r="AB302">
        <v>160.4</v>
      </c>
      <c r="AC302">
        <v>166.8</v>
      </c>
      <c r="AD302">
        <v>159.4</v>
      </c>
      <c r="AE302">
        <v>161.5</v>
      </c>
      <c r="AF302">
        <v>162.1</v>
      </c>
    </row>
    <row r="303" spans="1:32">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f t="shared" si="8"/>
        <v>165.66666666666666</v>
      </c>
      <c r="Q303">
        <v>166.2</v>
      </c>
      <c r="R303">
        <v>195.6</v>
      </c>
      <c r="S303">
        <v>157.30000000000001</v>
      </c>
      <c r="T303">
        <v>140.5</v>
      </c>
      <c r="U303">
        <f t="shared" si="9"/>
        <v>148.9</v>
      </c>
      <c r="V303">
        <v>154.80000000000001</v>
      </c>
      <c r="W303">
        <v>160.5</v>
      </c>
      <c r="X303">
        <v>156.1</v>
      </c>
      <c r="Y303">
        <v>149.80000000000001</v>
      </c>
      <c r="Z303">
        <v>160.80000000000001</v>
      </c>
      <c r="AA303">
        <v>147.5</v>
      </c>
      <c r="AB303">
        <v>150.69999999999999</v>
      </c>
      <c r="AC303">
        <v>158.1</v>
      </c>
      <c r="AD303">
        <v>158</v>
      </c>
      <c r="AE303">
        <v>153.4</v>
      </c>
      <c r="AF303">
        <v>160.4</v>
      </c>
    </row>
    <row r="304" spans="1:32">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f t="shared" si="8"/>
        <v>164.27500000000001</v>
      </c>
      <c r="Q304">
        <v>162.6</v>
      </c>
      <c r="R304">
        <v>190.8</v>
      </c>
      <c r="S304">
        <v>162.19999999999999</v>
      </c>
      <c r="T304">
        <v>151.80000000000001</v>
      </c>
      <c r="U304">
        <f t="shared" si="9"/>
        <v>157</v>
      </c>
      <c r="V304">
        <v>160.69999999999999</v>
      </c>
      <c r="W304">
        <v>160.5</v>
      </c>
      <c r="X304">
        <v>159.80000000000001</v>
      </c>
      <c r="Y304">
        <v>154.80000000000001</v>
      </c>
      <c r="Z304">
        <v>166.3</v>
      </c>
      <c r="AA304">
        <v>150.69999999999999</v>
      </c>
      <c r="AB304">
        <v>154.9</v>
      </c>
      <c r="AC304">
        <v>161.69999999999999</v>
      </c>
      <c r="AD304">
        <v>158.80000000000001</v>
      </c>
      <c r="AE304">
        <v>157.6</v>
      </c>
      <c r="AF304">
        <v>161.30000000000001</v>
      </c>
    </row>
    <row r="305" spans="1:32">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f t="shared" si="8"/>
        <v>164.22499999999999</v>
      </c>
      <c r="Q305">
        <v>161.69999999999999</v>
      </c>
      <c r="R305">
        <v>189.7</v>
      </c>
      <c r="S305">
        <v>166</v>
      </c>
      <c r="T305">
        <v>161.1</v>
      </c>
      <c r="U305">
        <f t="shared" si="9"/>
        <v>163.55000000000001</v>
      </c>
      <c r="V305">
        <v>165.3</v>
      </c>
      <c r="W305" t="s">
        <v>32</v>
      </c>
      <c r="X305">
        <v>162.5</v>
      </c>
      <c r="Y305">
        <v>160.30000000000001</v>
      </c>
      <c r="Z305">
        <v>170.4</v>
      </c>
      <c r="AA305">
        <v>157.1</v>
      </c>
      <c r="AB305">
        <v>160.69999999999999</v>
      </c>
      <c r="AC305">
        <v>167.2</v>
      </c>
      <c r="AD305">
        <v>160.4</v>
      </c>
      <c r="AE305">
        <v>162.80000000000001</v>
      </c>
      <c r="AF305">
        <v>163.19999999999999</v>
      </c>
    </row>
    <row r="306" spans="1:32">
      <c r="A306" t="s">
        <v>33</v>
      </c>
      <c r="B306">
        <v>2021</v>
      </c>
      <c r="C306" t="s">
        <v>40</v>
      </c>
      <c r="D306">
        <v>149.1</v>
      </c>
      <c r="E306">
        <v>210.9</v>
      </c>
      <c r="F306">
        <v>185</v>
      </c>
      <c r="G306">
        <v>158.19999999999999</v>
      </c>
      <c r="H306">
        <v>170.6</v>
      </c>
      <c r="I306">
        <v>170.9</v>
      </c>
      <c r="J306">
        <v>186.4</v>
      </c>
      <c r="K306">
        <v>164.7</v>
      </c>
      <c r="L306">
        <v>115.7</v>
      </c>
      <c r="M306">
        <v>165.5</v>
      </c>
      <c r="N306">
        <v>153.4</v>
      </c>
      <c r="O306">
        <v>173.5</v>
      </c>
      <c r="P306">
        <f t="shared" si="8"/>
        <v>166.9916666666667</v>
      </c>
      <c r="Q306">
        <v>167.9</v>
      </c>
      <c r="R306">
        <v>195.5</v>
      </c>
      <c r="S306">
        <v>157.9</v>
      </c>
      <c r="T306">
        <v>141.9</v>
      </c>
      <c r="U306">
        <f t="shared" si="9"/>
        <v>149.9</v>
      </c>
      <c r="V306">
        <v>155.5</v>
      </c>
      <c r="W306">
        <v>161.5</v>
      </c>
      <c r="X306">
        <v>157.69999999999999</v>
      </c>
      <c r="Y306">
        <v>150.69999999999999</v>
      </c>
      <c r="Z306">
        <v>161.5</v>
      </c>
      <c r="AA306">
        <v>149.5</v>
      </c>
      <c r="AB306">
        <v>151.19999999999999</v>
      </c>
      <c r="AC306">
        <v>160.30000000000001</v>
      </c>
      <c r="AD306">
        <v>159.6</v>
      </c>
      <c r="AE306">
        <v>155</v>
      </c>
      <c r="AF306">
        <v>161.80000000000001</v>
      </c>
    </row>
    <row r="307" spans="1:32">
      <c r="A307" t="s">
        <v>34</v>
      </c>
      <c r="B307">
        <v>2021</v>
      </c>
      <c r="C307" t="s">
        <v>40</v>
      </c>
      <c r="D307">
        <v>146.4</v>
      </c>
      <c r="E307">
        <v>206.8</v>
      </c>
      <c r="F307">
        <v>182.2</v>
      </c>
      <c r="G307">
        <v>157.5</v>
      </c>
      <c r="H307">
        <v>182.1</v>
      </c>
      <c r="I307">
        <v>163.9</v>
      </c>
      <c r="J307">
        <v>164.2</v>
      </c>
      <c r="K307">
        <v>164</v>
      </c>
      <c r="L307">
        <v>114.5</v>
      </c>
      <c r="M307">
        <v>168.3</v>
      </c>
      <c r="N307">
        <v>160.9</v>
      </c>
      <c r="O307">
        <v>172.2</v>
      </c>
      <c r="P307">
        <f t="shared" si="8"/>
        <v>165.25000000000003</v>
      </c>
      <c r="Q307">
        <v>164</v>
      </c>
      <c r="R307">
        <v>191.2</v>
      </c>
      <c r="S307">
        <v>162.80000000000001</v>
      </c>
      <c r="T307">
        <v>153.1</v>
      </c>
      <c r="U307">
        <f t="shared" si="9"/>
        <v>157.94999999999999</v>
      </c>
      <c r="V307">
        <v>161.4</v>
      </c>
      <c r="W307">
        <v>161.5</v>
      </c>
      <c r="X307">
        <v>160.69999999999999</v>
      </c>
      <c r="Y307">
        <v>155.80000000000001</v>
      </c>
      <c r="Z307">
        <v>167</v>
      </c>
      <c r="AA307">
        <v>153.1</v>
      </c>
      <c r="AB307">
        <v>155.30000000000001</v>
      </c>
      <c r="AC307">
        <v>163.19999999999999</v>
      </c>
      <c r="AD307">
        <v>160.1</v>
      </c>
      <c r="AE307">
        <v>159</v>
      </c>
      <c r="AF307">
        <v>162.5</v>
      </c>
    </row>
    <row r="308" spans="1:32">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f t="shared" si="8"/>
        <v>164.08333333333334</v>
      </c>
      <c r="Q308">
        <v>161.80000000000001</v>
      </c>
      <c r="R308">
        <v>190.2</v>
      </c>
      <c r="S308">
        <v>167</v>
      </c>
      <c r="T308">
        <v>162.6</v>
      </c>
      <c r="U308">
        <f t="shared" si="9"/>
        <v>164.8</v>
      </c>
      <c r="V308">
        <v>166.3</v>
      </c>
      <c r="W308" t="s">
        <v>32</v>
      </c>
      <c r="X308">
        <v>163.1</v>
      </c>
      <c r="Y308">
        <v>160.9</v>
      </c>
      <c r="Z308">
        <v>171.1</v>
      </c>
      <c r="AA308">
        <v>157.69999999999999</v>
      </c>
      <c r="AB308">
        <v>161.1</v>
      </c>
      <c r="AC308">
        <v>167.5</v>
      </c>
      <c r="AD308">
        <v>160.30000000000001</v>
      </c>
      <c r="AE308">
        <v>163.30000000000001</v>
      </c>
      <c r="AF308">
        <v>163.6</v>
      </c>
    </row>
    <row r="309" spans="1:32">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f t="shared" si="8"/>
        <v>165.88333333333333</v>
      </c>
      <c r="Q309">
        <v>167.3</v>
      </c>
      <c r="R309">
        <v>196.5</v>
      </c>
      <c r="S309">
        <v>159.80000000000001</v>
      </c>
      <c r="T309">
        <v>143.6</v>
      </c>
      <c r="U309">
        <f t="shared" si="9"/>
        <v>151.69999999999999</v>
      </c>
      <c r="V309">
        <v>157.30000000000001</v>
      </c>
      <c r="W309">
        <v>162.1</v>
      </c>
      <c r="X309">
        <v>160.69999999999999</v>
      </c>
      <c r="Y309">
        <v>153.19999999999999</v>
      </c>
      <c r="Z309">
        <v>162.80000000000001</v>
      </c>
      <c r="AA309">
        <v>150.4</v>
      </c>
      <c r="AB309">
        <v>153.69999999999999</v>
      </c>
      <c r="AC309">
        <v>160.4</v>
      </c>
      <c r="AD309">
        <v>159.6</v>
      </c>
      <c r="AE309">
        <v>156</v>
      </c>
      <c r="AF309">
        <v>162.30000000000001</v>
      </c>
    </row>
    <row r="310" spans="1:32">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f t="shared" si="8"/>
        <v>164.83333333333334</v>
      </c>
      <c r="Q310">
        <v>164</v>
      </c>
      <c r="R310">
        <v>192.1</v>
      </c>
      <c r="S310">
        <v>164.5</v>
      </c>
      <c r="T310">
        <v>155.30000000000001</v>
      </c>
      <c r="U310">
        <f t="shared" si="9"/>
        <v>159.9</v>
      </c>
      <c r="V310">
        <v>163.19999999999999</v>
      </c>
      <c r="W310">
        <v>162.1</v>
      </c>
      <c r="X310">
        <v>162.6</v>
      </c>
      <c r="Y310">
        <v>157.5</v>
      </c>
      <c r="Z310">
        <v>168.4</v>
      </c>
      <c r="AA310">
        <v>154</v>
      </c>
      <c r="AB310">
        <v>157.6</v>
      </c>
      <c r="AC310">
        <v>163.80000000000001</v>
      </c>
      <c r="AD310">
        <v>160</v>
      </c>
      <c r="AE310">
        <v>160</v>
      </c>
      <c r="AF310">
        <v>163.19999999999999</v>
      </c>
    </row>
    <row r="311" spans="1:32">
      <c r="A311" t="s">
        <v>30</v>
      </c>
      <c r="B311">
        <v>2021</v>
      </c>
      <c r="C311" t="s">
        <v>42</v>
      </c>
      <c r="D311">
        <v>145.4</v>
      </c>
      <c r="E311">
        <v>202.1</v>
      </c>
      <c r="F311">
        <v>172</v>
      </c>
      <c r="G311">
        <v>158</v>
      </c>
      <c r="H311">
        <v>195.5</v>
      </c>
      <c r="I311">
        <v>152.69999999999999</v>
      </c>
      <c r="J311">
        <v>151.4</v>
      </c>
      <c r="K311">
        <v>163.9</v>
      </c>
      <c r="L311">
        <v>119.3</v>
      </c>
      <c r="M311">
        <v>170.1</v>
      </c>
      <c r="N311">
        <v>168.3</v>
      </c>
      <c r="O311">
        <v>172.8</v>
      </c>
      <c r="P311">
        <f t="shared" si="8"/>
        <v>164.29166666666666</v>
      </c>
      <c r="Q311">
        <v>162.1</v>
      </c>
      <c r="R311">
        <v>190.5</v>
      </c>
      <c r="S311">
        <v>167.7</v>
      </c>
      <c r="T311">
        <v>163.6</v>
      </c>
      <c r="U311">
        <f t="shared" si="9"/>
        <v>165.64999999999998</v>
      </c>
      <c r="V311">
        <v>167.1</v>
      </c>
      <c r="W311" t="s">
        <v>32</v>
      </c>
      <c r="X311">
        <v>163.69999999999999</v>
      </c>
      <c r="Y311">
        <v>161.30000000000001</v>
      </c>
      <c r="Z311">
        <v>171.9</v>
      </c>
      <c r="AA311">
        <v>157.80000000000001</v>
      </c>
      <c r="AB311">
        <v>162.69999999999999</v>
      </c>
      <c r="AC311">
        <v>168.5</v>
      </c>
      <c r="AD311">
        <v>160.19999999999999</v>
      </c>
      <c r="AE311">
        <v>163.80000000000001</v>
      </c>
      <c r="AF311">
        <v>164</v>
      </c>
    </row>
    <row r="312" spans="1:32">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f t="shared" si="8"/>
        <v>165.88333333333335</v>
      </c>
      <c r="Q312">
        <v>167.3</v>
      </c>
      <c r="R312">
        <v>196.5</v>
      </c>
      <c r="S312">
        <v>159.80000000000001</v>
      </c>
      <c r="T312">
        <v>143.6</v>
      </c>
      <c r="U312">
        <f t="shared" si="9"/>
        <v>151.69999999999999</v>
      </c>
      <c r="V312">
        <v>157.4</v>
      </c>
      <c r="W312">
        <v>162.1</v>
      </c>
      <c r="X312">
        <v>160.80000000000001</v>
      </c>
      <c r="Y312">
        <v>153.30000000000001</v>
      </c>
      <c r="Z312">
        <v>162.80000000000001</v>
      </c>
      <c r="AA312">
        <v>150.5</v>
      </c>
      <c r="AB312">
        <v>153.9</v>
      </c>
      <c r="AC312">
        <v>160.30000000000001</v>
      </c>
      <c r="AD312">
        <v>159.6</v>
      </c>
      <c r="AE312">
        <v>156</v>
      </c>
      <c r="AF312">
        <v>162.30000000000001</v>
      </c>
    </row>
    <row r="313" spans="1:32">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f t="shared" si="8"/>
        <v>164.83333333333334</v>
      </c>
      <c r="Q313">
        <v>164</v>
      </c>
      <c r="R313">
        <v>192.1</v>
      </c>
      <c r="S313">
        <v>164.6</v>
      </c>
      <c r="T313">
        <v>155.30000000000001</v>
      </c>
      <c r="U313">
        <f t="shared" si="9"/>
        <v>159.94999999999999</v>
      </c>
      <c r="V313">
        <v>163.30000000000001</v>
      </c>
      <c r="W313">
        <v>162.1</v>
      </c>
      <c r="X313">
        <v>162.6</v>
      </c>
      <c r="Y313">
        <v>157.5</v>
      </c>
      <c r="Z313">
        <v>168.4</v>
      </c>
      <c r="AA313">
        <v>154</v>
      </c>
      <c r="AB313">
        <v>157.69999999999999</v>
      </c>
      <c r="AC313">
        <v>163.69999999999999</v>
      </c>
      <c r="AD313">
        <v>160</v>
      </c>
      <c r="AE313">
        <v>160</v>
      </c>
      <c r="AF313">
        <v>163.19999999999999</v>
      </c>
    </row>
    <row r="314" spans="1:32">
      <c r="A314" t="s">
        <v>30</v>
      </c>
      <c r="B314">
        <v>2021</v>
      </c>
      <c r="C314" t="s">
        <v>43</v>
      </c>
      <c r="D314">
        <v>146.1</v>
      </c>
      <c r="E314">
        <v>202.5</v>
      </c>
      <c r="F314">
        <v>170.1</v>
      </c>
      <c r="G314">
        <v>158.4</v>
      </c>
      <c r="H314">
        <v>198.8</v>
      </c>
      <c r="I314">
        <v>152.6</v>
      </c>
      <c r="J314">
        <v>170.4</v>
      </c>
      <c r="K314">
        <v>165.2</v>
      </c>
      <c r="L314">
        <v>121.6</v>
      </c>
      <c r="M314">
        <v>170.6</v>
      </c>
      <c r="N314">
        <v>168.8</v>
      </c>
      <c r="O314">
        <v>173.6</v>
      </c>
      <c r="P314">
        <f t="shared" si="8"/>
        <v>166.55833333333331</v>
      </c>
      <c r="Q314">
        <v>165.5</v>
      </c>
      <c r="R314">
        <v>191.2</v>
      </c>
      <c r="S314">
        <v>168.9</v>
      </c>
      <c r="T314">
        <v>164.8</v>
      </c>
      <c r="U314">
        <f t="shared" si="9"/>
        <v>166.85000000000002</v>
      </c>
      <c r="V314">
        <v>168.3</v>
      </c>
      <c r="W314" t="s">
        <v>32</v>
      </c>
      <c r="X314">
        <v>165.5</v>
      </c>
      <c r="Y314">
        <v>162</v>
      </c>
      <c r="Z314">
        <v>172.5</v>
      </c>
      <c r="AA314">
        <v>159.5</v>
      </c>
      <c r="AB314">
        <v>163.19999999999999</v>
      </c>
      <c r="AC314">
        <v>169</v>
      </c>
      <c r="AD314">
        <v>161.1</v>
      </c>
      <c r="AE314">
        <v>164.7</v>
      </c>
      <c r="AF314">
        <v>166.3</v>
      </c>
    </row>
    <row r="315" spans="1:32">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f t="shared" si="8"/>
        <v>168.90833333333336</v>
      </c>
      <c r="Q315">
        <v>171.5</v>
      </c>
      <c r="R315">
        <v>197</v>
      </c>
      <c r="S315">
        <v>160.80000000000001</v>
      </c>
      <c r="T315">
        <v>144.4</v>
      </c>
      <c r="U315">
        <f t="shared" si="9"/>
        <v>152.60000000000002</v>
      </c>
      <c r="V315">
        <v>158.30000000000001</v>
      </c>
      <c r="W315">
        <v>163.6</v>
      </c>
      <c r="X315">
        <v>162.19999999999999</v>
      </c>
      <c r="Y315">
        <v>154.30000000000001</v>
      </c>
      <c r="Z315">
        <v>163.5</v>
      </c>
      <c r="AA315">
        <v>152.19999999999999</v>
      </c>
      <c r="AB315">
        <v>155.1</v>
      </c>
      <c r="AC315">
        <v>160.30000000000001</v>
      </c>
      <c r="AD315">
        <v>160.30000000000001</v>
      </c>
      <c r="AE315">
        <v>157</v>
      </c>
      <c r="AF315">
        <v>164.6</v>
      </c>
    </row>
    <row r="316" spans="1:32">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f t="shared" si="8"/>
        <v>167.31666666666669</v>
      </c>
      <c r="Q316">
        <v>167.7</v>
      </c>
      <c r="R316">
        <v>192.7</v>
      </c>
      <c r="S316">
        <v>165.7</v>
      </c>
      <c r="T316">
        <v>156.30000000000001</v>
      </c>
      <c r="U316">
        <f t="shared" si="9"/>
        <v>161</v>
      </c>
      <c r="V316">
        <v>164.3</v>
      </c>
      <c r="W316">
        <v>163.6</v>
      </c>
      <c r="X316">
        <v>164.2</v>
      </c>
      <c r="Y316">
        <v>158.4</v>
      </c>
      <c r="Z316">
        <v>169.1</v>
      </c>
      <c r="AA316">
        <v>155.69999999999999</v>
      </c>
      <c r="AB316">
        <v>158.6</v>
      </c>
      <c r="AC316">
        <v>163.9</v>
      </c>
      <c r="AD316">
        <v>160.80000000000001</v>
      </c>
      <c r="AE316">
        <v>161</v>
      </c>
      <c r="AF316">
        <v>165.5</v>
      </c>
    </row>
    <row r="317" spans="1:32">
      <c r="A317" t="s">
        <v>30</v>
      </c>
      <c r="B317">
        <v>2021</v>
      </c>
      <c r="C317" t="s">
        <v>45</v>
      </c>
      <c r="D317">
        <v>146.9</v>
      </c>
      <c r="E317">
        <v>199.8</v>
      </c>
      <c r="F317">
        <v>171.5</v>
      </c>
      <c r="G317">
        <v>159.1</v>
      </c>
      <c r="H317">
        <v>198.4</v>
      </c>
      <c r="I317">
        <v>153.19999999999999</v>
      </c>
      <c r="J317">
        <v>183.9</v>
      </c>
      <c r="K317">
        <v>165.4</v>
      </c>
      <c r="L317">
        <v>122.1</v>
      </c>
      <c r="M317">
        <v>170.8</v>
      </c>
      <c r="N317">
        <v>169.1</v>
      </c>
      <c r="O317">
        <v>174.3</v>
      </c>
      <c r="P317">
        <f t="shared" si="8"/>
        <v>167.875</v>
      </c>
      <c r="Q317">
        <v>167.5</v>
      </c>
      <c r="R317">
        <v>191.4</v>
      </c>
      <c r="S317">
        <v>170.4</v>
      </c>
      <c r="T317">
        <v>166</v>
      </c>
      <c r="U317">
        <f t="shared" si="9"/>
        <v>168.2</v>
      </c>
      <c r="V317">
        <v>169.8</v>
      </c>
      <c r="W317" t="s">
        <v>32</v>
      </c>
      <c r="X317">
        <v>165.3</v>
      </c>
      <c r="Y317">
        <v>162.9</v>
      </c>
      <c r="Z317">
        <v>173.4</v>
      </c>
      <c r="AA317">
        <v>158.9</v>
      </c>
      <c r="AB317">
        <v>163.80000000000001</v>
      </c>
      <c r="AC317">
        <v>169.3</v>
      </c>
      <c r="AD317">
        <v>162.4</v>
      </c>
      <c r="AE317">
        <v>165.2</v>
      </c>
      <c r="AF317">
        <v>167.6</v>
      </c>
    </row>
    <row r="318" spans="1:32">
      <c r="A318" t="s">
        <v>33</v>
      </c>
      <c r="B318">
        <v>2021</v>
      </c>
      <c r="C318" t="s">
        <v>45</v>
      </c>
      <c r="D318">
        <v>151</v>
      </c>
      <c r="E318">
        <v>204.9</v>
      </c>
      <c r="F318">
        <v>175.4</v>
      </c>
      <c r="G318">
        <v>159.6</v>
      </c>
      <c r="H318">
        <v>175.8</v>
      </c>
      <c r="I318">
        <v>160.30000000000001</v>
      </c>
      <c r="J318">
        <v>229.1</v>
      </c>
      <c r="K318">
        <v>165.1</v>
      </c>
      <c r="L318">
        <v>123.1</v>
      </c>
      <c r="M318">
        <v>167.2</v>
      </c>
      <c r="N318">
        <v>156.1</v>
      </c>
      <c r="O318">
        <v>176.8</v>
      </c>
      <c r="P318">
        <f t="shared" si="8"/>
        <v>170.36666666666665</v>
      </c>
      <c r="Q318">
        <v>173.5</v>
      </c>
      <c r="R318">
        <v>197</v>
      </c>
      <c r="S318">
        <v>162.30000000000001</v>
      </c>
      <c r="T318">
        <v>145.30000000000001</v>
      </c>
      <c r="U318">
        <f t="shared" si="9"/>
        <v>153.80000000000001</v>
      </c>
      <c r="V318">
        <v>159.69999999999999</v>
      </c>
      <c r="W318">
        <v>164.2</v>
      </c>
      <c r="X318">
        <v>161.6</v>
      </c>
      <c r="Y318">
        <v>155.19999999999999</v>
      </c>
      <c r="Z318">
        <v>164.2</v>
      </c>
      <c r="AA318">
        <v>151.19999999999999</v>
      </c>
      <c r="AB318">
        <v>156.69999999999999</v>
      </c>
      <c r="AC318">
        <v>160.80000000000001</v>
      </c>
      <c r="AD318">
        <v>161.80000000000001</v>
      </c>
      <c r="AE318">
        <v>157.30000000000001</v>
      </c>
      <c r="AF318">
        <v>165.6</v>
      </c>
    </row>
    <row r="319" spans="1:32">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f t="shared" si="8"/>
        <v>168.7</v>
      </c>
      <c r="Q319">
        <v>169.7</v>
      </c>
      <c r="R319">
        <v>192.9</v>
      </c>
      <c r="S319">
        <v>167.2</v>
      </c>
      <c r="T319">
        <v>157.4</v>
      </c>
      <c r="U319">
        <f t="shared" si="9"/>
        <v>162.30000000000001</v>
      </c>
      <c r="V319">
        <v>165.8</v>
      </c>
      <c r="W319">
        <v>164.2</v>
      </c>
      <c r="X319">
        <v>163.9</v>
      </c>
      <c r="Y319">
        <v>159.30000000000001</v>
      </c>
      <c r="Z319">
        <v>169.9</v>
      </c>
      <c r="AA319">
        <v>154.80000000000001</v>
      </c>
      <c r="AB319">
        <v>159.80000000000001</v>
      </c>
      <c r="AC319">
        <v>164.3</v>
      </c>
      <c r="AD319">
        <v>162.19999999999999</v>
      </c>
      <c r="AE319">
        <v>161.4</v>
      </c>
      <c r="AF319">
        <v>166.7</v>
      </c>
    </row>
    <row r="320" spans="1:32">
      <c r="A320" t="s">
        <v>30</v>
      </c>
      <c r="B320">
        <v>2021</v>
      </c>
      <c r="C320" t="s">
        <v>46</v>
      </c>
      <c r="D320">
        <v>147.4</v>
      </c>
      <c r="E320">
        <v>197</v>
      </c>
      <c r="F320">
        <v>176.5</v>
      </c>
      <c r="G320">
        <v>159.80000000000001</v>
      </c>
      <c r="H320">
        <v>195.8</v>
      </c>
      <c r="I320">
        <v>152</v>
      </c>
      <c r="J320">
        <v>172.3</v>
      </c>
      <c r="K320">
        <v>164.5</v>
      </c>
      <c r="L320">
        <v>120.6</v>
      </c>
      <c r="M320">
        <v>171.7</v>
      </c>
      <c r="N320">
        <v>169.7</v>
      </c>
      <c r="O320">
        <v>175.1</v>
      </c>
      <c r="P320">
        <f t="shared" si="8"/>
        <v>166.86666666666665</v>
      </c>
      <c r="Q320">
        <v>165.8</v>
      </c>
      <c r="R320">
        <v>190.8</v>
      </c>
      <c r="S320">
        <v>171.8</v>
      </c>
      <c r="T320">
        <v>167.3</v>
      </c>
      <c r="U320">
        <f t="shared" si="9"/>
        <v>169.55</v>
      </c>
      <c r="V320">
        <v>171.2</v>
      </c>
      <c r="W320" t="s">
        <v>32</v>
      </c>
      <c r="X320">
        <v>165.6</v>
      </c>
      <c r="Y320">
        <v>163.9</v>
      </c>
      <c r="Z320">
        <v>174</v>
      </c>
      <c r="AA320">
        <v>160.1</v>
      </c>
      <c r="AB320">
        <v>164.5</v>
      </c>
      <c r="AC320">
        <v>169.7</v>
      </c>
      <c r="AD320">
        <v>162.80000000000001</v>
      </c>
      <c r="AE320">
        <v>166</v>
      </c>
      <c r="AF320">
        <v>167</v>
      </c>
    </row>
    <row r="321" spans="1:32">
      <c r="A321" t="s">
        <v>33</v>
      </c>
      <c r="B321">
        <v>2021</v>
      </c>
      <c r="C321" t="s">
        <v>46</v>
      </c>
      <c r="D321">
        <v>151.6</v>
      </c>
      <c r="E321">
        <v>202.2</v>
      </c>
      <c r="F321">
        <v>180</v>
      </c>
      <c r="G321">
        <v>160</v>
      </c>
      <c r="H321">
        <v>173.5</v>
      </c>
      <c r="I321">
        <v>158.30000000000001</v>
      </c>
      <c r="J321">
        <v>219.5</v>
      </c>
      <c r="K321">
        <v>164.2</v>
      </c>
      <c r="L321">
        <v>121.9</v>
      </c>
      <c r="M321">
        <v>168.2</v>
      </c>
      <c r="N321">
        <v>156.5</v>
      </c>
      <c r="O321">
        <v>178.2</v>
      </c>
      <c r="P321">
        <f t="shared" si="8"/>
        <v>169.50833333333335</v>
      </c>
      <c r="Q321">
        <v>172.2</v>
      </c>
      <c r="R321">
        <v>196.8</v>
      </c>
      <c r="S321">
        <v>163.30000000000001</v>
      </c>
      <c r="T321">
        <v>146.69999999999999</v>
      </c>
      <c r="U321">
        <f t="shared" si="9"/>
        <v>155</v>
      </c>
      <c r="V321">
        <v>160.69999999999999</v>
      </c>
      <c r="W321">
        <v>163.4</v>
      </c>
      <c r="X321">
        <v>161.69999999999999</v>
      </c>
      <c r="Y321">
        <v>156</v>
      </c>
      <c r="Z321">
        <v>165.1</v>
      </c>
      <c r="AA321">
        <v>151.80000000000001</v>
      </c>
      <c r="AB321">
        <v>157.6</v>
      </c>
      <c r="AC321">
        <v>160.6</v>
      </c>
      <c r="AD321">
        <v>162.4</v>
      </c>
      <c r="AE321">
        <v>157.80000000000001</v>
      </c>
      <c r="AF321">
        <v>165.2</v>
      </c>
    </row>
    <row r="322" spans="1:32">
      <c r="A322" t="s">
        <v>34</v>
      </c>
      <c r="B322">
        <v>2021</v>
      </c>
      <c r="C322" t="s">
        <v>46</v>
      </c>
      <c r="D322">
        <v>148.69999999999999</v>
      </c>
      <c r="E322">
        <v>198.8</v>
      </c>
      <c r="F322">
        <v>177.9</v>
      </c>
      <c r="G322">
        <v>159.9</v>
      </c>
      <c r="H322">
        <v>187.6</v>
      </c>
      <c r="I322">
        <v>154.9</v>
      </c>
      <c r="J322">
        <v>188.3</v>
      </c>
      <c r="K322">
        <v>164.4</v>
      </c>
      <c r="L322">
        <v>121</v>
      </c>
      <c r="M322">
        <v>170.5</v>
      </c>
      <c r="N322">
        <v>164.2</v>
      </c>
      <c r="O322">
        <v>176.5</v>
      </c>
      <c r="P322">
        <f t="shared" si="8"/>
        <v>167.72499999999999</v>
      </c>
      <c r="Q322">
        <v>168.2</v>
      </c>
      <c r="R322">
        <v>192.4</v>
      </c>
      <c r="S322">
        <v>168.5</v>
      </c>
      <c r="T322">
        <v>158.69999999999999</v>
      </c>
      <c r="U322">
        <f t="shared" si="9"/>
        <v>163.6</v>
      </c>
      <c r="V322">
        <v>167</v>
      </c>
      <c r="W322">
        <v>163.4</v>
      </c>
      <c r="X322">
        <v>164.1</v>
      </c>
      <c r="Y322">
        <v>160.19999999999999</v>
      </c>
      <c r="Z322">
        <v>170.6</v>
      </c>
      <c r="AA322">
        <v>155.69999999999999</v>
      </c>
      <c r="AB322">
        <v>160.6</v>
      </c>
      <c r="AC322">
        <v>164.4</v>
      </c>
      <c r="AD322">
        <v>162.6</v>
      </c>
      <c r="AE322">
        <v>162</v>
      </c>
      <c r="AF322">
        <v>166.2</v>
      </c>
    </row>
    <row r="323" spans="1:32">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f t="shared" ref="P323:P373" si="10">AVERAGE(D323:O323)</f>
        <v>165.74166666666665</v>
      </c>
      <c r="Q323">
        <v>164.1</v>
      </c>
      <c r="R323">
        <v>190.7</v>
      </c>
      <c r="S323">
        <v>173.2</v>
      </c>
      <c r="T323">
        <v>169.3</v>
      </c>
      <c r="U323">
        <f t="shared" ref="U323:U373" si="11">AVERAGE(S323,T323)</f>
        <v>171.25</v>
      </c>
      <c r="V323">
        <v>172.7</v>
      </c>
      <c r="W323" t="s">
        <v>32</v>
      </c>
      <c r="X323">
        <v>165.8</v>
      </c>
      <c r="Y323">
        <v>164.9</v>
      </c>
      <c r="Z323">
        <v>174.7</v>
      </c>
      <c r="AA323">
        <v>160.80000000000001</v>
      </c>
      <c r="AB323">
        <v>164.9</v>
      </c>
      <c r="AC323">
        <v>169.9</v>
      </c>
      <c r="AD323">
        <v>163.19999999999999</v>
      </c>
      <c r="AE323">
        <v>166.6</v>
      </c>
      <c r="AF323">
        <v>166.4</v>
      </c>
    </row>
    <row r="324" spans="1:32">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f t="shared" si="10"/>
        <v>168.0333333333333</v>
      </c>
      <c r="Q324">
        <v>170.3</v>
      </c>
      <c r="R324">
        <v>196.4</v>
      </c>
      <c r="S324">
        <v>164.7</v>
      </c>
      <c r="T324">
        <v>148.5</v>
      </c>
      <c r="U324">
        <f t="shared" si="11"/>
        <v>156.6</v>
      </c>
      <c r="V324">
        <v>162.19999999999999</v>
      </c>
      <c r="W324">
        <v>164.5</v>
      </c>
      <c r="X324">
        <v>161.6</v>
      </c>
      <c r="Y324">
        <v>156.80000000000001</v>
      </c>
      <c r="Z324">
        <v>166.1</v>
      </c>
      <c r="AA324">
        <v>152.69999999999999</v>
      </c>
      <c r="AB324">
        <v>158.4</v>
      </c>
      <c r="AC324">
        <v>161</v>
      </c>
      <c r="AD324">
        <v>162.80000000000001</v>
      </c>
      <c r="AE324">
        <v>158.6</v>
      </c>
      <c r="AF324">
        <v>165</v>
      </c>
    </row>
    <row r="325" spans="1:32">
      <c r="A325" t="s">
        <v>34</v>
      </c>
      <c r="B325">
        <v>2022</v>
      </c>
      <c r="C325" t="s">
        <v>31</v>
      </c>
      <c r="D325">
        <v>149.5</v>
      </c>
      <c r="E325">
        <v>198.7</v>
      </c>
      <c r="F325">
        <v>178.8</v>
      </c>
      <c r="G325">
        <v>160.5</v>
      </c>
      <c r="H325">
        <v>184.7</v>
      </c>
      <c r="I325">
        <v>153.69999999999999</v>
      </c>
      <c r="J325">
        <v>174.3</v>
      </c>
      <c r="K325">
        <v>163.9</v>
      </c>
      <c r="L325">
        <v>120</v>
      </c>
      <c r="M325">
        <v>172.1</v>
      </c>
      <c r="N325">
        <v>164.3</v>
      </c>
      <c r="O325">
        <v>177.3</v>
      </c>
      <c r="P325">
        <f t="shared" si="10"/>
        <v>166.48333333333332</v>
      </c>
      <c r="Q325">
        <v>166.4</v>
      </c>
      <c r="R325">
        <v>192.2</v>
      </c>
      <c r="S325">
        <v>169.9</v>
      </c>
      <c r="T325">
        <v>160.69999999999999</v>
      </c>
      <c r="U325">
        <f t="shared" si="11"/>
        <v>165.3</v>
      </c>
      <c r="V325">
        <v>168.5</v>
      </c>
      <c r="W325">
        <v>164.5</v>
      </c>
      <c r="X325">
        <v>164.2</v>
      </c>
      <c r="Y325">
        <v>161.1</v>
      </c>
      <c r="Z325">
        <v>171.4</v>
      </c>
      <c r="AA325">
        <v>156.5</v>
      </c>
      <c r="AB325">
        <v>161.19999999999999</v>
      </c>
      <c r="AC325">
        <v>164.7</v>
      </c>
      <c r="AD325">
        <v>163</v>
      </c>
      <c r="AE325">
        <v>162.69999999999999</v>
      </c>
      <c r="AF325">
        <v>165.7</v>
      </c>
    </row>
    <row r="326" spans="1:32">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f t="shared" si="10"/>
        <v>165.54166666666666</v>
      </c>
      <c r="Q326">
        <v>163.9</v>
      </c>
      <c r="R326">
        <v>191.5</v>
      </c>
      <c r="S326">
        <v>174.1</v>
      </c>
      <c r="T326">
        <v>171</v>
      </c>
      <c r="U326">
        <f t="shared" si="11"/>
        <v>172.55</v>
      </c>
      <c r="V326">
        <v>173.7</v>
      </c>
      <c r="W326" t="s">
        <v>32</v>
      </c>
      <c r="X326">
        <v>167.4</v>
      </c>
      <c r="Y326">
        <v>165.7</v>
      </c>
      <c r="Z326">
        <v>175.3</v>
      </c>
      <c r="AA326">
        <v>161.19999999999999</v>
      </c>
      <c r="AB326">
        <v>165.5</v>
      </c>
      <c r="AC326">
        <v>170.3</v>
      </c>
      <c r="AD326">
        <v>164.5</v>
      </c>
      <c r="AE326">
        <v>167.3</v>
      </c>
      <c r="AF326">
        <v>166.7</v>
      </c>
    </row>
    <row r="327" spans="1:32">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f t="shared" si="10"/>
        <v>167.77500000000001</v>
      </c>
      <c r="Q327">
        <v>170.2</v>
      </c>
      <c r="R327">
        <v>196.5</v>
      </c>
      <c r="S327">
        <v>165.7</v>
      </c>
      <c r="T327">
        <v>150.4</v>
      </c>
      <c r="U327">
        <f t="shared" si="11"/>
        <v>158.05000000000001</v>
      </c>
      <c r="V327">
        <v>163.4</v>
      </c>
      <c r="W327">
        <v>165.5</v>
      </c>
      <c r="X327">
        <v>163</v>
      </c>
      <c r="Y327">
        <v>157.4</v>
      </c>
      <c r="Z327">
        <v>167.2</v>
      </c>
      <c r="AA327">
        <v>153.1</v>
      </c>
      <c r="AB327">
        <v>159.5</v>
      </c>
      <c r="AC327">
        <v>162</v>
      </c>
      <c r="AD327">
        <v>164.2</v>
      </c>
      <c r="AE327">
        <v>159.4</v>
      </c>
      <c r="AF327">
        <v>165.5</v>
      </c>
    </row>
    <row r="328" spans="1:32">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f t="shared" si="10"/>
        <v>166.25000000000003</v>
      </c>
      <c r="Q328">
        <v>166.2</v>
      </c>
      <c r="R328">
        <v>192.8</v>
      </c>
      <c r="S328">
        <v>170.8</v>
      </c>
      <c r="T328">
        <v>162.4</v>
      </c>
      <c r="U328">
        <f t="shared" si="11"/>
        <v>166.60000000000002</v>
      </c>
      <c r="V328">
        <v>169.6</v>
      </c>
      <c r="W328">
        <v>165.5</v>
      </c>
      <c r="X328">
        <v>165.7</v>
      </c>
      <c r="Y328">
        <v>161.80000000000001</v>
      </c>
      <c r="Z328">
        <v>172.2</v>
      </c>
      <c r="AA328">
        <v>156.9</v>
      </c>
      <c r="AB328">
        <v>162.1</v>
      </c>
      <c r="AC328">
        <v>165.4</v>
      </c>
      <c r="AD328">
        <v>164.4</v>
      </c>
      <c r="AE328">
        <v>163.5</v>
      </c>
      <c r="AF328">
        <v>166.1</v>
      </c>
    </row>
    <row r="329" spans="1:32">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f t="shared" si="10"/>
        <v>167.70833333333334</v>
      </c>
      <c r="Q329">
        <v>166.6</v>
      </c>
      <c r="R329">
        <v>192.3</v>
      </c>
      <c r="S329">
        <v>175.4</v>
      </c>
      <c r="T329">
        <v>173.2</v>
      </c>
      <c r="U329">
        <f t="shared" si="11"/>
        <v>174.3</v>
      </c>
      <c r="V329">
        <v>175.1</v>
      </c>
      <c r="W329" t="s">
        <v>32</v>
      </c>
      <c r="X329">
        <v>168.9</v>
      </c>
      <c r="Y329">
        <v>166.5</v>
      </c>
      <c r="Z329">
        <v>176</v>
      </c>
      <c r="AA329">
        <v>162</v>
      </c>
      <c r="AB329">
        <v>166.6</v>
      </c>
      <c r="AC329">
        <v>170.6</v>
      </c>
      <c r="AD329">
        <v>167.4</v>
      </c>
      <c r="AE329">
        <v>168.3</v>
      </c>
      <c r="AF329">
        <v>168.7</v>
      </c>
    </row>
    <row r="330" spans="1:32">
      <c r="A330" t="s">
        <v>33</v>
      </c>
      <c r="B330">
        <v>2022</v>
      </c>
      <c r="C330" t="s">
        <v>36</v>
      </c>
      <c r="D330">
        <v>153.69999999999999</v>
      </c>
      <c r="E330">
        <v>215.8</v>
      </c>
      <c r="F330">
        <v>167.7</v>
      </c>
      <c r="G330">
        <v>162.6</v>
      </c>
      <c r="H330">
        <v>180</v>
      </c>
      <c r="I330">
        <v>159.6</v>
      </c>
      <c r="J330">
        <v>188.4</v>
      </c>
      <c r="K330">
        <v>163.4</v>
      </c>
      <c r="L330">
        <v>120.3</v>
      </c>
      <c r="M330">
        <v>174.7</v>
      </c>
      <c r="N330">
        <v>157.1</v>
      </c>
      <c r="O330">
        <v>181.5</v>
      </c>
      <c r="P330">
        <f t="shared" si="10"/>
        <v>168.73333333333335</v>
      </c>
      <c r="Q330">
        <v>171.5</v>
      </c>
      <c r="R330">
        <v>197.5</v>
      </c>
      <c r="S330">
        <v>167.1</v>
      </c>
      <c r="T330">
        <v>152.6</v>
      </c>
      <c r="U330">
        <f t="shared" si="11"/>
        <v>159.85</v>
      </c>
      <c r="V330">
        <v>164.9</v>
      </c>
      <c r="W330">
        <v>165.3</v>
      </c>
      <c r="X330">
        <v>164.5</v>
      </c>
      <c r="Y330">
        <v>158.6</v>
      </c>
      <c r="Z330">
        <v>168.2</v>
      </c>
      <c r="AA330">
        <v>154.19999999999999</v>
      </c>
      <c r="AB330">
        <v>160.80000000000001</v>
      </c>
      <c r="AC330">
        <v>162.69999999999999</v>
      </c>
      <c r="AD330">
        <v>166.8</v>
      </c>
      <c r="AE330">
        <v>160.6</v>
      </c>
      <c r="AF330">
        <v>166.5</v>
      </c>
    </row>
    <row r="331" spans="1:32">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f t="shared" si="10"/>
        <v>167.98333333333335</v>
      </c>
      <c r="Q331">
        <v>168.4</v>
      </c>
      <c r="R331">
        <v>193.7</v>
      </c>
      <c r="S331">
        <v>172.1</v>
      </c>
      <c r="T331">
        <v>164.6</v>
      </c>
      <c r="U331">
        <f t="shared" si="11"/>
        <v>168.35</v>
      </c>
      <c r="V331">
        <v>171.1</v>
      </c>
      <c r="W331">
        <v>165.3</v>
      </c>
      <c r="X331">
        <v>167.2</v>
      </c>
      <c r="Y331">
        <v>162.80000000000001</v>
      </c>
      <c r="Z331">
        <v>173</v>
      </c>
      <c r="AA331">
        <v>157.9</v>
      </c>
      <c r="AB331">
        <v>163.30000000000001</v>
      </c>
      <c r="AC331">
        <v>166</v>
      </c>
      <c r="AD331">
        <v>167.2</v>
      </c>
      <c r="AE331">
        <v>164.6</v>
      </c>
      <c r="AF331">
        <v>167.7</v>
      </c>
    </row>
    <row r="332" spans="1:32">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f t="shared" si="10"/>
        <v>169.83333333333334</v>
      </c>
      <c r="Q332">
        <v>168.6</v>
      </c>
      <c r="R332">
        <v>192.8</v>
      </c>
      <c r="S332">
        <v>177.5</v>
      </c>
      <c r="T332">
        <v>175.1</v>
      </c>
      <c r="U332">
        <f t="shared" si="11"/>
        <v>176.3</v>
      </c>
      <c r="V332">
        <v>177.1</v>
      </c>
      <c r="W332" t="s">
        <v>32</v>
      </c>
      <c r="X332">
        <v>173.3</v>
      </c>
      <c r="Y332">
        <v>167.7</v>
      </c>
      <c r="Z332">
        <v>177</v>
      </c>
      <c r="AA332">
        <v>166.2</v>
      </c>
      <c r="AB332">
        <v>167.2</v>
      </c>
      <c r="AC332">
        <v>170.9</v>
      </c>
      <c r="AD332">
        <v>169</v>
      </c>
      <c r="AE332">
        <v>170.2</v>
      </c>
      <c r="AF332">
        <v>170.8</v>
      </c>
    </row>
    <row r="333" spans="1:32">
      <c r="A333" t="s">
        <v>33</v>
      </c>
      <c r="B333">
        <v>2022</v>
      </c>
      <c r="C333" t="s">
        <v>37</v>
      </c>
      <c r="D333">
        <v>155.4</v>
      </c>
      <c r="E333">
        <v>215.8</v>
      </c>
      <c r="F333">
        <v>164.6</v>
      </c>
      <c r="G333">
        <v>164.2</v>
      </c>
      <c r="H333">
        <v>186</v>
      </c>
      <c r="I333">
        <v>175.9</v>
      </c>
      <c r="J333">
        <v>190.7</v>
      </c>
      <c r="K333">
        <v>164</v>
      </c>
      <c r="L333">
        <v>120.5</v>
      </c>
      <c r="M333">
        <v>178</v>
      </c>
      <c r="N333">
        <v>157.5</v>
      </c>
      <c r="O333">
        <v>183.3</v>
      </c>
      <c r="P333">
        <f t="shared" si="10"/>
        <v>171.32500000000002</v>
      </c>
      <c r="Q333">
        <v>174.5</v>
      </c>
      <c r="R333">
        <v>197.1</v>
      </c>
      <c r="S333">
        <v>168.4</v>
      </c>
      <c r="T333">
        <v>154.5</v>
      </c>
      <c r="U333">
        <f t="shared" si="11"/>
        <v>161.44999999999999</v>
      </c>
      <c r="V333">
        <v>166.3</v>
      </c>
      <c r="W333">
        <v>167</v>
      </c>
      <c r="X333">
        <v>170.5</v>
      </c>
      <c r="Y333">
        <v>159.80000000000001</v>
      </c>
      <c r="Z333">
        <v>169</v>
      </c>
      <c r="AA333">
        <v>159.30000000000001</v>
      </c>
      <c r="AB333">
        <v>162.19999999999999</v>
      </c>
      <c r="AC333">
        <v>164</v>
      </c>
      <c r="AD333">
        <v>168.4</v>
      </c>
      <c r="AE333">
        <v>163.1</v>
      </c>
      <c r="AF333">
        <v>169.2</v>
      </c>
    </row>
    <row r="334" spans="1:32">
      <c r="A334" t="s">
        <v>34</v>
      </c>
      <c r="B334">
        <v>2022</v>
      </c>
      <c r="C334" t="s">
        <v>37</v>
      </c>
      <c r="D334">
        <v>152.9</v>
      </c>
      <c r="E334">
        <v>211.8</v>
      </c>
      <c r="F334">
        <v>164.5</v>
      </c>
      <c r="G334">
        <v>163.9</v>
      </c>
      <c r="H334">
        <v>199.5</v>
      </c>
      <c r="I334">
        <v>172.6</v>
      </c>
      <c r="J334">
        <v>166.2</v>
      </c>
      <c r="K334">
        <v>164.7</v>
      </c>
      <c r="L334">
        <v>119</v>
      </c>
      <c r="M334">
        <v>181.3</v>
      </c>
      <c r="N334">
        <v>166.2</v>
      </c>
      <c r="O334">
        <v>180.9</v>
      </c>
      <c r="P334">
        <f t="shared" si="10"/>
        <v>170.29166666666669</v>
      </c>
      <c r="Q334">
        <v>170.8</v>
      </c>
      <c r="R334">
        <v>193.9</v>
      </c>
      <c r="S334">
        <v>173.9</v>
      </c>
      <c r="T334">
        <v>166.5</v>
      </c>
      <c r="U334">
        <f t="shared" si="11"/>
        <v>170.2</v>
      </c>
      <c r="V334">
        <v>172.8</v>
      </c>
      <c r="W334">
        <v>167</v>
      </c>
      <c r="X334">
        <v>172.2</v>
      </c>
      <c r="Y334">
        <v>164</v>
      </c>
      <c r="Z334">
        <v>174</v>
      </c>
      <c r="AA334">
        <v>162.6</v>
      </c>
      <c r="AB334">
        <v>164.4</v>
      </c>
      <c r="AC334">
        <v>166.9</v>
      </c>
      <c r="AD334">
        <v>168.8</v>
      </c>
      <c r="AE334">
        <v>166.8</v>
      </c>
      <c r="AF334">
        <v>170.1</v>
      </c>
    </row>
    <row r="335" spans="1:32">
      <c r="A335" t="s">
        <v>30</v>
      </c>
      <c r="B335">
        <v>2022</v>
      </c>
      <c r="C335" t="s">
        <v>38</v>
      </c>
      <c r="D335">
        <v>152.9</v>
      </c>
      <c r="E335">
        <v>214.7</v>
      </c>
      <c r="F335">
        <v>161.4</v>
      </c>
      <c r="G335">
        <v>164.6</v>
      </c>
      <c r="H335">
        <v>209.9</v>
      </c>
      <c r="I335">
        <v>168</v>
      </c>
      <c r="J335">
        <v>160.4</v>
      </c>
      <c r="K335">
        <v>165</v>
      </c>
      <c r="L335">
        <v>118.9</v>
      </c>
      <c r="M335">
        <v>186.6</v>
      </c>
      <c r="N335">
        <v>173.2</v>
      </c>
      <c r="O335">
        <v>180.4</v>
      </c>
      <c r="P335">
        <f t="shared" si="10"/>
        <v>171.33333333333334</v>
      </c>
      <c r="Q335">
        <v>170.8</v>
      </c>
      <c r="R335">
        <v>192.9</v>
      </c>
      <c r="S335">
        <v>179.3</v>
      </c>
      <c r="T335">
        <v>177.2</v>
      </c>
      <c r="U335">
        <f t="shared" si="11"/>
        <v>178.25</v>
      </c>
      <c r="V335">
        <v>179</v>
      </c>
      <c r="W335" t="s">
        <v>32</v>
      </c>
      <c r="X335">
        <v>175.3</v>
      </c>
      <c r="Y335">
        <v>168.9</v>
      </c>
      <c r="Z335">
        <v>177.7</v>
      </c>
      <c r="AA335">
        <v>167.1</v>
      </c>
      <c r="AB335">
        <v>167.6</v>
      </c>
      <c r="AC335">
        <v>171.8</v>
      </c>
      <c r="AD335">
        <v>168.5</v>
      </c>
      <c r="AE335">
        <v>170.9</v>
      </c>
      <c r="AF335">
        <v>172.5</v>
      </c>
    </row>
    <row r="336" spans="1:32">
      <c r="A336" t="s">
        <v>33</v>
      </c>
      <c r="B336">
        <v>2022</v>
      </c>
      <c r="C336" t="s">
        <v>38</v>
      </c>
      <c r="D336">
        <v>156.69999999999999</v>
      </c>
      <c r="E336">
        <v>221.2</v>
      </c>
      <c r="F336">
        <v>164.1</v>
      </c>
      <c r="G336">
        <v>165.4</v>
      </c>
      <c r="H336">
        <v>189.5</v>
      </c>
      <c r="I336">
        <v>174.5</v>
      </c>
      <c r="J336">
        <v>203.2</v>
      </c>
      <c r="K336">
        <v>164.1</v>
      </c>
      <c r="L336">
        <v>121.2</v>
      </c>
      <c r="M336">
        <v>181.4</v>
      </c>
      <c r="N336">
        <v>158.5</v>
      </c>
      <c r="O336">
        <v>184.9</v>
      </c>
      <c r="P336">
        <f t="shared" si="10"/>
        <v>173.72500000000002</v>
      </c>
      <c r="Q336">
        <v>177.5</v>
      </c>
      <c r="R336">
        <v>197.5</v>
      </c>
      <c r="S336">
        <v>170</v>
      </c>
      <c r="T336">
        <v>155.9</v>
      </c>
      <c r="U336">
        <f t="shared" si="11"/>
        <v>162.94999999999999</v>
      </c>
      <c r="V336">
        <v>167.8</v>
      </c>
      <c r="W336">
        <v>167.5</v>
      </c>
      <c r="X336">
        <v>173.5</v>
      </c>
      <c r="Y336">
        <v>161.1</v>
      </c>
      <c r="Z336">
        <v>170.1</v>
      </c>
      <c r="AA336">
        <v>159.4</v>
      </c>
      <c r="AB336">
        <v>163.19999999999999</v>
      </c>
      <c r="AC336">
        <v>165.2</v>
      </c>
      <c r="AD336">
        <v>168.2</v>
      </c>
      <c r="AE336">
        <v>163.80000000000001</v>
      </c>
      <c r="AF336">
        <v>170.8</v>
      </c>
    </row>
    <row r="337" spans="1:32">
      <c r="A337" t="s">
        <v>34</v>
      </c>
      <c r="B337">
        <v>2022</v>
      </c>
      <c r="C337" t="s">
        <v>38</v>
      </c>
      <c r="D337">
        <v>154.1</v>
      </c>
      <c r="E337">
        <v>217</v>
      </c>
      <c r="F337">
        <v>162.4</v>
      </c>
      <c r="G337">
        <v>164.9</v>
      </c>
      <c r="H337">
        <v>202.4</v>
      </c>
      <c r="I337">
        <v>171</v>
      </c>
      <c r="J337">
        <v>174.9</v>
      </c>
      <c r="K337">
        <v>164.7</v>
      </c>
      <c r="L337">
        <v>119.7</v>
      </c>
      <c r="M337">
        <v>184.9</v>
      </c>
      <c r="N337">
        <v>167.1</v>
      </c>
      <c r="O337">
        <v>182.5</v>
      </c>
      <c r="P337">
        <f t="shared" si="10"/>
        <v>172.13333333333335</v>
      </c>
      <c r="Q337">
        <v>173.3</v>
      </c>
      <c r="R337">
        <v>194.1</v>
      </c>
      <c r="S337">
        <v>175.6</v>
      </c>
      <c r="T337">
        <v>168.4</v>
      </c>
      <c r="U337">
        <f t="shared" si="11"/>
        <v>172</v>
      </c>
      <c r="V337">
        <v>174.6</v>
      </c>
      <c r="W337">
        <v>167.5</v>
      </c>
      <c r="X337">
        <v>174.6</v>
      </c>
      <c r="Y337">
        <v>165.2</v>
      </c>
      <c r="Z337">
        <v>174.8</v>
      </c>
      <c r="AA337">
        <v>163</v>
      </c>
      <c r="AB337">
        <v>165.1</v>
      </c>
      <c r="AC337">
        <v>167.9</v>
      </c>
      <c r="AD337">
        <v>168.4</v>
      </c>
      <c r="AE337">
        <v>167.5</v>
      </c>
      <c r="AF337">
        <v>171.7</v>
      </c>
    </row>
    <row r="338" spans="1:32">
      <c r="A338" t="s">
        <v>30</v>
      </c>
      <c r="B338">
        <v>2022</v>
      </c>
      <c r="C338" t="s">
        <v>39</v>
      </c>
      <c r="D338">
        <v>153.80000000000001</v>
      </c>
      <c r="E338">
        <v>217.2</v>
      </c>
      <c r="F338">
        <v>169.6</v>
      </c>
      <c r="G338">
        <v>165.4</v>
      </c>
      <c r="H338">
        <v>208.1</v>
      </c>
      <c r="I338">
        <v>165.8</v>
      </c>
      <c r="J338">
        <v>167.3</v>
      </c>
      <c r="K338">
        <v>164.6</v>
      </c>
      <c r="L338">
        <v>119.1</v>
      </c>
      <c r="M338">
        <v>188.9</v>
      </c>
      <c r="N338">
        <v>174.2</v>
      </c>
      <c r="O338">
        <v>181.9</v>
      </c>
      <c r="P338">
        <f t="shared" si="10"/>
        <v>172.99166666666667</v>
      </c>
      <c r="Q338">
        <v>172.4</v>
      </c>
      <c r="R338">
        <v>192.9</v>
      </c>
      <c r="S338">
        <v>180.7</v>
      </c>
      <c r="T338">
        <v>178.7</v>
      </c>
      <c r="U338">
        <f t="shared" si="11"/>
        <v>179.7</v>
      </c>
      <c r="V338">
        <v>180.4</v>
      </c>
      <c r="W338" t="s">
        <v>32</v>
      </c>
      <c r="X338">
        <v>176.7</v>
      </c>
      <c r="Y338">
        <v>170.3</v>
      </c>
      <c r="Z338">
        <v>178.2</v>
      </c>
      <c r="AA338">
        <v>165.5</v>
      </c>
      <c r="AB338">
        <v>168</v>
      </c>
      <c r="AC338">
        <v>172.6</v>
      </c>
      <c r="AD338">
        <v>169.5</v>
      </c>
      <c r="AE338">
        <v>171</v>
      </c>
      <c r="AF338">
        <v>173.6</v>
      </c>
    </row>
    <row r="339" spans="1:32">
      <c r="A339" t="s">
        <v>33</v>
      </c>
      <c r="B339">
        <v>2022</v>
      </c>
      <c r="C339" t="s">
        <v>39</v>
      </c>
      <c r="D339">
        <v>157.5</v>
      </c>
      <c r="E339">
        <v>223.4</v>
      </c>
      <c r="F339">
        <v>172.8</v>
      </c>
      <c r="G339">
        <v>166.4</v>
      </c>
      <c r="H339">
        <v>188.6</v>
      </c>
      <c r="I339">
        <v>174.1</v>
      </c>
      <c r="J339">
        <v>211.5</v>
      </c>
      <c r="K339">
        <v>163.6</v>
      </c>
      <c r="L339">
        <v>121.4</v>
      </c>
      <c r="M339">
        <v>183.5</v>
      </c>
      <c r="N339">
        <v>159.1</v>
      </c>
      <c r="O339">
        <v>186.3</v>
      </c>
      <c r="P339">
        <f t="shared" si="10"/>
        <v>175.68333333333331</v>
      </c>
      <c r="Q339">
        <v>179.3</v>
      </c>
      <c r="R339">
        <v>198.3</v>
      </c>
      <c r="S339">
        <v>171.6</v>
      </c>
      <c r="T339">
        <v>157.4</v>
      </c>
      <c r="U339">
        <f t="shared" si="11"/>
        <v>164.5</v>
      </c>
      <c r="V339">
        <v>169.4</v>
      </c>
      <c r="W339">
        <v>166.8</v>
      </c>
      <c r="X339">
        <v>174.9</v>
      </c>
      <c r="Y339">
        <v>162.1</v>
      </c>
      <c r="Z339">
        <v>170.9</v>
      </c>
      <c r="AA339">
        <v>157.19999999999999</v>
      </c>
      <c r="AB339">
        <v>164.1</v>
      </c>
      <c r="AC339">
        <v>166.5</v>
      </c>
      <c r="AD339">
        <v>169.2</v>
      </c>
      <c r="AE339">
        <v>163.80000000000001</v>
      </c>
      <c r="AF339">
        <v>171.4</v>
      </c>
    </row>
    <row r="340" spans="1:32">
      <c r="A340" t="s">
        <v>34</v>
      </c>
      <c r="B340">
        <v>2022</v>
      </c>
      <c r="C340" t="s">
        <v>39</v>
      </c>
      <c r="D340">
        <v>155</v>
      </c>
      <c r="E340">
        <v>219.4</v>
      </c>
      <c r="F340">
        <v>170.8</v>
      </c>
      <c r="G340">
        <v>165.8</v>
      </c>
      <c r="H340">
        <v>200.9</v>
      </c>
      <c r="I340">
        <v>169.7</v>
      </c>
      <c r="J340">
        <v>182.3</v>
      </c>
      <c r="K340">
        <v>164.3</v>
      </c>
      <c r="L340">
        <v>119.9</v>
      </c>
      <c r="M340">
        <v>187.1</v>
      </c>
      <c r="N340">
        <v>167.9</v>
      </c>
      <c r="O340">
        <v>183.9</v>
      </c>
      <c r="P340">
        <f t="shared" si="10"/>
        <v>173.91666666666666</v>
      </c>
      <c r="Q340">
        <v>174.9</v>
      </c>
      <c r="R340">
        <v>194.3</v>
      </c>
      <c r="S340">
        <v>177.1</v>
      </c>
      <c r="T340">
        <v>169.9</v>
      </c>
      <c r="U340">
        <f t="shared" si="11"/>
        <v>173.5</v>
      </c>
      <c r="V340">
        <v>176</v>
      </c>
      <c r="W340">
        <v>166.8</v>
      </c>
      <c r="X340">
        <v>176</v>
      </c>
      <c r="Y340">
        <v>166.4</v>
      </c>
      <c r="Z340">
        <v>175.4</v>
      </c>
      <c r="AA340">
        <v>161.1</v>
      </c>
      <c r="AB340">
        <v>165.8</v>
      </c>
      <c r="AC340">
        <v>169</v>
      </c>
      <c r="AD340">
        <v>169.4</v>
      </c>
      <c r="AE340">
        <v>167.5</v>
      </c>
      <c r="AF340">
        <v>172.6</v>
      </c>
    </row>
    <row r="341" spans="1:32">
      <c r="A341" t="s">
        <v>30</v>
      </c>
      <c r="B341">
        <v>2022</v>
      </c>
      <c r="C341" t="s">
        <v>40</v>
      </c>
      <c r="D341">
        <v>155.19999999999999</v>
      </c>
      <c r="E341">
        <v>210.8</v>
      </c>
      <c r="F341">
        <v>174.3</v>
      </c>
      <c r="G341">
        <v>166.3</v>
      </c>
      <c r="H341">
        <v>202.2</v>
      </c>
      <c r="I341">
        <v>169.6</v>
      </c>
      <c r="J341">
        <v>168.6</v>
      </c>
      <c r="K341">
        <v>164.4</v>
      </c>
      <c r="L341">
        <v>119.2</v>
      </c>
      <c r="M341">
        <v>191.8</v>
      </c>
      <c r="N341">
        <v>174.5</v>
      </c>
      <c r="O341">
        <v>183.1</v>
      </c>
      <c r="P341">
        <f t="shared" si="10"/>
        <v>173.33333333333334</v>
      </c>
      <c r="Q341">
        <v>172.5</v>
      </c>
      <c r="R341">
        <v>193.2</v>
      </c>
      <c r="S341">
        <v>182</v>
      </c>
      <c r="T341">
        <v>180.3</v>
      </c>
      <c r="U341">
        <f t="shared" si="11"/>
        <v>181.15</v>
      </c>
      <c r="V341">
        <v>181.7</v>
      </c>
      <c r="W341" t="s">
        <v>32</v>
      </c>
      <c r="X341">
        <v>179.6</v>
      </c>
      <c r="Y341">
        <v>171.3</v>
      </c>
      <c r="Z341">
        <v>178.8</v>
      </c>
      <c r="AA341">
        <v>166.3</v>
      </c>
      <c r="AB341">
        <v>168.6</v>
      </c>
      <c r="AC341">
        <v>174.7</v>
      </c>
      <c r="AD341">
        <v>169.7</v>
      </c>
      <c r="AE341">
        <v>171.8</v>
      </c>
      <c r="AF341">
        <v>174.3</v>
      </c>
    </row>
    <row r="342" spans="1:32">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f t="shared" si="10"/>
        <v>176.01666666666665</v>
      </c>
      <c r="Q342">
        <v>179.4</v>
      </c>
      <c r="R342">
        <v>198.6</v>
      </c>
      <c r="S342">
        <v>172.7</v>
      </c>
      <c r="T342">
        <v>158.69999999999999</v>
      </c>
      <c r="U342">
        <f t="shared" si="11"/>
        <v>165.7</v>
      </c>
      <c r="V342">
        <v>170.6</v>
      </c>
      <c r="W342">
        <v>167.8</v>
      </c>
      <c r="X342">
        <v>179.5</v>
      </c>
      <c r="Y342">
        <v>163.1</v>
      </c>
      <c r="Z342">
        <v>171.7</v>
      </c>
      <c r="AA342">
        <v>157.4</v>
      </c>
      <c r="AB342">
        <v>164.6</v>
      </c>
      <c r="AC342">
        <v>169.1</v>
      </c>
      <c r="AD342">
        <v>169.8</v>
      </c>
      <c r="AE342">
        <v>164.7</v>
      </c>
      <c r="AF342">
        <v>172.3</v>
      </c>
    </row>
    <row r="343" spans="1:32">
      <c r="A343" t="s">
        <v>34</v>
      </c>
      <c r="B343">
        <v>2022</v>
      </c>
      <c r="C343" t="s">
        <v>40</v>
      </c>
      <c r="D343">
        <v>156.5</v>
      </c>
      <c r="E343">
        <v>213</v>
      </c>
      <c r="F343">
        <v>175.2</v>
      </c>
      <c r="G343">
        <v>166.6</v>
      </c>
      <c r="H343">
        <v>195.8</v>
      </c>
      <c r="I343">
        <v>174.2</v>
      </c>
      <c r="J343">
        <v>182.1</v>
      </c>
      <c r="K343">
        <v>164.3</v>
      </c>
      <c r="L343">
        <v>120</v>
      </c>
      <c r="M343">
        <v>190</v>
      </c>
      <c r="N343">
        <v>168.4</v>
      </c>
      <c r="O343">
        <v>185.2</v>
      </c>
      <c r="P343">
        <f t="shared" si="10"/>
        <v>174.27500000000001</v>
      </c>
      <c r="Q343">
        <v>175</v>
      </c>
      <c r="R343">
        <v>194.6</v>
      </c>
      <c r="S343">
        <v>178.3</v>
      </c>
      <c r="T343">
        <v>171.3</v>
      </c>
      <c r="U343">
        <f t="shared" si="11"/>
        <v>174.8</v>
      </c>
      <c r="V343">
        <v>177.3</v>
      </c>
      <c r="W343">
        <v>167.8</v>
      </c>
      <c r="X343">
        <v>179.6</v>
      </c>
      <c r="Y343">
        <v>167.4</v>
      </c>
      <c r="Z343">
        <v>176.1</v>
      </c>
      <c r="AA343">
        <v>161.6</v>
      </c>
      <c r="AB343">
        <v>166.3</v>
      </c>
      <c r="AC343">
        <v>171.4</v>
      </c>
      <c r="AD343">
        <v>169.7</v>
      </c>
      <c r="AE343">
        <v>168.4</v>
      </c>
      <c r="AF343">
        <v>173.4</v>
      </c>
    </row>
    <row r="344" spans="1:32">
      <c r="A344" t="s">
        <v>30</v>
      </c>
      <c r="B344">
        <v>2022</v>
      </c>
      <c r="C344" t="s">
        <v>41</v>
      </c>
      <c r="D344">
        <v>159.5</v>
      </c>
      <c r="E344">
        <v>204.1</v>
      </c>
      <c r="F344">
        <v>168.3</v>
      </c>
      <c r="G344">
        <v>167.9</v>
      </c>
      <c r="H344">
        <v>198.1</v>
      </c>
      <c r="I344">
        <v>169.2</v>
      </c>
      <c r="J344">
        <v>173.1</v>
      </c>
      <c r="K344">
        <v>167.1</v>
      </c>
      <c r="L344">
        <v>120.2</v>
      </c>
      <c r="M344">
        <v>195.6</v>
      </c>
      <c r="N344">
        <v>174.8</v>
      </c>
      <c r="O344">
        <v>184</v>
      </c>
      <c r="P344">
        <f t="shared" si="10"/>
        <v>173.49166666666665</v>
      </c>
      <c r="Q344">
        <v>173.9</v>
      </c>
      <c r="R344">
        <v>193.7</v>
      </c>
      <c r="S344">
        <v>183.2</v>
      </c>
      <c r="T344">
        <v>181.7</v>
      </c>
      <c r="U344">
        <f t="shared" si="11"/>
        <v>182.45</v>
      </c>
      <c r="V344">
        <v>183</v>
      </c>
      <c r="W344" t="s">
        <v>32</v>
      </c>
      <c r="X344">
        <v>179.1</v>
      </c>
      <c r="Y344">
        <v>172.3</v>
      </c>
      <c r="Z344">
        <v>179.4</v>
      </c>
      <c r="AA344">
        <v>166.6</v>
      </c>
      <c r="AB344">
        <v>169.3</v>
      </c>
      <c r="AC344">
        <v>175.7</v>
      </c>
      <c r="AD344">
        <v>171.1</v>
      </c>
      <c r="AE344">
        <v>172.6</v>
      </c>
      <c r="AF344">
        <v>175.3</v>
      </c>
    </row>
    <row r="345" spans="1:32">
      <c r="A345" t="s">
        <v>33</v>
      </c>
      <c r="B345">
        <v>2022</v>
      </c>
      <c r="C345" t="s">
        <v>41</v>
      </c>
      <c r="D345">
        <v>162.1</v>
      </c>
      <c r="E345">
        <v>210.9</v>
      </c>
      <c r="F345">
        <v>170.6</v>
      </c>
      <c r="G345">
        <v>168.4</v>
      </c>
      <c r="H345">
        <v>182.5</v>
      </c>
      <c r="I345">
        <v>177.1</v>
      </c>
      <c r="J345">
        <v>213.1</v>
      </c>
      <c r="K345">
        <v>167.3</v>
      </c>
      <c r="L345">
        <v>122.2</v>
      </c>
      <c r="M345">
        <v>189.7</v>
      </c>
      <c r="N345">
        <v>160.5</v>
      </c>
      <c r="O345">
        <v>188.9</v>
      </c>
      <c r="P345">
        <f t="shared" si="10"/>
        <v>176.10833333333332</v>
      </c>
      <c r="Q345">
        <v>180.4</v>
      </c>
      <c r="R345">
        <v>198.7</v>
      </c>
      <c r="S345">
        <v>173.7</v>
      </c>
      <c r="T345">
        <v>160</v>
      </c>
      <c r="U345">
        <f t="shared" si="11"/>
        <v>166.85</v>
      </c>
      <c r="V345">
        <v>171.6</v>
      </c>
      <c r="W345">
        <v>169</v>
      </c>
      <c r="X345">
        <v>178.4</v>
      </c>
      <c r="Y345">
        <v>164.2</v>
      </c>
      <c r="Z345">
        <v>172.6</v>
      </c>
      <c r="AA345">
        <v>157.69999999999999</v>
      </c>
      <c r="AB345">
        <v>165.1</v>
      </c>
      <c r="AC345">
        <v>169.9</v>
      </c>
      <c r="AD345">
        <v>171.4</v>
      </c>
      <c r="AE345">
        <v>165.4</v>
      </c>
      <c r="AF345">
        <v>173.1</v>
      </c>
    </row>
    <row r="346" spans="1:32">
      <c r="A346" t="s">
        <v>34</v>
      </c>
      <c r="B346">
        <v>2022</v>
      </c>
      <c r="C346" t="s">
        <v>41</v>
      </c>
      <c r="D346">
        <v>160.30000000000001</v>
      </c>
      <c r="E346">
        <v>206.5</v>
      </c>
      <c r="F346">
        <v>169.2</v>
      </c>
      <c r="G346">
        <v>168.1</v>
      </c>
      <c r="H346">
        <v>192.4</v>
      </c>
      <c r="I346">
        <v>172.9</v>
      </c>
      <c r="J346">
        <v>186.7</v>
      </c>
      <c r="K346">
        <v>167.2</v>
      </c>
      <c r="L346">
        <v>120.9</v>
      </c>
      <c r="M346">
        <v>193.6</v>
      </c>
      <c r="N346">
        <v>168.8</v>
      </c>
      <c r="O346">
        <v>186.3</v>
      </c>
      <c r="P346">
        <f t="shared" si="10"/>
        <v>174.40833333333333</v>
      </c>
      <c r="Q346">
        <v>176.3</v>
      </c>
      <c r="R346">
        <v>195</v>
      </c>
      <c r="S346">
        <v>179.5</v>
      </c>
      <c r="T346">
        <v>172.7</v>
      </c>
      <c r="U346">
        <f t="shared" si="11"/>
        <v>176.1</v>
      </c>
      <c r="V346">
        <v>178.5</v>
      </c>
      <c r="W346">
        <v>169</v>
      </c>
      <c r="X346">
        <v>178.8</v>
      </c>
      <c r="Y346">
        <v>168.5</v>
      </c>
      <c r="Z346">
        <v>176.8</v>
      </c>
      <c r="AA346">
        <v>161.9</v>
      </c>
      <c r="AB346">
        <v>166.9</v>
      </c>
      <c r="AC346">
        <v>172.3</v>
      </c>
      <c r="AD346">
        <v>171.2</v>
      </c>
      <c r="AE346">
        <v>169.1</v>
      </c>
      <c r="AF346">
        <v>174.3</v>
      </c>
    </row>
    <row r="347" spans="1:32">
      <c r="A347" t="s">
        <v>30</v>
      </c>
      <c r="B347">
        <v>2022</v>
      </c>
      <c r="C347" t="s">
        <v>42</v>
      </c>
      <c r="D347">
        <v>162.9</v>
      </c>
      <c r="E347">
        <v>206.7</v>
      </c>
      <c r="F347">
        <v>169</v>
      </c>
      <c r="G347">
        <v>169.5</v>
      </c>
      <c r="H347">
        <v>194.1</v>
      </c>
      <c r="I347">
        <v>164.1</v>
      </c>
      <c r="J347">
        <v>176.9</v>
      </c>
      <c r="K347">
        <v>169</v>
      </c>
      <c r="L347">
        <v>120.8</v>
      </c>
      <c r="M347">
        <v>199.1</v>
      </c>
      <c r="N347">
        <v>175.4</v>
      </c>
      <c r="O347">
        <v>184.8</v>
      </c>
      <c r="P347">
        <f t="shared" si="10"/>
        <v>174.35833333333335</v>
      </c>
      <c r="Q347">
        <v>175.5</v>
      </c>
      <c r="R347">
        <v>194.5</v>
      </c>
      <c r="S347">
        <v>184.7</v>
      </c>
      <c r="T347">
        <v>183.3</v>
      </c>
      <c r="U347">
        <f t="shared" si="11"/>
        <v>184</v>
      </c>
      <c r="V347">
        <v>184.5</v>
      </c>
      <c r="W347" t="s">
        <v>32</v>
      </c>
      <c r="X347">
        <v>179.7</v>
      </c>
      <c r="Y347">
        <v>173.6</v>
      </c>
      <c r="Z347">
        <v>180.2</v>
      </c>
      <c r="AA347">
        <v>166.9</v>
      </c>
      <c r="AB347">
        <v>170</v>
      </c>
      <c r="AC347">
        <v>176.2</v>
      </c>
      <c r="AD347">
        <v>170.8</v>
      </c>
      <c r="AE347">
        <v>173.1</v>
      </c>
      <c r="AF347">
        <v>176.4</v>
      </c>
    </row>
    <row r="348" spans="1:32">
      <c r="A348" t="s">
        <v>33</v>
      </c>
      <c r="B348">
        <v>2022</v>
      </c>
      <c r="C348" t="s">
        <v>42</v>
      </c>
      <c r="D348">
        <v>164.9</v>
      </c>
      <c r="E348">
        <v>213.7</v>
      </c>
      <c r="F348">
        <v>170.9</v>
      </c>
      <c r="G348">
        <v>170.1</v>
      </c>
      <c r="H348">
        <v>179.3</v>
      </c>
      <c r="I348">
        <v>167.5</v>
      </c>
      <c r="J348">
        <v>220.8</v>
      </c>
      <c r="K348">
        <v>169.2</v>
      </c>
      <c r="L348">
        <v>123.1</v>
      </c>
      <c r="M348">
        <v>193.6</v>
      </c>
      <c r="N348">
        <v>161.1</v>
      </c>
      <c r="O348">
        <v>190.4</v>
      </c>
      <c r="P348">
        <f t="shared" si="10"/>
        <v>177.04999999999998</v>
      </c>
      <c r="Q348">
        <v>181.8</v>
      </c>
      <c r="R348">
        <v>199.7</v>
      </c>
      <c r="S348">
        <v>175</v>
      </c>
      <c r="T348">
        <v>161.69999999999999</v>
      </c>
      <c r="U348">
        <f t="shared" si="11"/>
        <v>168.35</v>
      </c>
      <c r="V348">
        <v>173</v>
      </c>
      <c r="W348">
        <v>169.5</v>
      </c>
      <c r="X348">
        <v>179.2</v>
      </c>
      <c r="Y348">
        <v>165</v>
      </c>
      <c r="Z348">
        <v>173.8</v>
      </c>
      <c r="AA348">
        <v>158.19999999999999</v>
      </c>
      <c r="AB348">
        <v>165.8</v>
      </c>
      <c r="AC348">
        <v>170.9</v>
      </c>
      <c r="AD348">
        <v>171.1</v>
      </c>
      <c r="AE348">
        <v>166.1</v>
      </c>
      <c r="AF348">
        <v>174.1</v>
      </c>
    </row>
    <row r="349" spans="1:32">
      <c r="A349" t="s">
        <v>34</v>
      </c>
      <c r="B349">
        <v>2022</v>
      </c>
      <c r="C349" t="s">
        <v>42</v>
      </c>
      <c r="D349">
        <v>163.5</v>
      </c>
      <c r="E349">
        <v>209.2</v>
      </c>
      <c r="F349">
        <v>169.7</v>
      </c>
      <c r="G349">
        <v>169.7</v>
      </c>
      <c r="H349">
        <v>188.7</v>
      </c>
      <c r="I349">
        <v>165.7</v>
      </c>
      <c r="J349">
        <v>191.8</v>
      </c>
      <c r="K349">
        <v>169.1</v>
      </c>
      <c r="L349">
        <v>121.6</v>
      </c>
      <c r="M349">
        <v>197.3</v>
      </c>
      <c r="N349">
        <v>169.4</v>
      </c>
      <c r="O349">
        <v>187.4</v>
      </c>
      <c r="P349">
        <f t="shared" si="10"/>
        <v>175.25833333333333</v>
      </c>
      <c r="Q349">
        <v>177.8</v>
      </c>
      <c r="R349">
        <v>195.9</v>
      </c>
      <c r="S349">
        <v>180.9</v>
      </c>
      <c r="T349">
        <v>174.3</v>
      </c>
      <c r="U349">
        <f t="shared" si="11"/>
        <v>177.60000000000002</v>
      </c>
      <c r="V349">
        <v>179.9</v>
      </c>
      <c r="W349">
        <v>169.5</v>
      </c>
      <c r="X349">
        <v>179.5</v>
      </c>
      <c r="Y349">
        <v>169.5</v>
      </c>
      <c r="Z349">
        <v>177.8</v>
      </c>
      <c r="AA349">
        <v>162.30000000000001</v>
      </c>
      <c r="AB349">
        <v>167.6</v>
      </c>
      <c r="AC349">
        <v>173.1</v>
      </c>
      <c r="AD349">
        <v>170.9</v>
      </c>
      <c r="AE349">
        <v>169.7</v>
      </c>
      <c r="AF349">
        <v>175.3</v>
      </c>
    </row>
    <row r="350" spans="1:32">
      <c r="A350" t="s">
        <v>30</v>
      </c>
      <c r="B350">
        <v>2022</v>
      </c>
      <c r="C350" t="s">
        <v>43</v>
      </c>
      <c r="D350">
        <v>164.7</v>
      </c>
      <c r="E350">
        <v>208.8</v>
      </c>
      <c r="F350">
        <v>170.3</v>
      </c>
      <c r="G350">
        <v>170.9</v>
      </c>
      <c r="H350">
        <v>191.6</v>
      </c>
      <c r="I350">
        <v>162.19999999999999</v>
      </c>
      <c r="J350">
        <v>184.8</v>
      </c>
      <c r="K350">
        <v>169.7</v>
      </c>
      <c r="L350">
        <v>121.1</v>
      </c>
      <c r="M350">
        <v>201.6</v>
      </c>
      <c r="N350">
        <v>175.8</v>
      </c>
      <c r="O350">
        <v>185.6</v>
      </c>
      <c r="P350">
        <f t="shared" si="10"/>
        <v>175.59166666666667</v>
      </c>
      <c r="Q350">
        <v>177.4</v>
      </c>
      <c r="R350">
        <v>194.9</v>
      </c>
      <c r="S350">
        <v>186.1</v>
      </c>
      <c r="T350">
        <v>184.4</v>
      </c>
      <c r="U350">
        <f t="shared" si="11"/>
        <v>185.25</v>
      </c>
      <c r="V350">
        <v>185.9</v>
      </c>
      <c r="W350" t="s">
        <v>32</v>
      </c>
      <c r="X350">
        <v>180.8</v>
      </c>
      <c r="Y350">
        <v>174.4</v>
      </c>
      <c r="Z350">
        <v>181.2</v>
      </c>
      <c r="AA350">
        <v>167.4</v>
      </c>
      <c r="AB350">
        <v>170.6</v>
      </c>
      <c r="AC350">
        <v>176.5</v>
      </c>
      <c r="AD350">
        <v>172</v>
      </c>
      <c r="AE350">
        <v>173.9</v>
      </c>
      <c r="AF350">
        <v>177.9</v>
      </c>
    </row>
    <row r="351" spans="1:32">
      <c r="A351" t="s">
        <v>33</v>
      </c>
      <c r="B351">
        <v>2022</v>
      </c>
      <c r="C351" t="s">
        <v>43</v>
      </c>
      <c r="D351">
        <v>166.4</v>
      </c>
      <c r="E351">
        <v>214.9</v>
      </c>
      <c r="F351">
        <v>171.9</v>
      </c>
      <c r="G351">
        <v>171</v>
      </c>
      <c r="H351">
        <v>177.7</v>
      </c>
      <c r="I351">
        <v>165.7</v>
      </c>
      <c r="J351">
        <v>228.6</v>
      </c>
      <c r="K351">
        <v>169.9</v>
      </c>
      <c r="L351">
        <v>123.4</v>
      </c>
      <c r="M351">
        <v>196.4</v>
      </c>
      <c r="N351">
        <v>161.6</v>
      </c>
      <c r="O351">
        <v>191.5</v>
      </c>
      <c r="P351">
        <f t="shared" si="10"/>
        <v>178.25</v>
      </c>
      <c r="Q351">
        <v>183.3</v>
      </c>
      <c r="R351">
        <v>200.1</v>
      </c>
      <c r="S351">
        <v>175.5</v>
      </c>
      <c r="T351">
        <v>162.6</v>
      </c>
      <c r="U351">
        <f t="shared" si="11"/>
        <v>169.05</v>
      </c>
      <c r="V351">
        <v>173.6</v>
      </c>
      <c r="W351">
        <v>171.2</v>
      </c>
      <c r="X351">
        <v>180</v>
      </c>
      <c r="Y351">
        <v>166</v>
      </c>
      <c r="Z351">
        <v>174.7</v>
      </c>
      <c r="AA351">
        <v>158.80000000000001</v>
      </c>
      <c r="AB351">
        <v>166.3</v>
      </c>
      <c r="AC351">
        <v>171.2</v>
      </c>
      <c r="AD351">
        <v>172.3</v>
      </c>
      <c r="AE351">
        <v>166.8</v>
      </c>
      <c r="AF351">
        <v>175.3</v>
      </c>
    </row>
    <row r="352" spans="1:32">
      <c r="A352" t="s">
        <v>34</v>
      </c>
      <c r="B352">
        <v>2022</v>
      </c>
      <c r="C352" t="s">
        <v>43</v>
      </c>
      <c r="D352">
        <v>165.2</v>
      </c>
      <c r="E352">
        <v>210.9</v>
      </c>
      <c r="F352">
        <v>170.9</v>
      </c>
      <c r="G352">
        <v>170.9</v>
      </c>
      <c r="H352">
        <v>186.5</v>
      </c>
      <c r="I352">
        <v>163.80000000000001</v>
      </c>
      <c r="J352">
        <v>199.7</v>
      </c>
      <c r="K352">
        <v>169.8</v>
      </c>
      <c r="L352">
        <v>121.9</v>
      </c>
      <c r="M352">
        <v>199.9</v>
      </c>
      <c r="N352">
        <v>169.9</v>
      </c>
      <c r="O352">
        <v>188.3</v>
      </c>
      <c r="P352">
        <f t="shared" si="10"/>
        <v>176.47500000000002</v>
      </c>
      <c r="Q352">
        <v>179.6</v>
      </c>
      <c r="R352">
        <v>196.3</v>
      </c>
      <c r="S352">
        <v>181.9</v>
      </c>
      <c r="T352">
        <v>175.3</v>
      </c>
      <c r="U352">
        <f t="shared" si="11"/>
        <v>178.60000000000002</v>
      </c>
      <c r="V352">
        <v>181</v>
      </c>
      <c r="W352">
        <v>171.2</v>
      </c>
      <c r="X352">
        <v>180.5</v>
      </c>
      <c r="Y352">
        <v>170.4</v>
      </c>
      <c r="Z352">
        <v>178.7</v>
      </c>
      <c r="AA352">
        <v>162.9</v>
      </c>
      <c r="AB352">
        <v>168.2</v>
      </c>
      <c r="AC352">
        <v>173.4</v>
      </c>
      <c r="AD352">
        <v>172.1</v>
      </c>
      <c r="AE352">
        <v>170.5</v>
      </c>
      <c r="AF352">
        <v>176.7</v>
      </c>
    </row>
    <row r="353" spans="1:32">
      <c r="A353" t="s">
        <v>30</v>
      </c>
      <c r="B353">
        <v>2022</v>
      </c>
      <c r="C353" t="s">
        <v>45</v>
      </c>
      <c r="D353">
        <v>166.9</v>
      </c>
      <c r="E353">
        <v>207.2</v>
      </c>
      <c r="F353">
        <v>180.2</v>
      </c>
      <c r="G353">
        <v>172.3</v>
      </c>
      <c r="H353">
        <v>194</v>
      </c>
      <c r="I353">
        <v>159.1</v>
      </c>
      <c r="J353">
        <v>171.6</v>
      </c>
      <c r="K353">
        <v>170.2</v>
      </c>
      <c r="L353">
        <v>121.5</v>
      </c>
      <c r="M353">
        <v>204.8</v>
      </c>
      <c r="N353">
        <v>176.4</v>
      </c>
      <c r="O353">
        <v>186.9</v>
      </c>
      <c r="P353">
        <f t="shared" si="10"/>
        <v>175.92499999999998</v>
      </c>
      <c r="Q353">
        <v>176.6</v>
      </c>
      <c r="R353">
        <v>195.5</v>
      </c>
      <c r="S353">
        <v>187.2</v>
      </c>
      <c r="T353">
        <v>185.2</v>
      </c>
      <c r="U353">
        <f t="shared" si="11"/>
        <v>186.2</v>
      </c>
      <c r="V353">
        <v>186.9</v>
      </c>
      <c r="W353" t="s">
        <v>32</v>
      </c>
      <c r="X353">
        <v>181.9</v>
      </c>
      <c r="Y353">
        <v>175.5</v>
      </c>
      <c r="Z353">
        <v>182.3</v>
      </c>
      <c r="AA353">
        <v>167.5</v>
      </c>
      <c r="AB353">
        <v>170.8</v>
      </c>
      <c r="AC353">
        <v>176.9</v>
      </c>
      <c r="AD353">
        <v>173.4</v>
      </c>
      <c r="AE353">
        <v>174.6</v>
      </c>
      <c r="AF353">
        <v>177.8</v>
      </c>
    </row>
    <row r="354" spans="1:32">
      <c r="A354" t="s">
        <v>33</v>
      </c>
      <c r="B354">
        <v>2022</v>
      </c>
      <c r="C354" t="s">
        <v>45</v>
      </c>
      <c r="D354">
        <v>168.4</v>
      </c>
      <c r="E354">
        <v>213.4</v>
      </c>
      <c r="F354">
        <v>183.2</v>
      </c>
      <c r="G354">
        <v>172.3</v>
      </c>
      <c r="H354">
        <v>180</v>
      </c>
      <c r="I354">
        <v>162.6</v>
      </c>
      <c r="J354">
        <v>205.5</v>
      </c>
      <c r="K354">
        <v>171</v>
      </c>
      <c r="L354">
        <v>123.4</v>
      </c>
      <c r="M354">
        <v>198.8</v>
      </c>
      <c r="N354">
        <v>162.1</v>
      </c>
      <c r="O354">
        <v>192.4</v>
      </c>
      <c r="P354">
        <f t="shared" si="10"/>
        <v>177.75833333333333</v>
      </c>
      <c r="Q354">
        <v>181.3</v>
      </c>
      <c r="R354">
        <v>200.6</v>
      </c>
      <c r="S354">
        <v>176.7</v>
      </c>
      <c r="T354">
        <v>163.5</v>
      </c>
      <c r="U354">
        <f t="shared" si="11"/>
        <v>170.1</v>
      </c>
      <c r="V354">
        <v>174.7</v>
      </c>
      <c r="W354">
        <v>171.8</v>
      </c>
      <c r="X354">
        <v>180.3</v>
      </c>
      <c r="Y354">
        <v>166.9</v>
      </c>
      <c r="Z354">
        <v>175.8</v>
      </c>
      <c r="AA354">
        <v>158.9</v>
      </c>
      <c r="AB354">
        <v>166.7</v>
      </c>
      <c r="AC354">
        <v>171.5</v>
      </c>
      <c r="AD354">
        <v>173.8</v>
      </c>
      <c r="AE354">
        <v>167.4</v>
      </c>
      <c r="AF354">
        <v>174.1</v>
      </c>
    </row>
    <row r="355" spans="1:32">
      <c r="A355" t="s">
        <v>34</v>
      </c>
      <c r="B355">
        <v>2022</v>
      </c>
      <c r="C355" t="s">
        <v>45</v>
      </c>
      <c r="D355">
        <v>167.4</v>
      </c>
      <c r="E355">
        <v>209.4</v>
      </c>
      <c r="F355">
        <v>181.4</v>
      </c>
      <c r="G355">
        <v>172.3</v>
      </c>
      <c r="H355">
        <v>188.9</v>
      </c>
      <c r="I355">
        <v>160.69999999999999</v>
      </c>
      <c r="J355">
        <v>183.1</v>
      </c>
      <c r="K355">
        <v>170.5</v>
      </c>
      <c r="L355">
        <v>122.1</v>
      </c>
      <c r="M355">
        <v>202.8</v>
      </c>
      <c r="N355">
        <v>170.4</v>
      </c>
      <c r="O355">
        <v>189.5</v>
      </c>
      <c r="P355">
        <f t="shared" si="10"/>
        <v>176.54166666666666</v>
      </c>
      <c r="Q355">
        <v>178.3</v>
      </c>
      <c r="R355">
        <v>196.9</v>
      </c>
      <c r="S355">
        <v>183.1</v>
      </c>
      <c r="T355">
        <v>176.2</v>
      </c>
      <c r="U355">
        <f t="shared" si="11"/>
        <v>179.64999999999998</v>
      </c>
      <c r="V355">
        <v>182.1</v>
      </c>
      <c r="W355">
        <v>171.8</v>
      </c>
      <c r="X355">
        <v>181.3</v>
      </c>
      <c r="Y355">
        <v>171.4</v>
      </c>
      <c r="Z355">
        <v>179.8</v>
      </c>
      <c r="AA355">
        <v>163</v>
      </c>
      <c r="AB355">
        <v>168.5</v>
      </c>
      <c r="AC355">
        <v>173.7</v>
      </c>
      <c r="AD355">
        <v>173.6</v>
      </c>
      <c r="AE355">
        <v>171.1</v>
      </c>
      <c r="AF355">
        <v>176.5</v>
      </c>
    </row>
    <row r="356" spans="1:32">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f t="shared" si="10"/>
        <v>175.22499999999999</v>
      </c>
      <c r="Q356">
        <v>174.4</v>
      </c>
      <c r="R356">
        <v>195.9</v>
      </c>
      <c r="S356">
        <v>188.1</v>
      </c>
      <c r="T356">
        <v>185.9</v>
      </c>
      <c r="U356">
        <f t="shared" si="11"/>
        <v>187</v>
      </c>
      <c r="V356">
        <v>187.8</v>
      </c>
      <c r="W356" t="s">
        <v>32</v>
      </c>
      <c r="X356">
        <v>182.8</v>
      </c>
      <c r="Y356">
        <v>176.4</v>
      </c>
      <c r="Z356">
        <v>183.5</v>
      </c>
      <c r="AA356">
        <v>167.8</v>
      </c>
      <c r="AB356">
        <v>171.2</v>
      </c>
      <c r="AC356">
        <v>177.3</v>
      </c>
      <c r="AD356">
        <v>175.7</v>
      </c>
      <c r="AE356">
        <v>175.5</v>
      </c>
      <c r="AF356">
        <v>177.1</v>
      </c>
    </row>
    <row r="357" spans="1:32">
      <c r="A357" t="s">
        <v>33</v>
      </c>
      <c r="B357">
        <v>2022</v>
      </c>
      <c r="C357" t="s">
        <v>46</v>
      </c>
      <c r="D357">
        <v>170.2</v>
      </c>
      <c r="E357">
        <v>212.9</v>
      </c>
      <c r="F357">
        <v>191.9</v>
      </c>
      <c r="G357">
        <v>173.9</v>
      </c>
      <c r="H357">
        <v>179.1</v>
      </c>
      <c r="I357">
        <v>159.5</v>
      </c>
      <c r="J357">
        <v>178.7</v>
      </c>
      <c r="K357">
        <v>171.3</v>
      </c>
      <c r="L357">
        <v>123.1</v>
      </c>
      <c r="M357">
        <v>200.5</v>
      </c>
      <c r="N357">
        <v>162.80000000000001</v>
      </c>
      <c r="O357">
        <v>193.3</v>
      </c>
      <c r="P357">
        <f t="shared" si="10"/>
        <v>176.43333333333331</v>
      </c>
      <c r="Q357">
        <v>178.6</v>
      </c>
      <c r="R357">
        <v>201.1</v>
      </c>
      <c r="S357">
        <v>177.7</v>
      </c>
      <c r="T357">
        <v>164.5</v>
      </c>
      <c r="U357">
        <f t="shared" si="11"/>
        <v>171.1</v>
      </c>
      <c r="V357">
        <v>175.7</v>
      </c>
      <c r="W357">
        <v>170.7</v>
      </c>
      <c r="X357">
        <v>180.6</v>
      </c>
      <c r="Y357">
        <v>167.3</v>
      </c>
      <c r="Z357">
        <v>177.2</v>
      </c>
      <c r="AA357">
        <v>159.4</v>
      </c>
      <c r="AB357">
        <v>167.1</v>
      </c>
      <c r="AC357">
        <v>171.8</v>
      </c>
      <c r="AD357">
        <v>176</v>
      </c>
      <c r="AE357">
        <v>168.2</v>
      </c>
      <c r="AF357">
        <v>174.1</v>
      </c>
    </row>
    <row r="358" spans="1:32">
      <c r="A358" t="s">
        <v>34</v>
      </c>
      <c r="B358">
        <v>2022</v>
      </c>
      <c r="C358" t="s">
        <v>46</v>
      </c>
      <c r="D358">
        <v>169.2</v>
      </c>
      <c r="E358">
        <v>209</v>
      </c>
      <c r="F358">
        <v>190.2</v>
      </c>
      <c r="G358">
        <v>173.6</v>
      </c>
      <c r="H358">
        <v>188.5</v>
      </c>
      <c r="I358">
        <v>158</v>
      </c>
      <c r="J358">
        <v>159.9</v>
      </c>
      <c r="K358">
        <v>170.8</v>
      </c>
      <c r="L358">
        <v>121.8</v>
      </c>
      <c r="M358">
        <v>205.2</v>
      </c>
      <c r="N358">
        <v>171</v>
      </c>
      <c r="O358">
        <v>190.3</v>
      </c>
      <c r="P358">
        <f t="shared" si="10"/>
        <v>175.625</v>
      </c>
      <c r="Q358">
        <v>175.9</v>
      </c>
      <c r="R358">
        <v>197.3</v>
      </c>
      <c r="S358">
        <v>184</v>
      </c>
      <c r="T358">
        <v>177</v>
      </c>
      <c r="U358">
        <f t="shared" si="11"/>
        <v>180.5</v>
      </c>
      <c r="V358">
        <v>183</v>
      </c>
      <c r="W358">
        <v>170.7</v>
      </c>
      <c r="X358">
        <v>182</v>
      </c>
      <c r="Y358">
        <v>172.1</v>
      </c>
      <c r="Z358">
        <v>181.1</v>
      </c>
      <c r="AA358">
        <v>163.4</v>
      </c>
      <c r="AB358">
        <v>168.9</v>
      </c>
      <c r="AC358">
        <v>174.1</v>
      </c>
      <c r="AD358">
        <v>175.8</v>
      </c>
      <c r="AE358">
        <v>172</v>
      </c>
      <c r="AF358">
        <v>175.7</v>
      </c>
    </row>
    <row r="359" spans="1:32">
      <c r="A359" t="s">
        <v>30</v>
      </c>
      <c r="B359">
        <v>2023</v>
      </c>
      <c r="C359" t="s">
        <v>31</v>
      </c>
      <c r="D359">
        <v>174</v>
      </c>
      <c r="E359">
        <v>208.3</v>
      </c>
      <c r="F359">
        <v>192.9</v>
      </c>
      <c r="G359">
        <v>174.3</v>
      </c>
      <c r="H359">
        <v>192.6</v>
      </c>
      <c r="I359">
        <v>156.30000000000001</v>
      </c>
      <c r="J359">
        <v>142.9</v>
      </c>
      <c r="K359">
        <v>170.7</v>
      </c>
      <c r="L359">
        <v>120.3</v>
      </c>
      <c r="M359">
        <v>210.5</v>
      </c>
      <c r="N359">
        <v>176.9</v>
      </c>
      <c r="O359">
        <v>188.5</v>
      </c>
      <c r="P359">
        <f t="shared" si="10"/>
        <v>175.68333333333337</v>
      </c>
      <c r="Q359">
        <v>175</v>
      </c>
      <c r="R359">
        <v>196.9</v>
      </c>
      <c r="S359">
        <v>189</v>
      </c>
      <c r="T359">
        <v>186.3</v>
      </c>
      <c r="U359">
        <f t="shared" si="11"/>
        <v>187.65</v>
      </c>
      <c r="V359">
        <v>188.6</v>
      </c>
      <c r="W359" t="s">
        <v>32</v>
      </c>
      <c r="X359">
        <v>183.2</v>
      </c>
      <c r="Y359">
        <v>177.2</v>
      </c>
      <c r="Z359">
        <v>184.7</v>
      </c>
      <c r="AA359">
        <v>168.2</v>
      </c>
      <c r="AB359">
        <v>171.8</v>
      </c>
      <c r="AC359">
        <v>177.8</v>
      </c>
      <c r="AD359">
        <v>178.4</v>
      </c>
      <c r="AE359">
        <v>176.5</v>
      </c>
      <c r="AF359">
        <v>177.8</v>
      </c>
    </row>
    <row r="360" spans="1:32">
      <c r="A360" t="s">
        <v>33</v>
      </c>
      <c r="B360">
        <v>2023</v>
      </c>
      <c r="C360" t="s">
        <v>31</v>
      </c>
      <c r="D360">
        <v>173.3</v>
      </c>
      <c r="E360">
        <v>215.2</v>
      </c>
      <c r="F360">
        <v>197</v>
      </c>
      <c r="G360">
        <v>175.2</v>
      </c>
      <c r="H360">
        <v>178</v>
      </c>
      <c r="I360">
        <v>160.5</v>
      </c>
      <c r="J360">
        <v>175.3</v>
      </c>
      <c r="K360">
        <v>171.2</v>
      </c>
      <c r="L360">
        <v>122.7</v>
      </c>
      <c r="M360">
        <v>204.3</v>
      </c>
      <c r="N360">
        <v>163.69999999999999</v>
      </c>
      <c r="O360">
        <v>194.3</v>
      </c>
      <c r="P360">
        <f t="shared" si="10"/>
        <v>177.55833333333337</v>
      </c>
      <c r="Q360">
        <v>179.5</v>
      </c>
      <c r="R360">
        <v>201.6</v>
      </c>
      <c r="S360">
        <v>178.7</v>
      </c>
      <c r="T360">
        <v>165.3</v>
      </c>
      <c r="U360">
        <f t="shared" si="11"/>
        <v>172</v>
      </c>
      <c r="V360">
        <v>176.6</v>
      </c>
      <c r="W360">
        <v>172.1</v>
      </c>
      <c r="X360">
        <v>180.1</v>
      </c>
      <c r="Y360">
        <v>168</v>
      </c>
      <c r="Z360">
        <v>178.5</v>
      </c>
      <c r="AA360">
        <v>159.5</v>
      </c>
      <c r="AB360">
        <v>167.8</v>
      </c>
      <c r="AC360">
        <v>171.8</v>
      </c>
      <c r="AD360">
        <v>178.8</v>
      </c>
      <c r="AE360">
        <v>168.9</v>
      </c>
      <c r="AF360">
        <v>174.9</v>
      </c>
    </row>
    <row r="361" spans="1:32">
      <c r="A361" t="s">
        <v>34</v>
      </c>
      <c r="B361">
        <v>2023</v>
      </c>
      <c r="C361" t="s">
        <v>31</v>
      </c>
      <c r="D361">
        <v>173.8</v>
      </c>
      <c r="E361">
        <v>210.7</v>
      </c>
      <c r="F361">
        <v>194.5</v>
      </c>
      <c r="G361">
        <v>174.6</v>
      </c>
      <c r="H361">
        <v>187.2</v>
      </c>
      <c r="I361">
        <v>158.30000000000001</v>
      </c>
      <c r="J361">
        <v>153.9</v>
      </c>
      <c r="K361">
        <v>170.9</v>
      </c>
      <c r="L361">
        <v>121.1</v>
      </c>
      <c r="M361">
        <v>208.4</v>
      </c>
      <c r="N361">
        <v>171.4</v>
      </c>
      <c r="O361">
        <v>191.2</v>
      </c>
      <c r="P361">
        <f t="shared" si="10"/>
        <v>176.33333333333334</v>
      </c>
      <c r="Q361">
        <v>176.7</v>
      </c>
      <c r="R361">
        <v>198.2</v>
      </c>
      <c r="S361">
        <v>184.9</v>
      </c>
      <c r="T361">
        <v>177.6</v>
      </c>
      <c r="U361">
        <f t="shared" si="11"/>
        <v>181.25</v>
      </c>
      <c r="V361">
        <v>183.8</v>
      </c>
      <c r="W361">
        <v>172.1</v>
      </c>
      <c r="X361">
        <v>182</v>
      </c>
      <c r="Y361">
        <v>172.9</v>
      </c>
      <c r="Z361">
        <v>182.3</v>
      </c>
      <c r="AA361">
        <v>163.6</v>
      </c>
      <c r="AB361">
        <v>169.5</v>
      </c>
      <c r="AC361">
        <v>174.3</v>
      </c>
      <c r="AD361">
        <v>178.6</v>
      </c>
      <c r="AE361">
        <v>172.8</v>
      </c>
      <c r="AF361">
        <v>176.5</v>
      </c>
    </row>
    <row r="362" spans="1:32">
      <c r="A362" t="s">
        <v>30</v>
      </c>
      <c r="B362">
        <v>2023</v>
      </c>
      <c r="C362" t="s">
        <v>35</v>
      </c>
      <c r="D362">
        <v>174.2</v>
      </c>
      <c r="E362">
        <v>205.2</v>
      </c>
      <c r="F362">
        <v>173.9</v>
      </c>
      <c r="G362">
        <v>177</v>
      </c>
      <c r="H362">
        <v>183.4</v>
      </c>
      <c r="I362">
        <v>167.2</v>
      </c>
      <c r="J362">
        <v>140.9</v>
      </c>
      <c r="K362">
        <v>170.4</v>
      </c>
      <c r="L362">
        <v>119.1</v>
      </c>
      <c r="M362">
        <v>212.1</v>
      </c>
      <c r="N362">
        <v>177.6</v>
      </c>
      <c r="O362">
        <v>189.9</v>
      </c>
      <c r="P362">
        <f t="shared" si="10"/>
        <v>174.24166666666665</v>
      </c>
      <c r="Q362">
        <v>174.8</v>
      </c>
      <c r="R362">
        <v>198.3</v>
      </c>
      <c r="S362">
        <v>190</v>
      </c>
      <c r="T362">
        <v>187</v>
      </c>
      <c r="U362">
        <f t="shared" si="11"/>
        <v>188.5</v>
      </c>
      <c r="V362">
        <v>189.6</v>
      </c>
      <c r="W362" t="s">
        <v>32</v>
      </c>
      <c r="X362">
        <v>181.6</v>
      </c>
      <c r="Y362">
        <v>178.6</v>
      </c>
      <c r="Z362">
        <v>186.6</v>
      </c>
      <c r="AA362">
        <v>169</v>
      </c>
      <c r="AB362">
        <v>172.8</v>
      </c>
      <c r="AC362">
        <v>178.5</v>
      </c>
      <c r="AD362">
        <v>180.7</v>
      </c>
      <c r="AE362">
        <v>177.9</v>
      </c>
      <c r="AF362">
        <v>178</v>
      </c>
    </row>
    <row r="363" spans="1:32">
      <c r="A363" t="s">
        <v>33</v>
      </c>
      <c r="B363">
        <v>2023</v>
      </c>
      <c r="C363" t="s">
        <v>35</v>
      </c>
      <c r="D363">
        <v>174.7</v>
      </c>
      <c r="E363">
        <v>212.2</v>
      </c>
      <c r="F363">
        <v>177.2</v>
      </c>
      <c r="G363">
        <v>177.9</v>
      </c>
      <c r="H363">
        <v>172.2</v>
      </c>
      <c r="I363">
        <v>172.1</v>
      </c>
      <c r="J363">
        <v>175.8</v>
      </c>
      <c r="K363">
        <v>172.2</v>
      </c>
      <c r="L363">
        <v>121.9</v>
      </c>
      <c r="M363">
        <v>204.8</v>
      </c>
      <c r="N363">
        <v>164.9</v>
      </c>
      <c r="O363">
        <v>196.6</v>
      </c>
      <c r="P363">
        <f t="shared" si="10"/>
        <v>176.875</v>
      </c>
      <c r="Q363">
        <v>180.7</v>
      </c>
      <c r="R363">
        <v>202.7</v>
      </c>
      <c r="S363">
        <v>180.3</v>
      </c>
      <c r="T363">
        <v>167</v>
      </c>
      <c r="U363">
        <f t="shared" si="11"/>
        <v>173.65</v>
      </c>
      <c r="V363">
        <v>178.2</v>
      </c>
      <c r="W363">
        <v>173.5</v>
      </c>
      <c r="X363">
        <v>182.8</v>
      </c>
      <c r="Y363">
        <v>169.2</v>
      </c>
      <c r="Z363">
        <v>180.8</v>
      </c>
      <c r="AA363">
        <v>159.80000000000001</v>
      </c>
      <c r="AB363">
        <v>168.4</v>
      </c>
      <c r="AC363">
        <v>172.5</v>
      </c>
      <c r="AD363">
        <v>181.4</v>
      </c>
      <c r="AE363">
        <v>170</v>
      </c>
      <c r="AF363">
        <v>176.3</v>
      </c>
    </row>
    <row r="364" spans="1:32">
      <c r="A364" t="s">
        <v>34</v>
      </c>
      <c r="B364">
        <v>2023</v>
      </c>
      <c r="C364" t="s">
        <v>35</v>
      </c>
      <c r="D364">
        <v>174.4</v>
      </c>
      <c r="E364">
        <v>207.7</v>
      </c>
      <c r="F364">
        <v>175.2</v>
      </c>
      <c r="G364">
        <v>177.3</v>
      </c>
      <c r="H364">
        <v>179.3</v>
      </c>
      <c r="I364">
        <v>169.5</v>
      </c>
      <c r="J364">
        <v>152.69999999999999</v>
      </c>
      <c r="K364">
        <v>171</v>
      </c>
      <c r="L364">
        <v>120</v>
      </c>
      <c r="M364">
        <v>209.7</v>
      </c>
      <c r="N364">
        <v>172.3</v>
      </c>
      <c r="O364">
        <v>193</v>
      </c>
      <c r="P364">
        <f t="shared" si="10"/>
        <v>175.17499999999998</v>
      </c>
      <c r="Q364">
        <v>177</v>
      </c>
      <c r="R364">
        <v>199.5</v>
      </c>
      <c r="S364">
        <v>186.2</v>
      </c>
      <c r="T364">
        <v>178.7</v>
      </c>
      <c r="U364">
        <f t="shared" si="11"/>
        <v>182.45</v>
      </c>
      <c r="V364">
        <v>185.1</v>
      </c>
      <c r="W364">
        <v>173.5</v>
      </c>
      <c r="X364">
        <v>182.1</v>
      </c>
      <c r="Y364">
        <v>174.2</v>
      </c>
      <c r="Z364">
        <v>184.4</v>
      </c>
      <c r="AA364">
        <v>164.2</v>
      </c>
      <c r="AB364">
        <v>170.3</v>
      </c>
      <c r="AC364">
        <v>175</v>
      </c>
      <c r="AD364">
        <v>181</v>
      </c>
      <c r="AE364">
        <v>174.1</v>
      </c>
      <c r="AF364">
        <v>177.2</v>
      </c>
    </row>
    <row r="365" spans="1:32">
      <c r="A365" t="s">
        <v>30</v>
      </c>
      <c r="B365">
        <v>2023</v>
      </c>
      <c r="C365" t="s">
        <v>36</v>
      </c>
      <c r="D365">
        <v>174.3</v>
      </c>
      <c r="E365">
        <v>205.2</v>
      </c>
      <c r="F365">
        <v>173.9</v>
      </c>
      <c r="G365">
        <v>177</v>
      </c>
      <c r="H365">
        <v>183.3</v>
      </c>
      <c r="I365">
        <v>167.2</v>
      </c>
      <c r="J365">
        <v>140.9</v>
      </c>
      <c r="K365">
        <v>170.5</v>
      </c>
      <c r="L365">
        <v>119.1</v>
      </c>
      <c r="M365">
        <v>212.1</v>
      </c>
      <c r="N365">
        <v>177.6</v>
      </c>
      <c r="O365">
        <v>189.9</v>
      </c>
      <c r="P365">
        <f t="shared" si="10"/>
        <v>174.25</v>
      </c>
      <c r="Q365">
        <v>174.8</v>
      </c>
      <c r="R365">
        <v>198.4</v>
      </c>
      <c r="S365">
        <v>190</v>
      </c>
      <c r="T365">
        <v>187</v>
      </c>
      <c r="U365">
        <f t="shared" si="11"/>
        <v>188.5</v>
      </c>
      <c r="V365">
        <v>189.6</v>
      </c>
      <c r="W365" t="s">
        <v>32</v>
      </c>
      <c r="X365">
        <v>181.4</v>
      </c>
      <c r="Y365">
        <v>178.6</v>
      </c>
      <c r="Z365">
        <v>186.6</v>
      </c>
      <c r="AA365">
        <v>169</v>
      </c>
      <c r="AB365">
        <v>172.8</v>
      </c>
      <c r="AC365">
        <v>178.5</v>
      </c>
      <c r="AD365">
        <v>180.7</v>
      </c>
      <c r="AE365">
        <v>177.9</v>
      </c>
      <c r="AF365">
        <v>178</v>
      </c>
    </row>
    <row r="366" spans="1:32">
      <c r="A366" t="s">
        <v>33</v>
      </c>
      <c r="B366">
        <v>2023</v>
      </c>
      <c r="C366" t="s">
        <v>36</v>
      </c>
      <c r="D366">
        <v>174.7</v>
      </c>
      <c r="E366">
        <v>212.2</v>
      </c>
      <c r="F366">
        <v>177.2</v>
      </c>
      <c r="G366">
        <v>177.9</v>
      </c>
      <c r="H366">
        <v>172.2</v>
      </c>
      <c r="I366">
        <v>172.1</v>
      </c>
      <c r="J366">
        <v>175.9</v>
      </c>
      <c r="K366">
        <v>172.2</v>
      </c>
      <c r="L366">
        <v>121.9</v>
      </c>
      <c r="M366">
        <v>204.8</v>
      </c>
      <c r="N366">
        <v>164.9</v>
      </c>
      <c r="O366">
        <v>196.6</v>
      </c>
      <c r="P366">
        <f t="shared" si="10"/>
        <v>176.88333333333333</v>
      </c>
      <c r="Q366">
        <v>180.8</v>
      </c>
      <c r="R366">
        <v>202.7</v>
      </c>
      <c r="S366">
        <v>180.2</v>
      </c>
      <c r="T366">
        <v>167</v>
      </c>
      <c r="U366">
        <f t="shared" si="11"/>
        <v>173.6</v>
      </c>
      <c r="V366">
        <v>178.2</v>
      </c>
      <c r="W366">
        <v>173.5</v>
      </c>
      <c r="X366">
        <v>182.6</v>
      </c>
      <c r="Y366">
        <v>169.2</v>
      </c>
      <c r="Z366">
        <v>180.8</v>
      </c>
      <c r="AA366">
        <v>159.80000000000001</v>
      </c>
      <c r="AB366">
        <v>168.4</v>
      </c>
      <c r="AC366">
        <v>172.5</v>
      </c>
      <c r="AD366">
        <v>181.5</v>
      </c>
      <c r="AE366">
        <v>170</v>
      </c>
      <c r="AF366">
        <v>176.3</v>
      </c>
    </row>
    <row r="367" spans="1:32">
      <c r="A367" t="s">
        <v>34</v>
      </c>
      <c r="B367">
        <v>2023</v>
      </c>
      <c r="C367" t="s">
        <v>36</v>
      </c>
      <c r="D367">
        <v>174.4</v>
      </c>
      <c r="E367">
        <v>207.7</v>
      </c>
      <c r="F367">
        <v>175.2</v>
      </c>
      <c r="G367">
        <v>177.3</v>
      </c>
      <c r="H367">
        <v>179.2</v>
      </c>
      <c r="I367">
        <v>169.5</v>
      </c>
      <c r="J367">
        <v>152.80000000000001</v>
      </c>
      <c r="K367">
        <v>171.1</v>
      </c>
      <c r="L367">
        <v>120</v>
      </c>
      <c r="M367">
        <v>209.7</v>
      </c>
      <c r="N367">
        <v>172.3</v>
      </c>
      <c r="O367">
        <v>193</v>
      </c>
      <c r="P367">
        <f t="shared" si="10"/>
        <v>175.18333333333331</v>
      </c>
      <c r="Q367">
        <v>177</v>
      </c>
      <c r="R367">
        <v>199.5</v>
      </c>
      <c r="S367">
        <v>186.1</v>
      </c>
      <c r="T367">
        <v>178.7</v>
      </c>
      <c r="U367">
        <f t="shared" si="11"/>
        <v>182.39999999999998</v>
      </c>
      <c r="V367">
        <v>185.1</v>
      </c>
      <c r="W367">
        <v>173.5</v>
      </c>
      <c r="X367">
        <v>181.9</v>
      </c>
      <c r="Y367">
        <v>174.2</v>
      </c>
      <c r="Z367">
        <v>184.4</v>
      </c>
      <c r="AA367">
        <v>164.2</v>
      </c>
      <c r="AB367">
        <v>170.3</v>
      </c>
      <c r="AC367">
        <v>175</v>
      </c>
      <c r="AD367">
        <v>181</v>
      </c>
      <c r="AE367">
        <v>174.1</v>
      </c>
      <c r="AF367">
        <v>177.2</v>
      </c>
    </row>
    <row r="368" spans="1:32">
      <c r="A368" t="s">
        <v>30</v>
      </c>
      <c r="B368">
        <v>2023</v>
      </c>
      <c r="C368" t="s">
        <v>37</v>
      </c>
      <c r="D368">
        <v>173.3</v>
      </c>
      <c r="E368">
        <v>206.9</v>
      </c>
      <c r="F368">
        <v>167.9</v>
      </c>
      <c r="G368">
        <v>178.2</v>
      </c>
      <c r="H368">
        <v>178.5</v>
      </c>
      <c r="I368">
        <v>173.7</v>
      </c>
      <c r="J368">
        <v>142.80000000000001</v>
      </c>
      <c r="K368">
        <v>172.8</v>
      </c>
      <c r="L368">
        <v>120.4</v>
      </c>
      <c r="M368">
        <v>215.5</v>
      </c>
      <c r="N368">
        <v>178.2</v>
      </c>
      <c r="O368">
        <v>190.5</v>
      </c>
      <c r="P368">
        <f t="shared" si="10"/>
        <v>174.89166666666665</v>
      </c>
      <c r="Q368">
        <v>175.5</v>
      </c>
      <c r="R368">
        <v>199.5</v>
      </c>
      <c r="S368">
        <v>190.7</v>
      </c>
      <c r="T368">
        <v>187.3</v>
      </c>
      <c r="U368">
        <f t="shared" si="11"/>
        <v>189</v>
      </c>
      <c r="V368">
        <v>190.2</v>
      </c>
      <c r="W368" t="s">
        <v>48</v>
      </c>
      <c r="X368">
        <v>181.5</v>
      </c>
      <c r="Y368">
        <v>179.1</v>
      </c>
      <c r="Z368">
        <v>187.2</v>
      </c>
      <c r="AA368">
        <v>169.4</v>
      </c>
      <c r="AB368">
        <v>173.2</v>
      </c>
      <c r="AC368">
        <v>179.4</v>
      </c>
      <c r="AD368">
        <v>183.8</v>
      </c>
      <c r="AE368">
        <v>178.9</v>
      </c>
      <c r="AF368">
        <v>178.8</v>
      </c>
    </row>
    <row r="369" spans="1:32">
      <c r="A369" t="s">
        <v>33</v>
      </c>
      <c r="B369">
        <v>2023</v>
      </c>
      <c r="C369" t="s">
        <v>37</v>
      </c>
      <c r="D369">
        <v>174.8</v>
      </c>
      <c r="E369">
        <v>213.7</v>
      </c>
      <c r="F369">
        <v>172.4</v>
      </c>
      <c r="G369">
        <v>178.8</v>
      </c>
      <c r="H369">
        <v>168.7</v>
      </c>
      <c r="I369">
        <v>179.2</v>
      </c>
      <c r="J369">
        <v>179.9</v>
      </c>
      <c r="K369">
        <v>174.7</v>
      </c>
      <c r="L369">
        <v>123.1</v>
      </c>
      <c r="M369">
        <v>207.8</v>
      </c>
      <c r="N369">
        <v>165.5</v>
      </c>
      <c r="O369">
        <v>197</v>
      </c>
      <c r="P369">
        <f t="shared" si="10"/>
        <v>177.9666666666667</v>
      </c>
      <c r="Q369">
        <v>182.1</v>
      </c>
      <c r="R369">
        <v>203.5</v>
      </c>
      <c r="S369">
        <v>181</v>
      </c>
      <c r="T369">
        <v>167.7</v>
      </c>
      <c r="U369">
        <f t="shared" si="11"/>
        <v>174.35</v>
      </c>
      <c r="V369">
        <v>178.9</v>
      </c>
      <c r="W369">
        <v>175.2</v>
      </c>
      <c r="X369">
        <v>182.1</v>
      </c>
      <c r="Y369">
        <v>169.6</v>
      </c>
      <c r="Z369">
        <v>181.5</v>
      </c>
      <c r="AA369">
        <v>160.1</v>
      </c>
      <c r="AB369">
        <v>168.8</v>
      </c>
      <c r="AC369">
        <v>174.2</v>
      </c>
      <c r="AD369">
        <v>184.4</v>
      </c>
      <c r="AE369">
        <v>170.9</v>
      </c>
      <c r="AF369">
        <v>177.4</v>
      </c>
    </row>
    <row r="370" spans="1:32">
      <c r="A370" t="s">
        <v>34</v>
      </c>
      <c r="B370">
        <v>2023</v>
      </c>
      <c r="C370" t="s">
        <v>37</v>
      </c>
      <c r="D370">
        <v>173.8</v>
      </c>
      <c r="E370">
        <v>209.3</v>
      </c>
      <c r="F370">
        <v>169.6</v>
      </c>
      <c r="G370">
        <v>178.4</v>
      </c>
      <c r="H370">
        <v>174.9</v>
      </c>
      <c r="I370">
        <v>176.3</v>
      </c>
      <c r="J370">
        <v>155.4</v>
      </c>
      <c r="K370">
        <v>173.4</v>
      </c>
      <c r="L370">
        <v>121.3</v>
      </c>
      <c r="M370">
        <v>212.9</v>
      </c>
      <c r="N370">
        <v>172.9</v>
      </c>
      <c r="O370">
        <v>193.5</v>
      </c>
      <c r="P370">
        <f t="shared" si="10"/>
        <v>175.97500000000002</v>
      </c>
      <c r="Q370">
        <v>177.9</v>
      </c>
      <c r="R370">
        <v>200.6</v>
      </c>
      <c r="S370">
        <v>186.9</v>
      </c>
      <c r="T370">
        <v>179.2</v>
      </c>
      <c r="U370">
        <f t="shared" si="11"/>
        <v>183.05</v>
      </c>
      <c r="V370">
        <v>185.7</v>
      </c>
      <c r="W370">
        <v>175.2</v>
      </c>
      <c r="X370">
        <v>181.7</v>
      </c>
      <c r="Y370">
        <v>174.6</v>
      </c>
      <c r="Z370">
        <v>185</v>
      </c>
      <c r="AA370">
        <v>164.5</v>
      </c>
      <c r="AB370">
        <v>170.7</v>
      </c>
      <c r="AC370">
        <v>176.4</v>
      </c>
      <c r="AD370">
        <v>184</v>
      </c>
      <c r="AE370">
        <v>175</v>
      </c>
      <c r="AF370">
        <v>178.1</v>
      </c>
    </row>
    <row r="371" spans="1:32">
      <c r="A371" t="s">
        <v>30</v>
      </c>
      <c r="B371">
        <v>2023</v>
      </c>
      <c r="C371" t="s">
        <v>38</v>
      </c>
      <c r="D371">
        <v>173.2</v>
      </c>
      <c r="E371">
        <v>211.5</v>
      </c>
      <c r="F371">
        <v>171</v>
      </c>
      <c r="G371">
        <v>179.6</v>
      </c>
      <c r="H371">
        <v>173.3</v>
      </c>
      <c r="I371">
        <v>169</v>
      </c>
      <c r="J371">
        <v>148.69999999999999</v>
      </c>
      <c r="K371">
        <v>174.9</v>
      </c>
      <c r="L371">
        <v>121.9</v>
      </c>
      <c r="M371">
        <v>221</v>
      </c>
      <c r="N371">
        <v>178.7</v>
      </c>
      <c r="O371">
        <v>191.1</v>
      </c>
      <c r="P371">
        <f t="shared" si="10"/>
        <v>176.15833333333339</v>
      </c>
      <c r="Q371">
        <v>176.8</v>
      </c>
      <c r="R371">
        <v>199.9</v>
      </c>
      <c r="S371">
        <v>191.2</v>
      </c>
      <c r="T371">
        <v>187.9</v>
      </c>
      <c r="U371">
        <f t="shared" si="11"/>
        <v>189.55</v>
      </c>
      <c r="V371">
        <v>190.8</v>
      </c>
      <c r="W371" t="s">
        <v>48</v>
      </c>
      <c r="X371">
        <v>182.5</v>
      </c>
      <c r="Y371">
        <v>179.8</v>
      </c>
      <c r="Z371">
        <v>187.8</v>
      </c>
      <c r="AA371">
        <v>169.7</v>
      </c>
      <c r="AB371">
        <v>173.8</v>
      </c>
      <c r="AC371">
        <v>180.3</v>
      </c>
      <c r="AD371">
        <v>184.9</v>
      </c>
      <c r="AE371">
        <v>179.5</v>
      </c>
      <c r="AF371">
        <v>179.8</v>
      </c>
    </row>
    <row r="372" spans="1:32">
      <c r="A372" t="s">
        <v>33</v>
      </c>
      <c r="B372">
        <v>2023</v>
      </c>
      <c r="C372" t="s">
        <v>38</v>
      </c>
      <c r="D372">
        <v>174.7</v>
      </c>
      <c r="E372">
        <v>219.4</v>
      </c>
      <c r="F372">
        <v>176.7</v>
      </c>
      <c r="G372">
        <v>179.4</v>
      </c>
      <c r="H372">
        <v>164.4</v>
      </c>
      <c r="I372">
        <v>175.8</v>
      </c>
      <c r="J372">
        <v>185</v>
      </c>
      <c r="K372">
        <v>176.9</v>
      </c>
      <c r="L372">
        <v>124.2</v>
      </c>
      <c r="M372">
        <v>211.9</v>
      </c>
      <c r="N372">
        <v>165.9</v>
      </c>
      <c r="O372">
        <v>197.7</v>
      </c>
      <c r="P372">
        <f t="shared" si="10"/>
        <v>179.33333333333334</v>
      </c>
      <c r="Q372">
        <v>183.1</v>
      </c>
      <c r="R372">
        <v>204.2</v>
      </c>
      <c r="S372">
        <v>181.3</v>
      </c>
      <c r="T372">
        <v>168.1</v>
      </c>
      <c r="U372">
        <f t="shared" si="11"/>
        <v>174.7</v>
      </c>
      <c r="V372">
        <v>179.3</v>
      </c>
      <c r="W372">
        <v>175.6</v>
      </c>
      <c r="X372">
        <v>183.4</v>
      </c>
      <c r="Y372">
        <v>170.1</v>
      </c>
      <c r="Z372">
        <v>182.2</v>
      </c>
      <c r="AA372">
        <v>160.4</v>
      </c>
      <c r="AB372">
        <v>169.2</v>
      </c>
      <c r="AC372">
        <v>174.8</v>
      </c>
      <c r="AD372">
        <v>185.6</v>
      </c>
      <c r="AE372">
        <v>171.6</v>
      </c>
      <c r="AF372">
        <v>178.2</v>
      </c>
    </row>
    <row r="373" spans="1:32">
      <c r="A373" t="s">
        <v>34</v>
      </c>
      <c r="B373">
        <v>2023</v>
      </c>
      <c r="C373" t="s">
        <v>38</v>
      </c>
      <c r="D373">
        <v>173.7</v>
      </c>
      <c r="E373">
        <v>214.3</v>
      </c>
      <c r="F373">
        <v>173.2</v>
      </c>
      <c r="G373">
        <v>179.5</v>
      </c>
      <c r="H373">
        <v>170</v>
      </c>
      <c r="I373">
        <v>172.2</v>
      </c>
      <c r="J373">
        <v>161</v>
      </c>
      <c r="K373">
        <v>175.6</v>
      </c>
      <c r="L373">
        <v>122.7</v>
      </c>
      <c r="M373">
        <v>218</v>
      </c>
      <c r="N373">
        <v>173.4</v>
      </c>
      <c r="O373">
        <v>194.2</v>
      </c>
      <c r="P373">
        <f t="shared" si="10"/>
        <v>177.31666666666669</v>
      </c>
      <c r="Q373">
        <v>179.1</v>
      </c>
      <c r="R373">
        <v>201</v>
      </c>
      <c r="S373">
        <v>187.3</v>
      </c>
      <c r="T373">
        <v>179.7</v>
      </c>
      <c r="U373">
        <f t="shared" si="11"/>
        <v>183.5</v>
      </c>
      <c r="V373">
        <v>186.2</v>
      </c>
      <c r="W373">
        <v>175.6</v>
      </c>
      <c r="X373">
        <v>182.8</v>
      </c>
      <c r="Y373">
        <v>175.2</v>
      </c>
      <c r="Z373">
        <v>185.7</v>
      </c>
      <c r="AA373">
        <v>164.8</v>
      </c>
      <c r="AB373">
        <v>171.2</v>
      </c>
      <c r="AC373">
        <v>177.1</v>
      </c>
      <c r="AD373">
        <v>185.2</v>
      </c>
      <c r="AE373">
        <v>175.7</v>
      </c>
      <c r="AF373">
        <v>179.1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9754B-8777-4AA4-BE4B-CB01188DDB77}">
  <dimension ref="A1:K21"/>
  <sheetViews>
    <sheetView topLeftCell="A4" workbookViewId="0">
      <selection activeCell="B11" sqref="B11"/>
    </sheetView>
  </sheetViews>
  <sheetFormatPr defaultRowHeight="15"/>
  <cols>
    <col min="1" max="1" width="13.140625" bestFit="1" customWidth="1"/>
    <col min="2" max="2" width="22.85546875" bestFit="1" customWidth="1"/>
    <col min="3" max="3" width="20.42578125" bestFit="1" customWidth="1"/>
    <col min="4" max="4" width="36.85546875" bestFit="1" customWidth="1"/>
    <col min="5" max="5" width="23.42578125" bestFit="1" customWidth="1"/>
    <col min="6" max="6" width="38.5703125" bestFit="1" customWidth="1"/>
    <col min="7" max="7" width="17" bestFit="1" customWidth="1"/>
    <col min="8" max="8" width="38.28515625" bestFit="1" customWidth="1"/>
    <col min="9" max="9" width="20" bestFit="1" customWidth="1"/>
    <col min="10" max="10" width="34" bestFit="1" customWidth="1"/>
    <col min="11" max="11" width="24.28515625" bestFit="1" customWidth="1"/>
  </cols>
  <sheetData>
    <row r="1" spans="1:11">
      <c r="A1" s="4" t="s">
        <v>1</v>
      </c>
      <c r="B1" s="5">
        <v>2023</v>
      </c>
    </row>
    <row r="2" spans="1:11">
      <c r="A2" s="4" t="s">
        <v>0</v>
      </c>
      <c r="B2" t="s">
        <v>30</v>
      </c>
    </row>
    <row r="4" spans="1:11">
      <c r="A4" s="4" t="s">
        <v>59</v>
      </c>
      <c r="B4" t="s">
        <v>96</v>
      </c>
      <c r="C4" t="s">
        <v>97</v>
      </c>
      <c r="D4" t="s">
        <v>98</v>
      </c>
      <c r="E4" t="s">
        <v>99</v>
      </c>
      <c r="F4" t="s">
        <v>88</v>
      </c>
      <c r="G4" t="s">
        <v>69</v>
      </c>
      <c r="H4" t="s">
        <v>73</v>
      </c>
      <c r="I4" t="s">
        <v>72</v>
      </c>
      <c r="J4" t="s">
        <v>71</v>
      </c>
      <c r="K4" t="s">
        <v>70</v>
      </c>
    </row>
    <row r="5" spans="1:11">
      <c r="A5" s="5" t="s">
        <v>38</v>
      </c>
      <c r="B5" s="6">
        <v>176.15833333333339</v>
      </c>
      <c r="C5" s="6">
        <v>189.55</v>
      </c>
      <c r="D5" s="6">
        <v>199.9</v>
      </c>
      <c r="E5" s="6">
        <v>182.5</v>
      </c>
      <c r="F5" s="6">
        <v>179.8</v>
      </c>
      <c r="G5" s="6">
        <v>187.8</v>
      </c>
      <c r="H5" s="6">
        <v>169.7</v>
      </c>
      <c r="I5" s="6">
        <v>180.3</v>
      </c>
      <c r="J5" s="6">
        <v>184.9</v>
      </c>
      <c r="K5" s="6">
        <v>179.5</v>
      </c>
    </row>
    <row r="6" spans="1:11">
      <c r="A6" s="5" t="s">
        <v>60</v>
      </c>
      <c r="B6" s="6">
        <v>176.15833333333339</v>
      </c>
      <c r="C6" s="6">
        <v>189.55</v>
      </c>
      <c r="D6" s="6">
        <v>199.9</v>
      </c>
      <c r="E6" s="6">
        <v>182.5</v>
      </c>
      <c r="F6" s="6">
        <v>179.8</v>
      </c>
      <c r="G6" s="6">
        <v>187.8</v>
      </c>
      <c r="H6" s="6">
        <v>169.7</v>
      </c>
      <c r="I6" s="6">
        <v>180.3</v>
      </c>
      <c r="J6" s="6">
        <v>184.9</v>
      </c>
      <c r="K6" s="6">
        <v>179.5</v>
      </c>
    </row>
    <row r="10" spans="1:11">
      <c r="B10" t="s">
        <v>185</v>
      </c>
      <c r="C10" t="s">
        <v>101</v>
      </c>
      <c r="D10" s="7" t="s">
        <v>100</v>
      </c>
      <c r="J10" s="7"/>
    </row>
    <row r="11" spans="1:11">
      <c r="B11" t="str" cm="1">
        <f t="array" ref="B11:B20">TRANSPOSE(B4:K4)</f>
        <v>Average of Food_bucket</v>
      </c>
      <c r="C11" s="7" cm="1">
        <f t="array" ref="C11:C20">TRANSPOSE(B6:K6)</f>
        <v>176.15833333333339</v>
      </c>
      <c r="D11" s="3">
        <f>(C11/$C$21)*100</f>
        <v>9.6255686138798726</v>
      </c>
      <c r="J11" s="7"/>
    </row>
    <row r="12" spans="1:11">
      <c r="B12" t="str">
        <v>Average of CF_Bucket</v>
      </c>
      <c r="C12" s="7">
        <v>189.55</v>
      </c>
      <c r="D12" s="3">
        <f t="shared" ref="D12:D21" si="0">(C12/$C$21)*100</f>
        <v>10.357310359587093</v>
      </c>
      <c r="J12" s="7"/>
    </row>
    <row r="13" spans="1:11">
      <c r="B13" t="str">
        <v>Average of Pan, tobacco and intoxicants</v>
      </c>
      <c r="C13" s="7">
        <v>199.9</v>
      </c>
      <c r="D13" s="3">
        <f t="shared" si="0"/>
        <v>10.92285065091775</v>
      </c>
      <c r="J13" s="7"/>
    </row>
    <row r="14" spans="1:11">
      <c r="B14" t="str">
        <v>Average of Fuel and light</v>
      </c>
      <c r="C14" s="7">
        <v>182.5</v>
      </c>
      <c r="D14" s="3">
        <f t="shared" si="0"/>
        <v>9.9720872625937442</v>
      </c>
      <c r="J14" s="7"/>
    </row>
    <row r="15" spans="1:11">
      <c r="B15" t="str">
        <v>Average of Household goods and services</v>
      </c>
      <c r="C15" s="7">
        <v>179.8</v>
      </c>
      <c r="D15" s="3">
        <f t="shared" si="0"/>
        <v>9.8245550126813992</v>
      </c>
      <c r="J15" s="7"/>
    </row>
    <row r="16" spans="1:11">
      <c r="B16" t="str">
        <v>Average of Health</v>
      </c>
      <c r="C16" s="7">
        <v>187.8</v>
      </c>
      <c r="D16" s="3">
        <f t="shared" si="0"/>
        <v>10.261687605014275</v>
      </c>
      <c r="J16" s="7"/>
    </row>
    <row r="17" spans="2:10">
      <c r="B17" t="str">
        <v>Average of Transport and communication</v>
      </c>
      <c r="C17" s="7">
        <v>169.7</v>
      </c>
      <c r="D17" s="3">
        <f t="shared" si="0"/>
        <v>9.2726751148611406</v>
      </c>
      <c r="J17" s="7"/>
    </row>
    <row r="18" spans="2:10">
      <c r="B18" t="str">
        <v>Average of Education</v>
      </c>
      <c r="C18" s="7">
        <v>180.3</v>
      </c>
      <c r="D18" s="3">
        <f t="shared" si="0"/>
        <v>9.8518757997022028</v>
      </c>
      <c r="J18" s="7"/>
    </row>
    <row r="19" spans="2:10">
      <c r="B19" t="str">
        <v>Average of Personal care and effects</v>
      </c>
      <c r="C19" s="7">
        <v>184.9</v>
      </c>
      <c r="D19" s="3">
        <f t="shared" si="0"/>
        <v>10.103227040293609</v>
      </c>
      <c r="J19" s="7"/>
    </row>
    <row r="20" spans="2:10">
      <c r="B20" t="str">
        <v>Average of Miscellaneous</v>
      </c>
      <c r="C20" s="7">
        <v>179.5</v>
      </c>
      <c r="D20" s="3">
        <f t="shared" si="0"/>
        <v>9.808162540468917</v>
      </c>
    </row>
    <row r="21" spans="2:10">
      <c r="B21" t="s">
        <v>61</v>
      </c>
      <c r="C21" s="7">
        <f>SUM(_xlfn.ANCHORARRAY(C11))</f>
        <v>1830.1083333333333</v>
      </c>
      <c r="D21" s="3">
        <f t="shared" si="0"/>
        <v>100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09AED-F80C-4620-8641-D0CC2CA81248}">
  <dimension ref="A1:N60"/>
  <sheetViews>
    <sheetView topLeftCell="A4" workbookViewId="0">
      <selection activeCell="C10" sqref="C10"/>
    </sheetView>
  </sheetViews>
  <sheetFormatPr defaultRowHeight="15"/>
  <cols>
    <col min="1" max="1" width="13.140625" bestFit="1" customWidth="1"/>
    <col min="2" max="2" width="20.42578125" bestFit="1" customWidth="1"/>
    <col min="3" max="3" width="24" bestFit="1" customWidth="1"/>
    <col min="9" max="9" width="12" bestFit="1" customWidth="1"/>
  </cols>
  <sheetData>
    <row r="1" spans="1:14">
      <c r="A1" s="4" t="s">
        <v>0</v>
      </c>
      <c r="B1" t="s">
        <v>186</v>
      </c>
    </row>
    <row r="3" spans="1:14">
      <c r="A3" s="4" t="s">
        <v>59</v>
      </c>
      <c r="B3" t="s">
        <v>103</v>
      </c>
    </row>
    <row r="4" spans="1:14">
      <c r="A4" s="5">
        <v>2013</v>
      </c>
      <c r="B4" s="6">
        <v>109.48524305555559</v>
      </c>
    </row>
    <row r="5" spans="1:14">
      <c r="A5" s="5">
        <v>2014</v>
      </c>
      <c r="B5" s="6">
        <v>116.30972222222222</v>
      </c>
      <c r="D5" s="5">
        <v>2016</v>
      </c>
      <c r="E5" s="6">
        <v>129.52569444444444</v>
      </c>
      <c r="F5" s="6"/>
      <c r="H5" s="8" t="s">
        <v>1</v>
      </c>
      <c r="I5" s="8" t="s">
        <v>104</v>
      </c>
    </row>
    <row r="6" spans="1:14">
      <c r="A6" s="5">
        <v>2015</v>
      </c>
      <c r="B6" s="6">
        <v>122.08315972222222</v>
      </c>
      <c r="D6" s="5">
        <v>2017</v>
      </c>
      <c r="E6" s="6">
        <v>133.04201388888887</v>
      </c>
      <c r="F6" s="6">
        <f>((E6-E5)/E5)*100</f>
        <v>2.7147659462676246</v>
      </c>
      <c r="G6" s="7"/>
      <c r="H6" s="8">
        <v>2017</v>
      </c>
      <c r="I6" s="9">
        <v>2.7147659462676246</v>
      </c>
    </row>
    <row r="7" spans="1:14">
      <c r="A7" s="5">
        <v>2016</v>
      </c>
      <c r="B7" s="6">
        <v>128.98611111111111</v>
      </c>
      <c r="D7" s="5">
        <v>2018</v>
      </c>
      <c r="E7" s="6">
        <v>137.46527777777777</v>
      </c>
      <c r="F7" s="6">
        <f t="shared" ref="F7:F12" si="0">((E7-E6)/E6)*100</f>
        <v>3.3247120662071623</v>
      </c>
      <c r="G7" s="7"/>
      <c r="H7" s="8">
        <v>2018</v>
      </c>
      <c r="I7" s="9">
        <v>3.3247120662071623</v>
      </c>
    </row>
    <row r="8" spans="1:14">
      <c r="A8" s="5">
        <v>2017</v>
      </c>
      <c r="B8" s="6">
        <v>131.88541666666666</v>
      </c>
      <c r="D8" s="5">
        <v>2019</v>
      </c>
      <c r="E8" s="6">
        <v>142.54696969696968</v>
      </c>
      <c r="F8" s="6">
        <f t="shared" si="0"/>
        <v>3.6967094537187939</v>
      </c>
      <c r="G8" s="7"/>
      <c r="H8" s="8">
        <v>2019</v>
      </c>
      <c r="I8" s="9">
        <v>3.6967094537187939</v>
      </c>
    </row>
    <row r="9" spans="1:14">
      <c r="A9" s="5">
        <v>2018</v>
      </c>
      <c r="B9" s="6">
        <v>135.88229166666665</v>
      </c>
      <c r="D9" s="5">
        <v>2020</v>
      </c>
      <c r="E9" s="6">
        <v>151.64878472222225</v>
      </c>
      <c r="F9" s="6">
        <f t="shared" si="0"/>
        <v>6.3851339980088353</v>
      </c>
      <c r="G9" s="7"/>
      <c r="H9" s="8">
        <v>2020</v>
      </c>
      <c r="I9" s="9">
        <v>6.3851339980088353</v>
      </c>
    </row>
    <row r="10" spans="1:14">
      <c r="A10" s="5">
        <v>2019</v>
      </c>
      <c r="B10" s="6">
        <v>141.61041666666668</v>
      </c>
      <c r="D10" s="5">
        <v>2021</v>
      </c>
      <c r="E10" s="6">
        <v>162.0326388888889</v>
      </c>
      <c r="F10" s="6">
        <f t="shared" si="0"/>
        <v>6.847304570021409</v>
      </c>
      <c r="G10" s="7"/>
      <c r="H10" s="8">
        <v>2021</v>
      </c>
      <c r="I10" s="9">
        <v>6.847304570021409</v>
      </c>
    </row>
    <row r="11" spans="1:14">
      <c r="A11" s="5">
        <v>2020</v>
      </c>
      <c r="B11" s="6">
        <v>151.09244791666671</v>
      </c>
      <c r="D11" s="5">
        <v>2022</v>
      </c>
      <c r="E11" s="6">
        <v>172.13958333333335</v>
      </c>
      <c r="F11" s="6">
        <f t="shared" si="0"/>
        <v>6.2375978776566834</v>
      </c>
      <c r="G11" s="7"/>
      <c r="H11" s="8">
        <v>2022</v>
      </c>
      <c r="I11" s="9">
        <v>6.2375978776566834</v>
      </c>
    </row>
    <row r="12" spans="1:14">
      <c r="A12" s="5">
        <v>2021</v>
      </c>
      <c r="B12" s="6">
        <v>161.63333333333333</v>
      </c>
      <c r="D12" s="5">
        <v>2023</v>
      </c>
      <c r="E12" s="6">
        <v>177.41499999999996</v>
      </c>
      <c r="F12" s="6">
        <f t="shared" si="0"/>
        <v>3.0646156825250523</v>
      </c>
      <c r="G12" s="7"/>
      <c r="H12" s="8">
        <v>2023</v>
      </c>
      <c r="I12" s="9">
        <v>3.0646156825250523</v>
      </c>
      <c r="N12" s="16"/>
    </row>
    <row r="13" spans="1:14">
      <c r="A13" s="5">
        <v>2022</v>
      </c>
      <c r="B13" s="6">
        <v>171.72934027777777</v>
      </c>
      <c r="N13" s="16"/>
    </row>
    <row r="14" spans="1:14">
      <c r="A14" s="5">
        <v>2023</v>
      </c>
      <c r="B14" s="6">
        <v>177.10999999999999</v>
      </c>
      <c r="N14" s="16"/>
    </row>
    <row r="15" spans="1:14">
      <c r="A15" s="5" t="s">
        <v>60</v>
      </c>
      <c r="B15" s="6">
        <v>138.64765625000004</v>
      </c>
      <c r="N15" s="16"/>
    </row>
    <row r="16" spans="1:14">
      <c r="N16" s="16"/>
    </row>
    <row r="17" spans="14:14">
      <c r="N17" s="16"/>
    </row>
    <row r="18" spans="14:14">
      <c r="N18" s="16"/>
    </row>
    <row r="60" spans="1:1">
      <c r="A60" s="15" t="s">
        <v>105</v>
      </c>
    </row>
  </sheetData>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0EAB8-B3C3-4902-B9D1-A39BFE1D59F5}">
  <dimension ref="A1:K15"/>
  <sheetViews>
    <sheetView workbookViewId="0">
      <selection activeCell="I19" sqref="I19"/>
    </sheetView>
  </sheetViews>
  <sheetFormatPr defaultRowHeight="15"/>
  <cols>
    <col min="1" max="1" width="13.140625" bestFit="1" customWidth="1"/>
    <col min="2" max="2" width="22.85546875" bestFit="1" customWidth="1"/>
  </cols>
  <sheetData>
    <row r="1" spans="1:11">
      <c r="A1" s="4" t="s">
        <v>1</v>
      </c>
      <c r="B1" s="5">
        <v>2023</v>
      </c>
    </row>
    <row r="3" spans="1:11">
      <c r="A3" s="4" t="s">
        <v>59</v>
      </c>
      <c r="B3" t="s">
        <v>96</v>
      </c>
      <c r="J3" t="s">
        <v>2</v>
      </c>
      <c r="K3" t="s">
        <v>106</v>
      </c>
    </row>
    <row r="4" spans="1:11">
      <c r="A4" s="5" t="s">
        <v>31</v>
      </c>
      <c r="B4" s="6">
        <v>176.52500000000001</v>
      </c>
      <c r="F4" t="s">
        <v>39</v>
      </c>
      <c r="G4">
        <v>174.19722222222222</v>
      </c>
      <c r="J4" t="s">
        <v>39</v>
      </c>
      <c r="K4" s="3">
        <v>0</v>
      </c>
    </row>
    <row r="5" spans="1:11">
      <c r="A5" s="5" t="s">
        <v>35</v>
      </c>
      <c r="B5" s="6">
        <v>175.43055555555554</v>
      </c>
      <c r="F5" t="s">
        <v>40</v>
      </c>
      <c r="G5">
        <v>174.54166666666666</v>
      </c>
      <c r="H5" s="3">
        <f>((G5-G4)/G4)*100</f>
        <v>0.19773245523113386</v>
      </c>
      <c r="J5" t="s">
        <v>40</v>
      </c>
      <c r="K5" s="3">
        <v>0.19773245523113386</v>
      </c>
    </row>
    <row r="6" spans="1:11">
      <c r="A6" s="5" t="s">
        <v>36</v>
      </c>
      <c r="B6" s="6">
        <v>175.43888888888887</v>
      </c>
      <c r="F6" t="s">
        <v>41</v>
      </c>
      <c r="G6">
        <v>174.66944444444445</v>
      </c>
      <c r="H6" s="3">
        <f t="shared" ref="H6:H15" si="0">((G6-G5)/G5)*100</f>
        <v>7.3207607225281954E-2</v>
      </c>
      <c r="J6" t="s">
        <v>41</v>
      </c>
      <c r="K6" s="3">
        <v>7.3207607225281954E-2</v>
      </c>
    </row>
    <row r="7" spans="1:11">
      <c r="A7" s="5" t="s">
        <v>37</v>
      </c>
      <c r="B7" s="6">
        <v>176.2777777777778</v>
      </c>
      <c r="F7" t="s">
        <v>42</v>
      </c>
      <c r="G7">
        <v>175.55555555555554</v>
      </c>
      <c r="H7" s="3">
        <f t="shared" si="0"/>
        <v>0.50730745376185649</v>
      </c>
      <c r="J7" t="s">
        <v>42</v>
      </c>
      <c r="K7" s="3">
        <v>0.50730745376185649</v>
      </c>
    </row>
    <row r="8" spans="1:11">
      <c r="A8" s="5" t="s">
        <v>38</v>
      </c>
      <c r="B8" s="6">
        <v>177.60277777777779</v>
      </c>
      <c r="F8" t="s">
        <v>43</v>
      </c>
      <c r="G8">
        <v>176.77222222222224</v>
      </c>
      <c r="H8" s="3">
        <f t="shared" si="0"/>
        <v>0.69303797468356165</v>
      </c>
      <c r="J8" t="s">
        <v>43</v>
      </c>
      <c r="K8" s="3">
        <v>0.69303797468356165</v>
      </c>
    </row>
    <row r="9" spans="1:11">
      <c r="A9" s="5" t="s">
        <v>60</v>
      </c>
      <c r="B9" s="6">
        <v>176.255</v>
      </c>
      <c r="F9" t="s">
        <v>45</v>
      </c>
      <c r="G9">
        <v>176.74166666666665</v>
      </c>
      <c r="H9" s="3">
        <f t="shared" si="0"/>
        <v>-1.7285269807369604E-2</v>
      </c>
      <c r="J9" t="s">
        <v>45</v>
      </c>
      <c r="K9" s="3">
        <v>-1.7285269807369604E-2</v>
      </c>
    </row>
    <row r="10" spans="1:11">
      <c r="F10" t="s">
        <v>46</v>
      </c>
      <c r="G10">
        <v>175.76111111111109</v>
      </c>
      <c r="H10" s="3">
        <f t="shared" si="0"/>
        <v>-0.5547959199710808</v>
      </c>
      <c r="J10" t="s">
        <v>46</v>
      </c>
      <c r="K10" s="3">
        <v>-0.5547959199710808</v>
      </c>
    </row>
    <row r="11" spans="1:11">
      <c r="F11" t="s">
        <v>31</v>
      </c>
      <c r="G11">
        <v>176.52500000000001</v>
      </c>
      <c r="H11" s="3">
        <f t="shared" si="0"/>
        <v>0.43461769447167736</v>
      </c>
      <c r="J11" t="s">
        <v>31</v>
      </c>
      <c r="K11" s="3">
        <v>0.43461769447167736</v>
      </c>
    </row>
    <row r="12" spans="1:11">
      <c r="F12" t="s">
        <v>35</v>
      </c>
      <c r="G12">
        <v>175.43055555555554</v>
      </c>
      <c r="H12" s="3">
        <f t="shared" si="0"/>
        <v>-0.61999402036225049</v>
      </c>
      <c r="J12" t="s">
        <v>35</v>
      </c>
      <c r="K12" s="3">
        <v>-0.61999402036225049</v>
      </c>
    </row>
    <row r="13" spans="1:11">
      <c r="F13" t="s">
        <v>36</v>
      </c>
      <c r="G13">
        <v>175.43888888888887</v>
      </c>
      <c r="H13" s="3">
        <f t="shared" si="0"/>
        <v>4.7502177183077693E-3</v>
      </c>
      <c r="J13" t="s">
        <v>36</v>
      </c>
      <c r="K13" s="3">
        <v>4.7502177183077693E-3</v>
      </c>
    </row>
    <row r="14" spans="1:11">
      <c r="F14" t="s">
        <v>37</v>
      </c>
      <c r="G14">
        <v>176.2777777777778</v>
      </c>
      <c r="H14" s="3">
        <f t="shared" si="0"/>
        <v>0.47816586972357461</v>
      </c>
      <c r="J14" t="s">
        <v>37</v>
      </c>
      <c r="K14" s="3">
        <v>0.47816586972357461</v>
      </c>
    </row>
    <row r="15" spans="1:11">
      <c r="F15" t="s">
        <v>38</v>
      </c>
      <c r="G15">
        <v>177.60277777777779</v>
      </c>
      <c r="H15" s="3">
        <f t="shared" si="0"/>
        <v>0.75165458556570408</v>
      </c>
      <c r="J15" t="s">
        <v>38</v>
      </c>
      <c r="K15" s="3">
        <v>0.75165458556570408</v>
      </c>
    </row>
  </sheetData>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3871-B139-4879-BEE6-B0E5C3E72199}">
  <dimension ref="A1:S39"/>
  <sheetViews>
    <sheetView topLeftCell="L1" workbookViewId="0">
      <selection activeCell="P1" sqref="P1:S14"/>
    </sheetView>
  </sheetViews>
  <sheetFormatPr defaultRowHeight="15"/>
  <cols>
    <col min="1" max="1" width="13.140625" bestFit="1" customWidth="1"/>
    <col min="2" max="2" width="30.140625" bestFit="1" customWidth="1"/>
    <col min="3" max="3" width="23.5703125" bestFit="1" customWidth="1"/>
    <col min="4" max="4" width="14.140625" bestFit="1" customWidth="1"/>
    <col min="5" max="5" width="27.42578125" bestFit="1" customWidth="1"/>
    <col min="6" max="6" width="22.28515625" bestFit="1" customWidth="1"/>
    <col min="7" max="7" width="16.140625" bestFit="1" customWidth="1"/>
    <col min="8" max="8" width="21.42578125" bestFit="1" customWidth="1"/>
    <col min="9" max="9" width="29.140625" bestFit="1" customWidth="1"/>
    <col min="10" max="10" width="33.28515625" bestFit="1" customWidth="1"/>
    <col min="11" max="11" width="16.7109375" bestFit="1" customWidth="1"/>
    <col min="12" max="12" width="33.5703125" bestFit="1" customWidth="1"/>
    <col min="13" max="13" width="43.7109375" bestFit="1" customWidth="1"/>
    <col min="16" max="16" width="33.28515625" bestFit="1" customWidth="1"/>
    <col min="17" max="17" width="9.28515625" bestFit="1" customWidth="1"/>
    <col min="18" max="18" width="10.42578125" bestFit="1" customWidth="1"/>
    <col min="19" max="19" width="16.42578125" bestFit="1" customWidth="1"/>
  </cols>
  <sheetData>
    <row r="1" spans="1:19">
      <c r="A1" s="4" t="s">
        <v>1</v>
      </c>
      <c r="B1" s="5">
        <v>2023</v>
      </c>
      <c r="P1" s="52" t="s">
        <v>188</v>
      </c>
      <c r="Q1" s="52"/>
      <c r="R1" s="52"/>
      <c r="S1" s="52"/>
    </row>
    <row r="2" spans="1:19">
      <c r="P2" s="51" t="s">
        <v>108</v>
      </c>
      <c r="Q2" s="51" t="s">
        <v>109</v>
      </c>
      <c r="R2" s="51" t="s">
        <v>110</v>
      </c>
      <c r="S2" s="51" t="s">
        <v>87</v>
      </c>
    </row>
    <row r="3" spans="1:19">
      <c r="A3" s="4" t="s">
        <v>59</v>
      </c>
      <c r="B3" t="s">
        <v>75</v>
      </c>
      <c r="C3" t="s">
        <v>76</v>
      </c>
      <c r="D3" t="s">
        <v>86</v>
      </c>
      <c r="E3" t="s">
        <v>81</v>
      </c>
      <c r="F3" t="s">
        <v>80</v>
      </c>
      <c r="G3" t="s">
        <v>85</v>
      </c>
      <c r="H3" t="s">
        <v>77</v>
      </c>
      <c r="I3" t="s">
        <v>82</v>
      </c>
      <c r="J3" t="s">
        <v>78</v>
      </c>
      <c r="K3" t="s">
        <v>79</v>
      </c>
      <c r="L3" t="s">
        <v>83</v>
      </c>
      <c r="M3" t="s">
        <v>84</v>
      </c>
      <c r="P3" s="51" t="s">
        <v>3</v>
      </c>
      <c r="Q3" s="19">
        <v>155.4</v>
      </c>
      <c r="R3" s="20">
        <v>173.9</v>
      </c>
      <c r="S3" s="21">
        <v>18.399999999999999</v>
      </c>
    </row>
    <row r="4" spans="1:19">
      <c r="A4" s="5" t="s">
        <v>31</v>
      </c>
      <c r="B4" s="6">
        <v>173.70000000000002</v>
      </c>
      <c r="C4" s="6">
        <v>211.4</v>
      </c>
      <c r="D4" s="6">
        <v>194.79999999999998</v>
      </c>
      <c r="E4" s="6">
        <v>174.69999999999996</v>
      </c>
      <c r="F4" s="6">
        <v>185.93333333333331</v>
      </c>
      <c r="G4" s="6">
        <v>158.36666666666667</v>
      </c>
      <c r="H4" s="6">
        <v>157.36666666666667</v>
      </c>
      <c r="I4" s="6">
        <v>170.93333333333331</v>
      </c>
      <c r="J4" s="6">
        <v>121.36666666666667</v>
      </c>
      <c r="K4" s="6">
        <v>207.73333333333335</v>
      </c>
      <c r="L4" s="6">
        <v>170.66666666666666</v>
      </c>
      <c r="M4" s="6">
        <v>191.33333333333334</v>
      </c>
      <c r="P4" s="51" t="s">
        <v>4</v>
      </c>
      <c r="Q4" s="22">
        <v>220</v>
      </c>
      <c r="R4" s="23">
        <v>215.1</v>
      </c>
      <c r="S4" s="24">
        <v>-4.9000000000000004</v>
      </c>
    </row>
    <row r="5" spans="1:19">
      <c r="A5" s="5" t="s">
        <v>35</v>
      </c>
      <c r="B5" s="6">
        <v>174.43333333333331</v>
      </c>
      <c r="C5" s="6">
        <v>208.36666666666665</v>
      </c>
      <c r="D5" s="6">
        <v>175.43333333333331</v>
      </c>
      <c r="E5" s="6">
        <v>177.4</v>
      </c>
      <c r="F5" s="6">
        <v>178.29999999999998</v>
      </c>
      <c r="G5" s="6">
        <v>169.6</v>
      </c>
      <c r="H5" s="6">
        <v>156.46666666666667</v>
      </c>
      <c r="I5" s="6">
        <v>171.20000000000002</v>
      </c>
      <c r="J5" s="6">
        <v>120.33333333333333</v>
      </c>
      <c r="K5" s="6">
        <v>208.86666666666667</v>
      </c>
      <c r="L5" s="6">
        <v>171.60000000000002</v>
      </c>
      <c r="M5" s="6">
        <v>193.16666666666666</v>
      </c>
      <c r="P5" s="51" t="s">
        <v>5</v>
      </c>
      <c r="Q5" s="25">
        <v>171.1</v>
      </c>
      <c r="R5" s="20">
        <v>173.6</v>
      </c>
      <c r="S5" s="26">
        <v>2.6</v>
      </c>
    </row>
    <row r="6" spans="1:19">
      <c r="A6" s="5" t="s">
        <v>36</v>
      </c>
      <c r="B6" s="6">
        <v>174.4666666666667</v>
      </c>
      <c r="C6" s="6">
        <v>208.36666666666665</v>
      </c>
      <c r="D6" s="6">
        <v>175.43333333333331</v>
      </c>
      <c r="E6" s="6">
        <v>177.4</v>
      </c>
      <c r="F6" s="6">
        <v>178.23333333333335</v>
      </c>
      <c r="G6" s="6">
        <v>169.6</v>
      </c>
      <c r="H6" s="6">
        <v>156.53333333333333</v>
      </c>
      <c r="I6" s="6">
        <v>171.26666666666665</v>
      </c>
      <c r="J6" s="6">
        <v>120.33333333333333</v>
      </c>
      <c r="K6" s="6">
        <v>208.86666666666667</v>
      </c>
      <c r="L6" s="6">
        <v>171.60000000000002</v>
      </c>
      <c r="M6" s="6">
        <v>193.16666666666666</v>
      </c>
      <c r="P6" s="51" t="s">
        <v>6</v>
      </c>
      <c r="Q6" s="27">
        <v>165.9</v>
      </c>
      <c r="R6" s="28">
        <v>179.5</v>
      </c>
      <c r="S6" s="29">
        <v>13.6</v>
      </c>
    </row>
    <row r="7" spans="1:19">
      <c r="A7" s="5" t="s">
        <v>37</v>
      </c>
      <c r="B7" s="6">
        <v>173.9666666666667</v>
      </c>
      <c r="C7" s="6">
        <v>209.96666666666667</v>
      </c>
      <c r="D7" s="6">
        <v>169.96666666666667</v>
      </c>
      <c r="E7" s="6">
        <v>178.4666666666667</v>
      </c>
      <c r="F7" s="6">
        <v>174.03333333333333</v>
      </c>
      <c r="G7" s="6">
        <v>176.4</v>
      </c>
      <c r="H7" s="6">
        <v>159.36666666666667</v>
      </c>
      <c r="I7" s="6">
        <v>173.63333333333335</v>
      </c>
      <c r="J7" s="6">
        <v>121.59999999999998</v>
      </c>
      <c r="K7" s="6">
        <v>212.06666666666669</v>
      </c>
      <c r="L7" s="6">
        <v>172.19999999999996</v>
      </c>
      <c r="M7" s="6">
        <v>193.66666666666666</v>
      </c>
      <c r="P7" s="51" t="s">
        <v>7</v>
      </c>
      <c r="Q7" s="30">
        <v>199.2</v>
      </c>
      <c r="R7" s="31">
        <v>169.2</v>
      </c>
      <c r="S7" s="22">
        <v>-30</v>
      </c>
    </row>
    <row r="8" spans="1:19">
      <c r="A8" s="5" t="s">
        <v>38</v>
      </c>
      <c r="B8" s="6">
        <v>173.86666666666665</v>
      </c>
      <c r="C8" s="6">
        <v>215.06666666666669</v>
      </c>
      <c r="D8" s="6">
        <v>173.63333333333333</v>
      </c>
      <c r="E8" s="6">
        <v>179.5</v>
      </c>
      <c r="F8" s="6">
        <v>169.23333333333332</v>
      </c>
      <c r="G8" s="6">
        <v>172.33333333333334</v>
      </c>
      <c r="H8" s="6">
        <v>164.9</v>
      </c>
      <c r="I8" s="6">
        <v>175.79999999999998</v>
      </c>
      <c r="J8" s="6">
        <v>122.93333333333334</v>
      </c>
      <c r="K8" s="6">
        <v>216.96666666666667</v>
      </c>
      <c r="L8" s="6">
        <v>172.66666666666666</v>
      </c>
      <c r="M8" s="6">
        <v>194.33333333333334</v>
      </c>
      <c r="P8" s="51" t="s">
        <v>8</v>
      </c>
      <c r="Q8" s="32">
        <v>169.9</v>
      </c>
      <c r="R8" s="33">
        <v>172.3</v>
      </c>
      <c r="S8" s="26">
        <v>2.5</v>
      </c>
    </row>
    <row r="9" spans="1:19">
      <c r="A9" s="5" t="s">
        <v>60</v>
      </c>
      <c r="B9" s="6">
        <v>174.08666666666664</v>
      </c>
      <c r="C9" s="6">
        <v>210.63333333333335</v>
      </c>
      <c r="D9" s="6">
        <v>177.85333333333332</v>
      </c>
      <c r="E9" s="6">
        <v>177.49333333333331</v>
      </c>
      <c r="F9" s="6">
        <v>177.14666666666668</v>
      </c>
      <c r="G9" s="6">
        <v>169.26000000000002</v>
      </c>
      <c r="H9" s="6">
        <v>158.92666666666668</v>
      </c>
      <c r="I9" s="6">
        <v>172.56666666666669</v>
      </c>
      <c r="J9" s="6">
        <v>121.31333333333333</v>
      </c>
      <c r="K9" s="6">
        <v>210.9</v>
      </c>
      <c r="L9" s="6">
        <v>171.74666666666664</v>
      </c>
      <c r="M9" s="6">
        <v>193.1333333333333</v>
      </c>
      <c r="P9" s="51" t="s">
        <v>9</v>
      </c>
      <c r="Q9" s="34">
        <v>187</v>
      </c>
      <c r="R9" s="35">
        <v>164.9</v>
      </c>
      <c r="S9" s="36">
        <v>-22.1</v>
      </c>
    </row>
    <row r="10" spans="1:19">
      <c r="P10" s="51" t="s">
        <v>10</v>
      </c>
      <c r="Q10" s="37">
        <v>164.2</v>
      </c>
      <c r="R10" s="38">
        <v>175.8</v>
      </c>
      <c r="S10" s="39">
        <v>11.6</v>
      </c>
    </row>
    <row r="11" spans="1:19">
      <c r="P11" s="51" t="s">
        <v>107</v>
      </c>
      <c r="Q11" s="40">
        <v>120.1</v>
      </c>
      <c r="R11" s="41">
        <v>122.9</v>
      </c>
      <c r="S11" s="42">
        <v>2.8</v>
      </c>
    </row>
    <row r="12" spans="1:19">
      <c r="P12" s="51" t="s">
        <v>12</v>
      </c>
      <c r="Q12" s="43">
        <v>186.5</v>
      </c>
      <c r="R12" s="44">
        <v>217</v>
      </c>
      <c r="S12" s="40">
        <v>30.5</v>
      </c>
    </row>
    <row r="13" spans="1:19">
      <c r="P13" s="51" t="s">
        <v>13</v>
      </c>
      <c r="Q13" s="45">
        <v>167.1</v>
      </c>
      <c r="R13" s="46">
        <v>172.7</v>
      </c>
      <c r="S13" s="47">
        <v>5.6</v>
      </c>
    </row>
    <row r="14" spans="1:19">
      <c r="P14" s="51" t="s">
        <v>14</v>
      </c>
      <c r="Q14" s="48">
        <v>184</v>
      </c>
      <c r="R14" s="49">
        <v>194.3</v>
      </c>
      <c r="S14" s="50">
        <v>10.3</v>
      </c>
    </row>
    <row r="27" spans="2:5">
      <c r="B27" s="17" t="s">
        <v>108</v>
      </c>
      <c r="C27" s="17" t="s">
        <v>109</v>
      </c>
      <c r="D27" s="17" t="s">
        <v>110</v>
      </c>
      <c r="E27" s="17" t="s">
        <v>87</v>
      </c>
    </row>
    <row r="28" spans="2:5">
      <c r="B28" s="18" t="s">
        <v>3</v>
      </c>
      <c r="C28" s="7">
        <v>155.43333333333334</v>
      </c>
      <c r="D28" s="7">
        <v>173.86666666666665</v>
      </c>
      <c r="E28" s="7">
        <f>D28-C28</f>
        <v>18.433333333333309</v>
      </c>
    </row>
    <row r="29" spans="2:5">
      <c r="B29" s="18" t="s">
        <v>4</v>
      </c>
      <c r="C29" s="7">
        <v>220</v>
      </c>
      <c r="D29" s="7">
        <v>215.06666666666669</v>
      </c>
      <c r="E29" s="7">
        <f t="shared" ref="E29:E39" si="0">D29-C29</f>
        <v>-4.9333333333333087</v>
      </c>
    </row>
    <row r="30" spans="2:5">
      <c r="B30" s="18" t="s">
        <v>5</v>
      </c>
      <c r="C30" s="7">
        <v>171.06666666666669</v>
      </c>
      <c r="D30" s="7">
        <v>173.63333333333333</v>
      </c>
      <c r="E30" s="7">
        <f t="shared" si="0"/>
        <v>2.5666666666666345</v>
      </c>
    </row>
    <row r="31" spans="2:5">
      <c r="B31" s="18" t="s">
        <v>6</v>
      </c>
      <c r="C31" s="7">
        <v>165.86666666666667</v>
      </c>
      <c r="D31" s="7">
        <v>179.5</v>
      </c>
      <c r="E31" s="7">
        <f t="shared" si="0"/>
        <v>13.633333333333326</v>
      </c>
    </row>
    <row r="32" spans="2:5">
      <c r="B32" s="18" t="s">
        <v>7</v>
      </c>
      <c r="C32" s="7">
        <v>199.20000000000002</v>
      </c>
      <c r="D32" s="7">
        <v>169.23333333333332</v>
      </c>
      <c r="E32" s="7">
        <f t="shared" si="0"/>
        <v>-29.966666666666697</v>
      </c>
    </row>
    <row r="33" spans="2:5">
      <c r="B33" s="18" t="s">
        <v>8</v>
      </c>
      <c r="C33" s="7">
        <v>169.86666666666665</v>
      </c>
      <c r="D33" s="7">
        <v>172.33333333333334</v>
      </c>
      <c r="E33" s="7">
        <f t="shared" si="0"/>
        <v>2.466666666666697</v>
      </c>
    </row>
    <row r="34" spans="2:5">
      <c r="B34" s="18" t="s">
        <v>9</v>
      </c>
      <c r="C34" s="7">
        <v>187.03333333333333</v>
      </c>
      <c r="D34" s="7">
        <v>164.9</v>
      </c>
      <c r="E34" s="7">
        <f t="shared" si="0"/>
        <v>-22.133333333333326</v>
      </c>
    </row>
    <row r="35" spans="2:5">
      <c r="B35" s="18" t="s">
        <v>10</v>
      </c>
      <c r="C35" s="7">
        <v>164.16666666666666</v>
      </c>
      <c r="D35" s="7">
        <v>175.79999999999998</v>
      </c>
      <c r="E35" s="7">
        <f t="shared" si="0"/>
        <v>11.633333333333326</v>
      </c>
    </row>
    <row r="36" spans="2:5">
      <c r="B36" s="18" t="s">
        <v>107</v>
      </c>
      <c r="C36" s="7">
        <v>120.13333333333333</v>
      </c>
      <c r="D36" s="7">
        <v>122.93333333333334</v>
      </c>
      <c r="E36" s="7">
        <f t="shared" si="0"/>
        <v>2.8000000000000114</v>
      </c>
    </row>
    <row r="37" spans="2:5">
      <c r="B37" s="18" t="s">
        <v>12</v>
      </c>
      <c r="C37" s="7">
        <v>186.5</v>
      </c>
      <c r="D37" s="7">
        <v>216.96666666666667</v>
      </c>
      <c r="E37" s="7">
        <f t="shared" si="0"/>
        <v>30.466666666666669</v>
      </c>
    </row>
    <row r="38" spans="2:5">
      <c r="B38" s="18" t="s">
        <v>13</v>
      </c>
      <c r="C38" s="7">
        <v>167.06666666666666</v>
      </c>
      <c r="D38" s="7">
        <v>172.66666666666666</v>
      </c>
      <c r="E38" s="7">
        <f t="shared" si="0"/>
        <v>5.5999999999999943</v>
      </c>
    </row>
    <row r="39" spans="2:5">
      <c r="B39" s="18" t="s">
        <v>14</v>
      </c>
      <c r="C39" s="7">
        <v>184.03333333333333</v>
      </c>
      <c r="D39" s="7">
        <v>194.33333333333334</v>
      </c>
      <c r="E39" s="7">
        <f t="shared" si="0"/>
        <v>10.300000000000011</v>
      </c>
    </row>
  </sheetData>
  <mergeCells count="1">
    <mergeCell ref="P1:S1"/>
  </mergeCells>
  <conditionalFormatting sqref="E28:E39">
    <cfRule type="colorScale" priority="2">
      <colorScale>
        <cfvo type="min"/>
        <cfvo type="percentile" val="50"/>
        <cfvo type="max"/>
        <color rgb="FFF8696B"/>
        <color rgb="FFFFEB84"/>
        <color rgb="FF63BE7B"/>
      </colorScale>
    </cfRule>
  </conditionalFormatting>
  <conditionalFormatting sqref="C28:D39">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29554-5EE3-4E1C-AC42-E10324EFFB1D}">
  <dimension ref="A1:P59"/>
  <sheetViews>
    <sheetView workbookViewId="0">
      <selection activeCell="E50" sqref="E50"/>
    </sheetView>
  </sheetViews>
  <sheetFormatPr defaultRowHeight="15"/>
  <cols>
    <col min="1" max="1" width="13.140625" bestFit="1" customWidth="1"/>
    <col min="2" max="2" width="22.85546875" bestFit="1" customWidth="1"/>
    <col min="3" max="3" width="17" bestFit="1" customWidth="1"/>
    <col min="4" max="4" width="23.42578125" bestFit="1" customWidth="1"/>
    <col min="5" max="5" width="38.5703125" bestFit="1" customWidth="1"/>
    <col min="6" max="6" width="23.42578125" bestFit="1" customWidth="1"/>
    <col min="7" max="7" width="5" bestFit="1" customWidth="1"/>
    <col min="8" max="8" width="10.85546875" bestFit="1" customWidth="1"/>
    <col min="9" max="9" width="15.7109375" bestFit="1" customWidth="1"/>
    <col min="10" max="10" width="12.7109375" bestFit="1" customWidth="1"/>
    <col min="11" max="11" width="17.5703125" bestFit="1" customWidth="1"/>
    <col min="12" max="12" width="33.140625" bestFit="1" customWidth="1"/>
    <col min="13" max="13" width="23.42578125" bestFit="1" customWidth="1"/>
    <col min="14" max="14" width="23.42578125" customWidth="1"/>
    <col min="15" max="15" width="38.5703125" bestFit="1" customWidth="1"/>
    <col min="16" max="16" width="33.140625" bestFit="1" customWidth="1"/>
  </cols>
  <sheetData>
    <row r="1" spans="1:16">
      <c r="A1" s="4" t="s">
        <v>1</v>
      </c>
      <c r="B1" s="5">
        <v>2020</v>
      </c>
    </row>
    <row r="2" spans="1:16">
      <c r="G2" t="s">
        <v>62</v>
      </c>
      <c r="H2" t="s">
        <v>2</v>
      </c>
      <c r="I2" t="s">
        <v>96</v>
      </c>
      <c r="J2" t="s">
        <v>114</v>
      </c>
      <c r="K2" t="s">
        <v>69</v>
      </c>
      <c r="L2" t="s">
        <v>115</v>
      </c>
      <c r="M2" t="s">
        <v>99</v>
      </c>
      <c r="N2" t="s">
        <v>116</v>
      </c>
      <c r="O2" t="s">
        <v>88</v>
      </c>
      <c r="P2" t="s">
        <v>117</v>
      </c>
    </row>
    <row r="3" spans="1:16">
      <c r="A3" s="4" t="s">
        <v>59</v>
      </c>
      <c r="B3" t="s">
        <v>96</v>
      </c>
      <c r="C3" t="s">
        <v>69</v>
      </c>
      <c r="D3" t="s">
        <v>99</v>
      </c>
      <c r="E3" t="s">
        <v>88</v>
      </c>
      <c r="G3">
        <v>2019</v>
      </c>
      <c r="H3" t="s">
        <v>35</v>
      </c>
      <c r="I3">
        <v>134.96111111111111</v>
      </c>
      <c r="K3">
        <v>144.66666666666666</v>
      </c>
      <c r="M3">
        <v>136.93333333333334</v>
      </c>
      <c r="O3">
        <v>143.46666666666667</v>
      </c>
    </row>
    <row r="4" spans="1:16">
      <c r="A4" s="5" t="s">
        <v>31</v>
      </c>
      <c r="B4" s="6">
        <v>148.98611111111109</v>
      </c>
      <c r="C4" s="6">
        <v>150.23333333333332</v>
      </c>
      <c r="D4" s="6">
        <v>143.36666666666667</v>
      </c>
      <c r="E4" s="6">
        <v>145.99999999999997</v>
      </c>
      <c r="G4">
        <v>2019</v>
      </c>
      <c r="H4" t="s">
        <v>36</v>
      </c>
      <c r="I4">
        <v>135.48611111111111</v>
      </c>
      <c r="J4">
        <f>((I4-I3)/I3)*100</f>
        <v>0.3890009467747953</v>
      </c>
      <c r="K4">
        <v>145.26666666666665</v>
      </c>
      <c r="L4">
        <f>((K4-K3)/K3)*100</f>
        <v>0.41474654377879799</v>
      </c>
      <c r="M4">
        <v>138.29999999999998</v>
      </c>
      <c r="N4">
        <f>((M4-M3)/M3)*100</f>
        <v>0.99805258033104605</v>
      </c>
      <c r="O4">
        <v>143.53333333333333</v>
      </c>
      <c r="P4">
        <f>((O4-O3)/O3)*100</f>
        <v>4.6468401486986208E-2</v>
      </c>
    </row>
    <row r="5" spans="1:16">
      <c r="A5" s="5" t="s">
        <v>35</v>
      </c>
      <c r="B5" s="6">
        <v>146.83333333333334</v>
      </c>
      <c r="C5" s="6">
        <v>150.76666666666668</v>
      </c>
      <c r="D5" s="6">
        <v>146.13333333333335</v>
      </c>
      <c r="E5" s="6">
        <v>146.20000000000002</v>
      </c>
      <c r="G5">
        <v>2019</v>
      </c>
      <c r="H5" t="s">
        <v>38</v>
      </c>
      <c r="I5">
        <v>137.82222222222222</v>
      </c>
      <c r="J5">
        <f t="shared" ref="J5:J27" si="0">((I5-I4)/I4)*100</f>
        <v>1.7242439774474607</v>
      </c>
      <c r="K5">
        <v>146.00000000000003</v>
      </c>
      <c r="L5">
        <f t="shared" ref="L5:L27" si="1">((K5-K4)/K4)*100</f>
        <v>0.50481872418543616</v>
      </c>
      <c r="M5">
        <v>138.86666666666667</v>
      </c>
      <c r="N5">
        <f t="shared" ref="N5:N27" si="2">((M5-M4)/M4)*100</f>
        <v>0.40973728609305232</v>
      </c>
      <c r="O5">
        <v>143.46666666666667</v>
      </c>
      <c r="P5">
        <f t="shared" ref="P5:P27" si="3">((O5-O4)/O4)*100</f>
        <v>-4.6446818392937447E-2</v>
      </c>
    </row>
    <row r="6" spans="1:16">
      <c r="A6" s="5" t="s">
        <v>36</v>
      </c>
      <c r="B6" s="6">
        <v>145.59166666666667</v>
      </c>
      <c r="C6" s="6">
        <v>151.33333333333334</v>
      </c>
      <c r="D6" s="6">
        <v>147.9</v>
      </c>
      <c r="E6" s="6">
        <v>146.23333333333335</v>
      </c>
      <c r="G6">
        <v>2019</v>
      </c>
      <c r="H6" t="s">
        <v>39</v>
      </c>
      <c r="I6">
        <v>139.50833333333333</v>
      </c>
      <c r="J6">
        <f t="shared" si="0"/>
        <v>1.22339567881328</v>
      </c>
      <c r="K6">
        <v>146.46666666666667</v>
      </c>
      <c r="L6">
        <f t="shared" si="1"/>
        <v>0.31963470319632881</v>
      </c>
      <c r="M6">
        <v>139.83333333333334</v>
      </c>
      <c r="N6">
        <f t="shared" si="2"/>
        <v>0.69611137782045251</v>
      </c>
      <c r="O6">
        <v>143.60000000000002</v>
      </c>
      <c r="P6">
        <f t="shared" si="3"/>
        <v>9.2936802973992219E-2</v>
      </c>
    </row>
    <row r="7" spans="1:16">
      <c r="A7" s="5" t="s">
        <v>37</v>
      </c>
      <c r="B7" s="6">
        <v>149.97777777777776</v>
      </c>
      <c r="C7" s="6">
        <v>149.93333333333334</v>
      </c>
      <c r="D7" s="6">
        <v>143.20000000000002</v>
      </c>
      <c r="E7" s="6">
        <v>146.20000000000002</v>
      </c>
      <c r="G7">
        <v>2019</v>
      </c>
      <c r="H7" t="s">
        <v>40</v>
      </c>
      <c r="I7">
        <v>141.28888888888886</v>
      </c>
      <c r="J7">
        <f t="shared" si="0"/>
        <v>1.2763076678015917</v>
      </c>
      <c r="K7">
        <v>146.96666666666667</v>
      </c>
      <c r="L7">
        <f t="shared" si="1"/>
        <v>0.34137460172963136</v>
      </c>
      <c r="M7">
        <v>137.70000000000002</v>
      </c>
      <c r="N7">
        <f t="shared" si="2"/>
        <v>-1.5256257449344401</v>
      </c>
      <c r="O7">
        <v>143.96666666666667</v>
      </c>
      <c r="P7">
        <f t="shared" si="3"/>
        <v>0.25533890436395945</v>
      </c>
    </row>
    <row r="8" spans="1:16">
      <c r="A8" s="5" t="s">
        <v>38</v>
      </c>
      <c r="B8" s="6">
        <v>147.7847222222222</v>
      </c>
      <c r="C8" s="6">
        <v>150.63333333333333</v>
      </c>
      <c r="D8" s="6">
        <v>145.54999999999998</v>
      </c>
      <c r="E8" s="6">
        <v>146.23333333333335</v>
      </c>
      <c r="G8">
        <v>2019</v>
      </c>
      <c r="H8" t="s">
        <v>41</v>
      </c>
      <c r="I8">
        <v>141.97500000000002</v>
      </c>
      <c r="J8">
        <f t="shared" si="0"/>
        <v>0.4856086819754985</v>
      </c>
      <c r="K8">
        <v>147.56666666666666</v>
      </c>
      <c r="L8">
        <f t="shared" si="1"/>
        <v>0.40825584032660084</v>
      </c>
      <c r="M8">
        <v>136.79999999999998</v>
      </c>
      <c r="N8">
        <f t="shared" si="2"/>
        <v>-0.65359477124185472</v>
      </c>
      <c r="O8">
        <v>144.26666666666668</v>
      </c>
      <c r="P8">
        <f t="shared" si="3"/>
        <v>0.20838156980783379</v>
      </c>
    </row>
    <row r="9" spans="1:16">
      <c r="A9" s="5" t="s">
        <v>39</v>
      </c>
      <c r="B9" s="6">
        <v>151.375</v>
      </c>
      <c r="C9" s="6">
        <v>153.56666666666666</v>
      </c>
      <c r="D9" s="6">
        <v>141.29999999999998</v>
      </c>
      <c r="E9" s="6">
        <v>146.16666666666666</v>
      </c>
      <c r="G9">
        <v>2019</v>
      </c>
      <c r="H9" t="s">
        <v>42</v>
      </c>
      <c r="I9">
        <v>142.75833333333333</v>
      </c>
      <c r="J9">
        <f t="shared" si="0"/>
        <v>0.55174032987026089</v>
      </c>
      <c r="K9">
        <v>148.1</v>
      </c>
      <c r="L9">
        <f t="shared" si="1"/>
        <v>0.36141856787892351</v>
      </c>
      <c r="M9">
        <v>137.56666666666663</v>
      </c>
      <c r="N9">
        <f t="shared" si="2"/>
        <v>0.56042884990252306</v>
      </c>
      <c r="O9">
        <v>144.4</v>
      </c>
      <c r="P9">
        <f t="shared" si="3"/>
        <v>9.2421441774486426E-2</v>
      </c>
    </row>
    <row r="10" spans="1:16">
      <c r="A10" s="5" t="s">
        <v>40</v>
      </c>
      <c r="B10" s="6">
        <v>151.375</v>
      </c>
      <c r="C10" s="6">
        <v>153.56666666666666</v>
      </c>
      <c r="D10" s="6">
        <v>141.29999999999998</v>
      </c>
      <c r="E10" s="6">
        <v>146.16666666666666</v>
      </c>
      <c r="G10">
        <v>2019</v>
      </c>
      <c r="H10" t="s">
        <v>43</v>
      </c>
      <c r="I10">
        <v>144.86944444444444</v>
      </c>
      <c r="J10">
        <f t="shared" si="0"/>
        <v>1.4788006148697317</v>
      </c>
      <c r="K10">
        <v>148.5</v>
      </c>
      <c r="L10">
        <f t="shared" si="1"/>
        <v>0.27008777852802546</v>
      </c>
      <c r="M10">
        <v>139.06666666666666</v>
      </c>
      <c r="N10">
        <f t="shared" si="2"/>
        <v>1.090380421613784</v>
      </c>
      <c r="O10">
        <v>144.76666666666665</v>
      </c>
      <c r="P10">
        <f t="shared" si="3"/>
        <v>0.25392428439518411</v>
      </c>
    </row>
    <row r="11" spans="1:16">
      <c r="A11" s="5" t="s">
        <v>41</v>
      </c>
      <c r="B11" s="6">
        <v>153.51388888888889</v>
      </c>
      <c r="C11" s="6">
        <v>154.16666666666666</v>
      </c>
      <c r="D11" s="6">
        <v>142.36666666666667</v>
      </c>
      <c r="E11" s="6">
        <v>148.26666666666665</v>
      </c>
      <c r="G11">
        <v>2019</v>
      </c>
      <c r="H11" t="s">
        <v>45</v>
      </c>
      <c r="I11">
        <v>146.75277777777777</v>
      </c>
      <c r="J11">
        <f t="shared" si="0"/>
        <v>1.3000210917876196</v>
      </c>
      <c r="K11">
        <v>149.00000000000003</v>
      </c>
      <c r="L11">
        <f t="shared" si="1"/>
        <v>0.33670033670035587</v>
      </c>
      <c r="M11">
        <v>140.96666666666667</v>
      </c>
      <c r="N11">
        <f t="shared" si="2"/>
        <v>1.3662511984659678</v>
      </c>
      <c r="O11">
        <v>145.1</v>
      </c>
      <c r="P11">
        <f t="shared" si="3"/>
        <v>0.23025558369791121</v>
      </c>
    </row>
    <row r="12" spans="1:16">
      <c r="A12" s="5" t="s">
        <v>42</v>
      </c>
      <c r="B12" s="6">
        <v>154.46111111111111</v>
      </c>
      <c r="C12" s="6">
        <v>154.9</v>
      </c>
      <c r="D12" s="6">
        <v>142.16666666666666</v>
      </c>
      <c r="E12" s="6">
        <v>148.56666666666669</v>
      </c>
      <c r="G12">
        <v>2019</v>
      </c>
      <c r="H12" t="s">
        <v>46</v>
      </c>
      <c r="I12">
        <v>149.39444444444442</v>
      </c>
      <c r="J12">
        <f t="shared" si="0"/>
        <v>1.8000794987791158</v>
      </c>
      <c r="K12">
        <v>149.46666666666667</v>
      </c>
      <c r="L12">
        <f t="shared" si="1"/>
        <v>0.31319910514539601</v>
      </c>
      <c r="M12">
        <v>142.39999999999998</v>
      </c>
      <c r="N12">
        <f t="shared" si="2"/>
        <v>1.0167888389690061</v>
      </c>
      <c r="O12">
        <v>145.6</v>
      </c>
      <c r="P12">
        <f t="shared" si="3"/>
        <v>0.34458993797381116</v>
      </c>
    </row>
    <row r="13" spans="1:16">
      <c r="A13" s="5" t="s">
        <v>43</v>
      </c>
      <c r="B13" s="6">
        <v>157.61944444444444</v>
      </c>
      <c r="C13" s="6">
        <v>155.6</v>
      </c>
      <c r="D13" s="6">
        <v>142.33333333333334</v>
      </c>
      <c r="E13" s="6">
        <v>148.6</v>
      </c>
      <c r="G13">
        <v>2020</v>
      </c>
      <c r="H13" t="s">
        <v>31</v>
      </c>
      <c r="I13">
        <v>148.98611111111109</v>
      </c>
      <c r="J13">
        <f t="shared" si="0"/>
        <v>-0.27332564798631392</v>
      </c>
      <c r="K13">
        <v>150.23333333333332</v>
      </c>
      <c r="L13">
        <f t="shared" si="1"/>
        <v>0.51293487957180073</v>
      </c>
      <c r="M13">
        <v>143.36666666666667</v>
      </c>
      <c r="N13">
        <f t="shared" si="2"/>
        <v>0.6788389513108829</v>
      </c>
      <c r="O13">
        <v>145.99999999999997</v>
      </c>
      <c r="P13">
        <f t="shared" si="3"/>
        <v>0.27472527472525915</v>
      </c>
    </row>
    <row r="14" spans="1:16">
      <c r="A14" s="5" t="s">
        <v>45</v>
      </c>
      <c r="B14" s="6">
        <v>161.21111111111114</v>
      </c>
      <c r="C14" s="6">
        <v>156.53333333333333</v>
      </c>
      <c r="D14" s="6">
        <v>142.79999999999998</v>
      </c>
      <c r="E14" s="6">
        <v>149.03333333333333</v>
      </c>
      <c r="G14">
        <v>2020</v>
      </c>
      <c r="H14" t="s">
        <v>35</v>
      </c>
      <c r="I14">
        <v>146.83333333333334</v>
      </c>
      <c r="J14">
        <f t="shared" si="0"/>
        <v>-1.4449519903048151</v>
      </c>
      <c r="K14">
        <v>150.76666666666668</v>
      </c>
      <c r="L14">
        <f t="shared" si="1"/>
        <v>0.35500332815621916</v>
      </c>
      <c r="M14">
        <v>146.13333333333335</v>
      </c>
      <c r="N14">
        <f t="shared" si="2"/>
        <v>1.9297837712160055</v>
      </c>
      <c r="O14">
        <v>146.20000000000002</v>
      </c>
      <c r="P14">
        <f t="shared" si="3"/>
        <v>0.1369863013698942</v>
      </c>
    </row>
    <row r="15" spans="1:16">
      <c r="A15" s="5" t="s">
        <v>46</v>
      </c>
      <c r="B15" s="6">
        <v>162.16944444444445</v>
      </c>
      <c r="C15" s="6">
        <v>157.60000000000002</v>
      </c>
      <c r="D15" s="6">
        <v>143.73333333333332</v>
      </c>
      <c r="E15" s="6">
        <v>149.53333333333333</v>
      </c>
      <c r="G15">
        <v>2020</v>
      </c>
      <c r="H15" t="s">
        <v>36</v>
      </c>
      <c r="I15">
        <v>145.59166666666667</v>
      </c>
      <c r="J15">
        <f t="shared" si="0"/>
        <v>-0.84562996594779172</v>
      </c>
      <c r="K15">
        <v>151.33333333333334</v>
      </c>
      <c r="L15">
        <f t="shared" si="1"/>
        <v>0.37585673225734878</v>
      </c>
      <c r="M15">
        <v>147.9</v>
      </c>
      <c r="N15">
        <f t="shared" si="2"/>
        <v>1.2089416058394056</v>
      </c>
      <c r="O15">
        <v>146.23333333333335</v>
      </c>
      <c r="P15">
        <f t="shared" si="3"/>
        <v>2.279981760145789E-2</v>
      </c>
    </row>
    <row r="16" spans="1:16">
      <c r="A16" s="5" t="s">
        <v>60</v>
      </c>
      <c r="B16" s="6">
        <v>152.57488425925925</v>
      </c>
      <c r="C16" s="6">
        <v>153.23611111111109</v>
      </c>
      <c r="D16" s="6">
        <v>143.51250000000002</v>
      </c>
      <c r="E16" s="6">
        <v>147.26666666666668</v>
      </c>
      <c r="G16">
        <v>2020</v>
      </c>
      <c r="H16" t="s">
        <v>37</v>
      </c>
      <c r="I16">
        <v>149.97777777777776</v>
      </c>
      <c r="J16">
        <f t="shared" si="0"/>
        <v>3.0126113750405299</v>
      </c>
      <c r="K16">
        <v>149.93333333333334</v>
      </c>
      <c r="L16">
        <f t="shared" si="1"/>
        <v>-0.92511013215859395</v>
      </c>
      <c r="M16">
        <v>143.20000000000002</v>
      </c>
      <c r="N16">
        <f t="shared" si="2"/>
        <v>-3.1778228532792352</v>
      </c>
      <c r="O16">
        <v>146.20000000000002</v>
      </c>
      <c r="P16">
        <f t="shared" si="3"/>
        <v>-2.2794620469567883E-2</v>
      </c>
    </row>
    <row r="17" spans="7:16">
      <c r="G17">
        <v>2020</v>
      </c>
      <c r="H17" t="s">
        <v>38</v>
      </c>
      <c r="I17">
        <v>147.7847222222222</v>
      </c>
      <c r="J17">
        <f t="shared" si="0"/>
        <v>-1.4622536672099602</v>
      </c>
      <c r="K17">
        <v>150.63333333333333</v>
      </c>
      <c r="L17">
        <f t="shared" si="1"/>
        <v>0.46687416629612405</v>
      </c>
      <c r="M17">
        <v>145.54999999999998</v>
      </c>
      <c r="N17">
        <f t="shared" si="2"/>
        <v>1.6410614525139426</v>
      </c>
      <c r="O17">
        <v>146.23333333333335</v>
      </c>
      <c r="P17">
        <f t="shared" si="3"/>
        <v>2.279981760145789E-2</v>
      </c>
    </row>
    <row r="18" spans="7:16">
      <c r="G18">
        <v>2020</v>
      </c>
      <c r="H18" t="s">
        <v>39</v>
      </c>
      <c r="I18">
        <v>151.375</v>
      </c>
      <c r="J18">
        <f t="shared" si="0"/>
        <v>2.4293971147972524</v>
      </c>
      <c r="K18">
        <v>153.56666666666666</v>
      </c>
      <c r="L18">
        <f t="shared" si="1"/>
        <v>1.9473334808585996</v>
      </c>
      <c r="M18">
        <v>141.29999999999998</v>
      </c>
      <c r="N18">
        <f t="shared" si="2"/>
        <v>-2.9199587770525599</v>
      </c>
      <c r="O18">
        <v>146.16666666666666</v>
      </c>
      <c r="P18">
        <f t="shared" si="3"/>
        <v>-4.5589240939155201E-2</v>
      </c>
    </row>
    <row r="19" spans="7:16">
      <c r="G19">
        <v>2020</v>
      </c>
      <c r="H19" t="s">
        <v>40</v>
      </c>
      <c r="I19">
        <v>151.375</v>
      </c>
      <c r="J19">
        <f t="shared" si="0"/>
        <v>0</v>
      </c>
      <c r="K19">
        <v>153.56666666666666</v>
      </c>
      <c r="L19">
        <f t="shared" si="1"/>
        <v>0</v>
      </c>
      <c r="M19">
        <v>141.29999999999998</v>
      </c>
      <c r="N19">
        <f t="shared" si="2"/>
        <v>0</v>
      </c>
      <c r="O19">
        <v>146.16666666666666</v>
      </c>
      <c r="P19">
        <f t="shared" si="3"/>
        <v>0</v>
      </c>
    </row>
    <row r="20" spans="7:16">
      <c r="G20">
        <v>2020</v>
      </c>
      <c r="H20" t="s">
        <v>41</v>
      </c>
      <c r="I20">
        <v>153.51388888888889</v>
      </c>
      <c r="J20">
        <f t="shared" si="0"/>
        <v>1.4129736673089253</v>
      </c>
      <c r="K20">
        <v>154.16666666666666</v>
      </c>
      <c r="L20">
        <f t="shared" si="1"/>
        <v>0.39070978945083201</v>
      </c>
      <c r="M20">
        <v>142.36666666666667</v>
      </c>
      <c r="N20">
        <f t="shared" si="2"/>
        <v>0.75489502241096351</v>
      </c>
      <c r="O20">
        <v>148.26666666666665</v>
      </c>
      <c r="P20">
        <f t="shared" si="3"/>
        <v>1.4367160775370544</v>
      </c>
    </row>
    <row r="21" spans="7:16">
      <c r="G21">
        <v>2020</v>
      </c>
      <c r="H21" t="s">
        <v>42</v>
      </c>
      <c r="I21">
        <v>154.46111111111111</v>
      </c>
      <c r="J21">
        <f t="shared" si="0"/>
        <v>0.61702705147923687</v>
      </c>
      <c r="K21">
        <v>154.9</v>
      </c>
      <c r="L21">
        <f t="shared" si="1"/>
        <v>0.47567567567568553</v>
      </c>
      <c r="M21">
        <v>142.16666666666666</v>
      </c>
      <c r="N21">
        <f t="shared" si="2"/>
        <v>-0.14048232264107963</v>
      </c>
      <c r="O21">
        <v>148.56666666666669</v>
      </c>
      <c r="P21">
        <f t="shared" si="3"/>
        <v>0.20233812949642971</v>
      </c>
    </row>
    <row r="22" spans="7:16">
      <c r="G22">
        <v>2020</v>
      </c>
      <c r="H22" t="s">
        <v>43</v>
      </c>
      <c r="I22">
        <v>157.61944444444444</v>
      </c>
      <c r="J22">
        <f t="shared" si="0"/>
        <v>2.0447433730172992</v>
      </c>
      <c r="K22">
        <v>155.6</v>
      </c>
      <c r="L22">
        <f t="shared" si="1"/>
        <v>0.45190445448675831</v>
      </c>
      <c r="M22">
        <v>142.33333333333334</v>
      </c>
      <c r="N22">
        <f t="shared" si="2"/>
        <v>0.1172332942555819</v>
      </c>
      <c r="O22">
        <v>148.6</v>
      </c>
      <c r="P22">
        <f t="shared" si="3"/>
        <v>2.2436616558202609E-2</v>
      </c>
    </row>
    <row r="23" spans="7:16">
      <c r="G23">
        <v>2020</v>
      </c>
      <c r="H23" t="s">
        <v>45</v>
      </c>
      <c r="I23">
        <v>161.21111111111114</v>
      </c>
      <c r="J23">
        <f t="shared" si="0"/>
        <v>2.2786951694482331</v>
      </c>
      <c r="K23">
        <v>156.53333333333333</v>
      </c>
      <c r="L23">
        <f t="shared" si="1"/>
        <v>0.5998286203941755</v>
      </c>
      <c r="M23">
        <v>142.79999999999998</v>
      </c>
      <c r="N23">
        <f t="shared" si="2"/>
        <v>0.32786885245899777</v>
      </c>
      <c r="O23">
        <v>149.03333333333333</v>
      </c>
      <c r="P23">
        <f t="shared" si="3"/>
        <v>0.29161058770749471</v>
      </c>
    </row>
    <row r="24" spans="7:16">
      <c r="G24">
        <v>2020</v>
      </c>
      <c r="H24" t="s">
        <v>46</v>
      </c>
      <c r="I24">
        <v>162.16944444444445</v>
      </c>
      <c r="J24">
        <f t="shared" si="0"/>
        <v>0.59445861189605265</v>
      </c>
      <c r="K24">
        <v>157.60000000000002</v>
      </c>
      <c r="L24">
        <f t="shared" si="1"/>
        <v>0.68143100511074828</v>
      </c>
      <c r="M24">
        <v>143.73333333333332</v>
      </c>
      <c r="N24">
        <f t="shared" si="2"/>
        <v>0.65359477124183274</v>
      </c>
      <c r="O24">
        <v>149.53333333333333</v>
      </c>
      <c r="P24">
        <f t="shared" si="3"/>
        <v>0.33549541489599644</v>
      </c>
    </row>
    <row r="25" spans="7:16">
      <c r="G25">
        <v>2021</v>
      </c>
      <c r="H25" t="s">
        <v>31</v>
      </c>
      <c r="I25">
        <v>159.86666666666665</v>
      </c>
      <c r="J25">
        <f t="shared" si="0"/>
        <v>-1.4199825285623917</v>
      </c>
      <c r="K25">
        <v>158.63333333333333</v>
      </c>
      <c r="L25">
        <f t="shared" si="1"/>
        <v>0.65566835871402462</v>
      </c>
      <c r="M25">
        <v>147.23333333333335</v>
      </c>
      <c r="N25">
        <f t="shared" si="2"/>
        <v>2.4350649350649549</v>
      </c>
      <c r="O25">
        <v>149.86666666666667</v>
      </c>
      <c r="P25">
        <f t="shared" si="3"/>
        <v>0.22291573785109864</v>
      </c>
    </row>
    <row r="26" spans="7:16">
      <c r="G26">
        <v>2021</v>
      </c>
      <c r="H26" t="s">
        <v>35</v>
      </c>
      <c r="I26">
        <v>157.17222222222222</v>
      </c>
      <c r="J26">
        <f t="shared" si="0"/>
        <v>-1.6854323046983501</v>
      </c>
      <c r="K26">
        <v>160.63333333333335</v>
      </c>
      <c r="L26">
        <f t="shared" si="1"/>
        <v>1.2607690691321887</v>
      </c>
      <c r="M26">
        <v>151.96666666666667</v>
      </c>
      <c r="N26">
        <f t="shared" si="2"/>
        <v>3.2148517093049485</v>
      </c>
      <c r="O26">
        <v>150.73333333333332</v>
      </c>
      <c r="P26">
        <f t="shared" si="3"/>
        <v>0.57829181494660531</v>
      </c>
    </row>
    <row r="27" spans="7:16">
      <c r="G27">
        <v>2021</v>
      </c>
      <c r="H27" t="s">
        <v>36</v>
      </c>
      <c r="I27">
        <v>157.16666666666666</v>
      </c>
      <c r="J27">
        <f t="shared" si="0"/>
        <v>-3.5346930119147285E-3</v>
      </c>
      <c r="K27">
        <v>161.06666666666669</v>
      </c>
      <c r="L27">
        <f t="shared" si="1"/>
        <v>0.26976551151691458</v>
      </c>
      <c r="M27">
        <v>155.43333333333334</v>
      </c>
      <c r="N27">
        <f t="shared" si="2"/>
        <v>2.2812020179864017</v>
      </c>
      <c r="O27">
        <v>151.06666666666666</v>
      </c>
      <c r="P27">
        <f t="shared" si="3"/>
        <v>0.22114108801415933</v>
      </c>
    </row>
    <row r="34" spans="2:12">
      <c r="G34" s="8" t="s">
        <v>62</v>
      </c>
      <c r="H34" s="8" t="s">
        <v>2</v>
      </c>
      <c r="I34" s="8" t="s">
        <v>114</v>
      </c>
      <c r="J34" s="8" t="s">
        <v>115</v>
      </c>
      <c r="K34" s="8" t="s">
        <v>116</v>
      </c>
      <c r="L34" s="8" t="s">
        <v>117</v>
      </c>
    </row>
    <row r="35" spans="2:12">
      <c r="G35" s="8">
        <v>2019</v>
      </c>
      <c r="H35" s="8" t="s">
        <v>35</v>
      </c>
      <c r="I35" s="8" t="s">
        <v>48</v>
      </c>
      <c r="J35" s="8" t="s">
        <v>48</v>
      </c>
      <c r="K35" s="8" t="s">
        <v>48</v>
      </c>
      <c r="L35" s="8" t="s">
        <v>48</v>
      </c>
    </row>
    <row r="36" spans="2:12">
      <c r="G36" s="8">
        <v>2019</v>
      </c>
      <c r="H36" s="8" t="s">
        <v>36</v>
      </c>
      <c r="I36" s="9">
        <v>0.3890009467747953</v>
      </c>
      <c r="J36" s="9">
        <v>0.41474654377879799</v>
      </c>
      <c r="K36" s="9">
        <v>0.99805258033104605</v>
      </c>
      <c r="L36" s="9">
        <v>4.6468401486986208E-2</v>
      </c>
    </row>
    <row r="37" spans="2:12">
      <c r="G37" s="8">
        <v>2019</v>
      </c>
      <c r="H37" s="8" t="s">
        <v>38</v>
      </c>
      <c r="I37" s="9">
        <v>1.7242439774474607</v>
      </c>
      <c r="J37" s="9">
        <v>0.50481872418543616</v>
      </c>
      <c r="K37" s="9">
        <v>0.40973728609305232</v>
      </c>
      <c r="L37" s="9">
        <v>-4.6446818392937447E-2</v>
      </c>
    </row>
    <row r="38" spans="2:12">
      <c r="G38" s="8">
        <v>2019</v>
      </c>
      <c r="H38" s="8" t="s">
        <v>39</v>
      </c>
      <c r="I38" s="9">
        <v>1.22339567881328</v>
      </c>
      <c r="J38" s="9">
        <v>0.31963470319632881</v>
      </c>
      <c r="K38" s="9">
        <v>0.69611137782045251</v>
      </c>
      <c r="L38" s="9">
        <v>9.2936802973992219E-2</v>
      </c>
    </row>
    <row r="39" spans="2:12">
      <c r="G39" s="8">
        <v>2019</v>
      </c>
      <c r="H39" s="8" t="s">
        <v>40</v>
      </c>
      <c r="I39" s="9">
        <v>1.2763076678015917</v>
      </c>
      <c r="J39" s="9">
        <v>0.34137460172963136</v>
      </c>
      <c r="K39" s="9">
        <v>-1.5256257449344401</v>
      </c>
      <c r="L39" s="9">
        <v>0.25533890436395945</v>
      </c>
    </row>
    <row r="40" spans="2:12">
      <c r="G40" s="8">
        <v>2019</v>
      </c>
      <c r="H40" s="8" t="s">
        <v>41</v>
      </c>
      <c r="I40" s="9">
        <v>0.4856086819754985</v>
      </c>
      <c r="J40" s="9">
        <v>0.40825584032660084</v>
      </c>
      <c r="K40" s="9">
        <v>-0.65359477124185472</v>
      </c>
      <c r="L40" s="9">
        <v>0.20838156980783379</v>
      </c>
    </row>
    <row r="41" spans="2:12">
      <c r="G41" s="8">
        <v>2019</v>
      </c>
      <c r="H41" s="8" t="s">
        <v>42</v>
      </c>
      <c r="I41" s="9">
        <v>0.55174032987026089</v>
      </c>
      <c r="J41" s="9">
        <v>0.36141856787892351</v>
      </c>
      <c r="K41" s="9">
        <v>0.56042884990252306</v>
      </c>
      <c r="L41" s="9">
        <v>9.2421441774486426E-2</v>
      </c>
    </row>
    <row r="42" spans="2:12">
      <c r="G42" s="8">
        <v>2019</v>
      </c>
      <c r="H42" s="8" t="s">
        <v>43</v>
      </c>
      <c r="I42" s="9">
        <v>1.4788006148697317</v>
      </c>
      <c r="J42" s="9">
        <v>0.27008777852802546</v>
      </c>
      <c r="K42" s="9">
        <v>1.090380421613784</v>
      </c>
      <c r="L42" s="9">
        <v>0.25392428439518411</v>
      </c>
    </row>
    <row r="43" spans="2:12">
      <c r="G43" s="8">
        <v>2019</v>
      </c>
      <c r="H43" s="8" t="s">
        <v>45</v>
      </c>
      <c r="I43" s="9">
        <v>1.3000210917876196</v>
      </c>
      <c r="J43" s="9">
        <v>0.33670033670035587</v>
      </c>
      <c r="K43" s="9">
        <v>1.3662511984659678</v>
      </c>
      <c r="L43" s="9">
        <v>0.23025558369791121</v>
      </c>
    </row>
    <row r="44" spans="2:12">
      <c r="G44" s="8">
        <v>2019</v>
      </c>
      <c r="H44" s="8" t="s">
        <v>46</v>
      </c>
      <c r="I44" s="9">
        <v>1.8000794987791158</v>
      </c>
      <c r="J44" s="9">
        <v>0.31319910514539601</v>
      </c>
      <c r="K44" s="9">
        <v>1.0167888389690061</v>
      </c>
      <c r="L44" s="9">
        <v>0.34458993797381116</v>
      </c>
    </row>
    <row r="45" spans="2:12">
      <c r="G45" s="8">
        <v>2020</v>
      </c>
      <c r="H45" s="8" t="s">
        <v>31</v>
      </c>
      <c r="I45" s="9">
        <v>-0.27332564798631392</v>
      </c>
      <c r="J45" s="9">
        <v>0.51293487957180073</v>
      </c>
      <c r="K45" s="9">
        <v>0.6788389513108829</v>
      </c>
      <c r="L45" s="9">
        <v>0.27472527472525915</v>
      </c>
    </row>
    <row r="46" spans="2:12">
      <c r="G46" s="8">
        <v>2020</v>
      </c>
      <c r="H46" s="8" t="s">
        <v>35</v>
      </c>
      <c r="I46" s="9">
        <v>-1.4449519903048151</v>
      </c>
      <c r="J46" s="9">
        <v>0.35500332815621916</v>
      </c>
      <c r="K46" s="9">
        <v>1.9297837712160055</v>
      </c>
      <c r="L46" s="9">
        <v>0.1369863013698942</v>
      </c>
    </row>
    <row r="47" spans="2:12">
      <c r="G47" s="8">
        <v>2020</v>
      </c>
      <c r="H47" s="8" t="s">
        <v>36</v>
      </c>
      <c r="I47" s="9">
        <v>-0.84562996594779172</v>
      </c>
      <c r="J47" s="9">
        <v>0.37585673225734878</v>
      </c>
      <c r="K47" s="9">
        <v>1.2089416058394056</v>
      </c>
      <c r="L47" s="9">
        <v>2.279981760145789E-2</v>
      </c>
    </row>
    <row r="48" spans="2:12">
      <c r="B48" s="8" t="s">
        <v>113</v>
      </c>
      <c r="C48" s="8" t="s">
        <v>112</v>
      </c>
      <c r="D48" s="8" t="s">
        <v>111</v>
      </c>
      <c r="G48" s="8">
        <v>2020</v>
      </c>
      <c r="H48" s="8" t="s">
        <v>37</v>
      </c>
      <c r="I48" s="9">
        <v>3.0126113750405299</v>
      </c>
      <c r="J48" s="9">
        <v>-0.92511013215859395</v>
      </c>
      <c r="K48" s="9">
        <v>-3.1778228532792352</v>
      </c>
      <c r="L48" s="9">
        <v>-2.2794620469567883E-2</v>
      </c>
    </row>
    <row r="49" spans="2:12">
      <c r="B49" s="8" t="s">
        <v>89</v>
      </c>
      <c r="C49" s="12">
        <v>143.2431818181818</v>
      </c>
      <c r="D49" s="12">
        <v>155.30775462962964</v>
      </c>
      <c r="G49" s="8">
        <v>2020</v>
      </c>
      <c r="H49" s="8" t="s">
        <v>38</v>
      </c>
      <c r="I49" s="9">
        <v>-1.4622536672099602</v>
      </c>
      <c r="J49" s="9">
        <v>0.46687416629612405</v>
      </c>
      <c r="K49" s="9">
        <v>1.6410614525139426</v>
      </c>
      <c r="L49" s="9">
        <v>2.279981760145789E-2</v>
      </c>
    </row>
    <row r="50" spans="2:12">
      <c r="B50" s="8" t="s">
        <v>23</v>
      </c>
      <c r="C50" s="12">
        <v>148.03030303030303</v>
      </c>
      <c r="D50" s="12">
        <v>155.56944444444443</v>
      </c>
      <c r="G50" s="8">
        <v>2020</v>
      </c>
      <c r="H50" s="8" t="s">
        <v>39</v>
      </c>
      <c r="I50" s="9">
        <v>2.4293971147972524</v>
      </c>
      <c r="J50" s="9">
        <v>1.9473334808585996</v>
      </c>
      <c r="K50" s="9">
        <v>-2.9199587770525599</v>
      </c>
      <c r="L50" s="9">
        <v>-4.5589240939155201E-2</v>
      </c>
    </row>
    <row r="51" spans="2:12">
      <c r="B51" s="8" t="s">
        <v>21</v>
      </c>
      <c r="C51" s="12">
        <v>140.09090909090912</v>
      </c>
      <c r="D51" s="12">
        <v>144.94861111111112</v>
      </c>
      <c r="G51" s="8">
        <v>2020</v>
      </c>
      <c r="H51" s="8" t="s">
        <v>40</v>
      </c>
      <c r="I51" s="9">
        <v>0</v>
      </c>
      <c r="J51" s="9">
        <v>0</v>
      </c>
      <c r="K51" s="9">
        <v>0</v>
      </c>
      <c r="L51" s="9">
        <v>0</v>
      </c>
    </row>
    <row r="52" spans="2:12">
      <c r="B52" s="8" t="s">
        <v>22</v>
      </c>
      <c r="C52" s="12">
        <v>144.62727272727273</v>
      </c>
      <c r="D52" s="12">
        <v>148.36944444444444</v>
      </c>
      <c r="G52" s="8">
        <v>2020</v>
      </c>
      <c r="H52" s="8" t="s">
        <v>41</v>
      </c>
      <c r="I52" s="9">
        <v>1.4129736673089253</v>
      </c>
      <c r="J52" s="9">
        <v>0.39070978945083201</v>
      </c>
      <c r="K52" s="9">
        <v>0.75489502241096351</v>
      </c>
      <c r="L52" s="9">
        <v>1.4367160775370544</v>
      </c>
    </row>
    <row r="53" spans="2:12">
      <c r="G53" s="8">
        <v>2020</v>
      </c>
      <c r="H53" s="8" t="s">
        <v>42</v>
      </c>
      <c r="I53" s="9">
        <v>0.61702705147923687</v>
      </c>
      <c r="J53" s="9">
        <v>0.47567567567568553</v>
      </c>
      <c r="K53" s="9">
        <v>-0.14048232264107963</v>
      </c>
      <c r="L53" s="9">
        <v>0.20233812949642971</v>
      </c>
    </row>
    <row r="54" spans="2:12">
      <c r="G54" s="8">
        <v>2020</v>
      </c>
      <c r="H54" s="8" t="s">
        <v>43</v>
      </c>
      <c r="I54" s="9">
        <v>2.0447433730172992</v>
      </c>
      <c r="J54" s="9">
        <v>0.45190445448675831</v>
      </c>
      <c r="K54" s="9">
        <v>0.1172332942555819</v>
      </c>
      <c r="L54" s="9">
        <v>2.2436616558202609E-2</v>
      </c>
    </row>
    <row r="55" spans="2:12">
      <c r="G55" s="8">
        <v>2020</v>
      </c>
      <c r="H55" s="8" t="s">
        <v>45</v>
      </c>
      <c r="I55" s="9">
        <v>2.2786951694482331</v>
      </c>
      <c r="J55" s="9">
        <v>0.5998286203941755</v>
      </c>
      <c r="K55" s="9">
        <v>0.32786885245899777</v>
      </c>
      <c r="L55" s="9">
        <v>0.29161058770749471</v>
      </c>
    </row>
    <row r="56" spans="2:12">
      <c r="G56" s="8">
        <v>2020</v>
      </c>
      <c r="H56" s="8" t="s">
        <v>46</v>
      </c>
      <c r="I56" s="9">
        <v>0.59445861189605265</v>
      </c>
      <c r="J56" s="9">
        <v>0.68143100511074828</v>
      </c>
      <c r="K56" s="9">
        <v>0.65359477124183274</v>
      </c>
      <c r="L56" s="9">
        <v>0.33549541489599644</v>
      </c>
    </row>
    <row r="57" spans="2:12">
      <c r="G57" s="8">
        <v>2021</v>
      </c>
      <c r="H57" s="8" t="s">
        <v>31</v>
      </c>
      <c r="I57" s="9">
        <v>-1.4199825285623917</v>
      </c>
      <c r="J57" s="9">
        <v>0.65566835871402462</v>
      </c>
      <c r="K57" s="9">
        <v>2.4350649350649549</v>
      </c>
      <c r="L57" s="9">
        <v>0.22291573785109864</v>
      </c>
    </row>
    <row r="58" spans="2:12">
      <c r="G58" s="8">
        <v>2021</v>
      </c>
      <c r="H58" s="8" t="s">
        <v>35</v>
      </c>
      <c r="I58" s="9">
        <v>-1.6854323046983501</v>
      </c>
      <c r="J58" s="9">
        <v>1.2607690691321887</v>
      </c>
      <c r="K58" s="9">
        <v>3.2148517093049485</v>
      </c>
      <c r="L58" s="9">
        <v>0.57829181494660531</v>
      </c>
    </row>
    <row r="59" spans="2:12">
      <c r="G59" s="8">
        <v>2021</v>
      </c>
      <c r="H59" s="8" t="s">
        <v>36</v>
      </c>
      <c r="I59" s="9">
        <v>-3.5346930119147285E-3</v>
      </c>
      <c r="J59" s="9">
        <v>0.26976551151691458</v>
      </c>
      <c r="K59" s="9">
        <v>2.2812020179864017</v>
      </c>
      <c r="L59" s="9">
        <v>0.22114108801415933</v>
      </c>
    </row>
  </sheetData>
  <pageMargins left="0.7" right="0.7" top="0.75" bottom="0.75" header="0.3" footer="0.3"/>
  <pageSetup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027D3-01F0-4057-8F15-854BF2430885}">
  <dimension ref="A1:R42"/>
  <sheetViews>
    <sheetView topLeftCell="C25" workbookViewId="0">
      <selection activeCell="H34" sqref="H34:I42"/>
    </sheetView>
  </sheetViews>
  <sheetFormatPr defaultRowHeight="15"/>
  <cols>
    <col min="1" max="1" width="5" bestFit="1" customWidth="1"/>
    <col min="2" max="2" width="10.85546875" bestFit="1" customWidth="1"/>
    <col min="3" max="3" width="12" bestFit="1" customWidth="1"/>
    <col min="4" max="4" width="12.7109375" bestFit="1" customWidth="1"/>
    <col min="5" max="5" width="20.7109375" bestFit="1" customWidth="1"/>
    <col min="6" max="6" width="18.7109375" bestFit="1" customWidth="1"/>
    <col min="7" max="7" width="28.140625" bestFit="1" customWidth="1"/>
    <col min="8" max="8" width="24.85546875" bestFit="1" customWidth="1"/>
    <col min="9" max="9" width="18.7109375" bestFit="1" customWidth="1"/>
    <col min="10" max="10" width="15.42578125" bestFit="1" customWidth="1"/>
    <col min="11" max="11" width="12" bestFit="1" customWidth="1"/>
    <col min="12" max="12" width="19.7109375" bestFit="1" customWidth="1"/>
    <col min="13" max="13" width="8.140625" bestFit="1" customWidth="1"/>
    <col min="14" max="14" width="15.85546875" bestFit="1" customWidth="1"/>
    <col min="15" max="15" width="12" bestFit="1" customWidth="1"/>
    <col min="16" max="16" width="15.28515625" bestFit="1" customWidth="1"/>
    <col min="17" max="17" width="27.85546875" bestFit="1" customWidth="1"/>
    <col min="18" max="18" width="25.140625" bestFit="1" customWidth="1"/>
  </cols>
  <sheetData>
    <row r="1" spans="1:18">
      <c r="A1" t="s">
        <v>1</v>
      </c>
      <c r="B1" t="s">
        <v>54</v>
      </c>
      <c r="C1" t="s">
        <v>169</v>
      </c>
      <c r="D1" t="s">
        <v>170</v>
      </c>
      <c r="E1" t="s">
        <v>89</v>
      </c>
      <c r="F1" t="s">
        <v>171</v>
      </c>
      <c r="G1" t="s">
        <v>22</v>
      </c>
      <c r="H1" t="s">
        <v>172</v>
      </c>
      <c r="I1" t="s">
        <v>21</v>
      </c>
      <c r="J1" t="s">
        <v>173</v>
      </c>
      <c r="K1" t="s">
        <v>95</v>
      </c>
      <c r="L1" t="s">
        <v>174</v>
      </c>
      <c r="M1" t="s">
        <v>20</v>
      </c>
      <c r="N1" t="s">
        <v>175</v>
      </c>
      <c r="O1" t="s">
        <v>23</v>
      </c>
      <c r="P1" t="s">
        <v>176</v>
      </c>
      <c r="Q1" t="s">
        <v>24</v>
      </c>
      <c r="R1" t="s">
        <v>177</v>
      </c>
    </row>
    <row r="2" spans="1:18">
      <c r="A2">
        <v>2020</v>
      </c>
      <c r="B2" t="s">
        <v>46</v>
      </c>
      <c r="C2">
        <v>49.839816952380943</v>
      </c>
      <c r="E2">
        <v>162.16944444444445</v>
      </c>
      <c r="G2">
        <v>149.53333333333333</v>
      </c>
      <c r="I2">
        <v>143.73333333333332</v>
      </c>
      <c r="K2">
        <v>149.6</v>
      </c>
      <c r="M2">
        <v>158.4</v>
      </c>
      <c r="O2">
        <v>157.60000000000002</v>
      </c>
      <c r="Q2">
        <v>140.86666666666667</v>
      </c>
    </row>
    <row r="3" spans="1:18">
      <c r="A3">
        <v>2021</v>
      </c>
      <c r="B3" t="s">
        <v>31</v>
      </c>
      <c r="C3">
        <v>54.794569624999994</v>
      </c>
      <c r="D3">
        <f>((C3-C2)/C2)*100</f>
        <v>9.9413540730958747</v>
      </c>
      <c r="E3">
        <v>159.86666666666665</v>
      </c>
      <c r="F3">
        <f>((E3-E2)/E2)*100</f>
        <v>-1.4199825285623917</v>
      </c>
      <c r="G3">
        <v>149.86666666666667</v>
      </c>
      <c r="H3">
        <f>((G3-G2)/G2)*100</f>
        <v>0.22291573785109864</v>
      </c>
      <c r="I3">
        <v>147.23333333333335</v>
      </c>
      <c r="J3">
        <f>((I3-I2)/I2)*100</f>
        <v>2.4350649350649549</v>
      </c>
      <c r="K3">
        <v>150.21666666666667</v>
      </c>
      <c r="L3">
        <f>((K3-K2)/K2)*100</f>
        <v>0.41221033868093199</v>
      </c>
      <c r="M3">
        <v>157.69999999999999</v>
      </c>
      <c r="N3">
        <f>((M3-M2)/M2)*100</f>
        <v>-0.44191919191920265</v>
      </c>
      <c r="O3">
        <v>158.63333333333333</v>
      </c>
      <c r="P3">
        <f>((O3-O2)/O2)*100</f>
        <v>0.65566835871402462</v>
      </c>
      <c r="Q3">
        <v>142.1</v>
      </c>
      <c r="R3">
        <f>((Q3-Q2)/Q2)*100</f>
        <v>0.87553241836250817</v>
      </c>
    </row>
    <row r="4" spans="1:18">
      <c r="A4">
        <v>2021</v>
      </c>
      <c r="B4" t="s">
        <v>164</v>
      </c>
      <c r="C4">
        <v>61.216117289473672</v>
      </c>
      <c r="D4">
        <f t="shared" ref="D4:D31" si="0">((C4-C3)/C3)*100</f>
        <v>11.719313991187642</v>
      </c>
      <c r="E4">
        <v>157.17222222222222</v>
      </c>
      <c r="F4">
        <f t="shared" ref="F4:F31" si="1">((E4-E3)/E3)*100</f>
        <v>-1.6854323046983501</v>
      </c>
      <c r="G4">
        <v>150.73333333333332</v>
      </c>
      <c r="H4">
        <f t="shared" ref="H4:H31" si="2">((G4-G3)/G3)*100</f>
        <v>0.57829181494660531</v>
      </c>
      <c r="I4">
        <v>151.96666666666667</v>
      </c>
      <c r="J4">
        <f t="shared" ref="J4:J31" si="3">((I4-I3)/I3)*100</f>
        <v>3.2148517093049485</v>
      </c>
      <c r="K4">
        <v>151.66666666666666</v>
      </c>
      <c r="L4">
        <f t="shared" ref="L4:L31" si="4">((K4-K3)/K3)*100</f>
        <v>0.96527238433373252</v>
      </c>
      <c r="M4">
        <v>159.80000000000001</v>
      </c>
      <c r="N4">
        <f t="shared" ref="N4:N31" si="5">((M4-M3)/M3)*100</f>
        <v>1.331642358909336</v>
      </c>
      <c r="O4">
        <v>160.63333333333335</v>
      </c>
      <c r="P4">
        <f t="shared" ref="P4:P31" si="6">((O4-O3)/O3)*100</f>
        <v>1.2607690691321887</v>
      </c>
      <c r="Q4">
        <v>145.26666666666668</v>
      </c>
      <c r="R4">
        <f t="shared" ref="R4:R31" si="7">((Q4-Q3)/Q3)*100</f>
        <v>2.2284775979357394</v>
      </c>
    </row>
    <row r="5" spans="1:18">
      <c r="A5">
        <v>2021</v>
      </c>
      <c r="B5" t="s">
        <v>36</v>
      </c>
      <c r="C5">
        <v>64.729496782608663</v>
      </c>
      <c r="D5">
        <f t="shared" si="0"/>
        <v>5.7393046940909613</v>
      </c>
      <c r="E5">
        <v>157.16666666666666</v>
      </c>
      <c r="F5">
        <f t="shared" si="1"/>
        <v>-3.5346930119147285E-3</v>
      </c>
      <c r="G5">
        <v>151.06666666666666</v>
      </c>
      <c r="H5">
        <f t="shared" si="2"/>
        <v>0.22114108801415933</v>
      </c>
      <c r="I5">
        <v>155.43333333333334</v>
      </c>
      <c r="J5">
        <f t="shared" si="3"/>
        <v>2.2812020179864017</v>
      </c>
      <c r="K5">
        <v>152.25</v>
      </c>
      <c r="L5">
        <f t="shared" si="4"/>
        <v>0.38461538461539091</v>
      </c>
      <c r="M5">
        <v>159.9</v>
      </c>
      <c r="N5">
        <f t="shared" si="5"/>
        <v>6.2578222778469528E-2</v>
      </c>
      <c r="O5">
        <v>161.06666666666669</v>
      </c>
      <c r="P5">
        <f t="shared" si="6"/>
        <v>0.26976551151691458</v>
      </c>
      <c r="Q5">
        <v>146.4</v>
      </c>
      <c r="R5">
        <f t="shared" si="7"/>
        <v>0.78017439192289517</v>
      </c>
    </row>
    <row r="6" spans="1:18">
      <c r="A6">
        <v>2021</v>
      </c>
      <c r="B6" t="s">
        <v>37</v>
      </c>
      <c r="C6">
        <v>63.396976500000008</v>
      </c>
      <c r="D6">
        <f t="shared" si="0"/>
        <v>-2.0585982416700528</v>
      </c>
      <c r="E6">
        <v>159.10000000000002</v>
      </c>
      <c r="F6">
        <f t="shared" si="1"/>
        <v>1.2301166489925974</v>
      </c>
      <c r="G6">
        <v>151.63333333333333</v>
      </c>
      <c r="H6">
        <f t="shared" si="2"/>
        <v>0.37511032656663473</v>
      </c>
      <c r="I6">
        <v>155.5</v>
      </c>
      <c r="J6">
        <f t="shared" si="3"/>
        <v>4.2890842805058685E-2</v>
      </c>
      <c r="K6">
        <v>153.04999999999998</v>
      </c>
      <c r="L6">
        <f t="shared" si="4"/>
        <v>0.52545155993430737</v>
      </c>
      <c r="M6">
        <v>161.4</v>
      </c>
      <c r="N6">
        <f t="shared" si="5"/>
        <v>0.9380863039399624</v>
      </c>
      <c r="O6">
        <v>161.70000000000002</v>
      </c>
      <c r="P6">
        <f t="shared" si="6"/>
        <v>0.39321192052979659</v>
      </c>
      <c r="Q6">
        <v>146.79999999999998</v>
      </c>
      <c r="R6">
        <f t="shared" si="7"/>
        <v>0.27322404371583148</v>
      </c>
    </row>
    <row r="7" spans="1:18">
      <c r="A7">
        <v>2021</v>
      </c>
      <c r="B7" t="s">
        <v>38</v>
      </c>
      <c r="C7">
        <v>66.953084852941174</v>
      </c>
      <c r="D7">
        <f t="shared" si="0"/>
        <v>5.6092712133380145</v>
      </c>
      <c r="E7">
        <v>162.28055555555557</v>
      </c>
      <c r="F7">
        <f t="shared" si="1"/>
        <v>1.9990921153711771</v>
      </c>
      <c r="G7">
        <v>154.53333333333333</v>
      </c>
      <c r="H7">
        <f t="shared" si="2"/>
        <v>1.9125082435700194</v>
      </c>
      <c r="I7">
        <v>158.86666666666665</v>
      </c>
      <c r="J7">
        <f t="shared" si="3"/>
        <v>2.1650589496248527</v>
      </c>
      <c r="K7">
        <v>156.08333333333331</v>
      </c>
      <c r="L7">
        <f t="shared" si="4"/>
        <v>1.9819231188064894</v>
      </c>
      <c r="M7">
        <v>161.6</v>
      </c>
      <c r="N7">
        <f t="shared" si="5"/>
        <v>0.12391573729862988</v>
      </c>
      <c r="O7">
        <v>165.10000000000002</v>
      </c>
      <c r="P7">
        <f t="shared" si="6"/>
        <v>2.1026592455163917</v>
      </c>
      <c r="Q7">
        <v>149.03333333333333</v>
      </c>
      <c r="R7">
        <f t="shared" si="7"/>
        <v>1.5213442325159052</v>
      </c>
    </row>
    <row r="8" spans="1:18">
      <c r="A8">
        <v>2021</v>
      </c>
      <c r="B8" t="s">
        <v>39</v>
      </c>
      <c r="C8">
        <v>71.982647477272721</v>
      </c>
      <c r="D8">
        <f t="shared" si="0"/>
        <v>7.512070034381102</v>
      </c>
      <c r="E8">
        <v>164.48333333333332</v>
      </c>
      <c r="F8">
        <f t="shared" si="1"/>
        <v>1.3573886102599948</v>
      </c>
      <c r="G8">
        <v>154.6</v>
      </c>
      <c r="H8">
        <f t="shared" si="2"/>
        <v>4.3140638481447072E-2</v>
      </c>
      <c r="I8">
        <v>159.33333333333334</v>
      </c>
      <c r="J8">
        <f t="shared" si="3"/>
        <v>0.29374737725557937</v>
      </c>
      <c r="K8">
        <v>156.16666666666666</v>
      </c>
      <c r="L8">
        <f t="shared" si="4"/>
        <v>5.3390282968505814E-2</v>
      </c>
      <c r="M8">
        <v>160.5</v>
      </c>
      <c r="N8">
        <f t="shared" si="5"/>
        <v>-0.68069306930692719</v>
      </c>
      <c r="O8">
        <v>165.6</v>
      </c>
      <c r="P8">
        <f t="shared" si="6"/>
        <v>0.30284675953965567</v>
      </c>
      <c r="Q8">
        <v>150.79999999999998</v>
      </c>
      <c r="R8">
        <f t="shared" si="7"/>
        <v>1.1854171326325107</v>
      </c>
    </row>
    <row r="9" spans="1:18">
      <c r="A9">
        <v>2021</v>
      </c>
      <c r="B9" t="s">
        <v>40</v>
      </c>
      <c r="C9">
        <v>73.539060523809511</v>
      </c>
      <c r="D9">
        <f t="shared" si="0"/>
        <v>2.1622058941749818</v>
      </c>
      <c r="E9">
        <v>165.48888888888891</v>
      </c>
      <c r="F9">
        <f t="shared" si="1"/>
        <v>0.61134191238560454</v>
      </c>
      <c r="G9">
        <v>155.6</v>
      </c>
      <c r="H9">
        <f t="shared" si="2"/>
        <v>0.646830530401035</v>
      </c>
      <c r="I9">
        <v>160.29999999999998</v>
      </c>
      <c r="J9">
        <f t="shared" si="3"/>
        <v>0.60669456066943939</v>
      </c>
      <c r="K9">
        <v>157.13333333333335</v>
      </c>
      <c r="L9">
        <f t="shared" si="4"/>
        <v>0.61899679829244214</v>
      </c>
      <c r="M9">
        <v>161.5</v>
      </c>
      <c r="N9">
        <f t="shared" si="5"/>
        <v>0.62305295950155759</v>
      </c>
      <c r="O9">
        <v>166.29999999999998</v>
      </c>
      <c r="P9">
        <f t="shared" si="6"/>
        <v>0.42270531400965494</v>
      </c>
      <c r="Q9">
        <v>153.23333333333335</v>
      </c>
      <c r="R9">
        <f t="shared" si="7"/>
        <v>1.6136162687887041</v>
      </c>
    </row>
    <row r="10" spans="1:18">
      <c r="A10">
        <v>2021</v>
      </c>
      <c r="B10" t="s">
        <v>41</v>
      </c>
      <c r="C10">
        <v>69.804724424999989</v>
      </c>
      <c r="D10">
        <f t="shared" si="0"/>
        <v>-5.078030739324535</v>
      </c>
      <c r="E10">
        <v>164.93333333333337</v>
      </c>
      <c r="F10">
        <f t="shared" si="1"/>
        <v>-0.33570565328319363</v>
      </c>
      <c r="G10">
        <v>157.20000000000002</v>
      </c>
      <c r="H10">
        <f t="shared" si="2"/>
        <v>1.0282776349614542</v>
      </c>
      <c r="I10">
        <v>162.13333333333333</v>
      </c>
      <c r="J10">
        <f t="shared" si="3"/>
        <v>1.1436889166146869</v>
      </c>
      <c r="K10">
        <v>158.80000000000001</v>
      </c>
      <c r="L10">
        <f t="shared" si="4"/>
        <v>1.0606703436571852</v>
      </c>
      <c r="M10">
        <v>162.1</v>
      </c>
      <c r="N10">
        <f t="shared" si="5"/>
        <v>0.37151702786377355</v>
      </c>
      <c r="O10">
        <v>167.43333333333337</v>
      </c>
      <c r="P10">
        <f t="shared" si="6"/>
        <v>0.68149929845663426</v>
      </c>
      <c r="Q10">
        <v>154.03333333333333</v>
      </c>
      <c r="R10">
        <f t="shared" si="7"/>
        <v>0.522079617141603</v>
      </c>
    </row>
    <row r="11" spans="1:18">
      <c r="A11">
        <v>2021</v>
      </c>
      <c r="B11" t="s">
        <v>42</v>
      </c>
      <c r="C11">
        <v>73.130738295454549</v>
      </c>
      <c r="D11">
        <f t="shared" si="0"/>
        <v>4.7647403493843967</v>
      </c>
      <c r="E11">
        <v>165.00277777777777</v>
      </c>
      <c r="F11">
        <f t="shared" si="1"/>
        <v>4.2104554028536918E-2</v>
      </c>
      <c r="G11">
        <v>157.36666666666667</v>
      </c>
      <c r="H11">
        <f t="shared" si="2"/>
        <v>0.10602205258693205</v>
      </c>
      <c r="I11">
        <v>162.36666666666665</v>
      </c>
      <c r="J11">
        <f t="shared" si="3"/>
        <v>0.14391447368420235</v>
      </c>
      <c r="K11">
        <v>159.1</v>
      </c>
      <c r="L11">
        <f t="shared" si="4"/>
        <v>0.18891687657429654</v>
      </c>
      <c r="M11">
        <v>162.1</v>
      </c>
      <c r="N11">
        <f t="shared" si="5"/>
        <v>0</v>
      </c>
      <c r="O11">
        <v>167.70000000000002</v>
      </c>
      <c r="P11">
        <f t="shared" si="6"/>
        <v>0.15926737009754219</v>
      </c>
      <c r="Q11">
        <v>154.1</v>
      </c>
      <c r="R11">
        <f t="shared" si="7"/>
        <v>4.3280675178530327E-2</v>
      </c>
    </row>
    <row r="12" spans="1:18">
      <c r="A12">
        <v>2021</v>
      </c>
      <c r="B12" t="s">
        <v>43</v>
      </c>
      <c r="C12">
        <v>82.107393785714294</v>
      </c>
      <c r="D12">
        <f t="shared" si="0"/>
        <v>12.2748049582014</v>
      </c>
      <c r="E12">
        <v>167.59444444444443</v>
      </c>
      <c r="F12">
        <f t="shared" si="1"/>
        <v>1.5706806282722525</v>
      </c>
      <c r="G12">
        <v>158.23333333333335</v>
      </c>
      <c r="H12">
        <f t="shared" si="2"/>
        <v>0.55073077737767906</v>
      </c>
      <c r="I12">
        <v>163.96666666666667</v>
      </c>
      <c r="J12">
        <f t="shared" si="3"/>
        <v>0.98542393758983149</v>
      </c>
      <c r="K12">
        <v>160.15</v>
      </c>
      <c r="L12">
        <f t="shared" si="4"/>
        <v>0.6599622878692718</v>
      </c>
      <c r="M12">
        <v>163.6</v>
      </c>
      <c r="N12">
        <f t="shared" si="5"/>
        <v>0.92535471930906854</v>
      </c>
      <c r="O12">
        <v>168.36666666666667</v>
      </c>
      <c r="P12">
        <f t="shared" si="6"/>
        <v>0.3975352812562058</v>
      </c>
      <c r="Q12">
        <v>155.79999999999998</v>
      </c>
      <c r="R12">
        <f t="shared" si="7"/>
        <v>1.1031797534068712</v>
      </c>
    </row>
    <row r="13" spans="1:18">
      <c r="A13">
        <v>2021</v>
      </c>
      <c r="B13" t="s">
        <v>45</v>
      </c>
      <c r="C13">
        <v>80.637301023809528</v>
      </c>
      <c r="D13">
        <f t="shared" si="0"/>
        <v>-1.7904511325026917</v>
      </c>
      <c r="E13">
        <v>168.98055555555553</v>
      </c>
      <c r="F13">
        <f t="shared" si="1"/>
        <v>0.82706268439021613</v>
      </c>
      <c r="G13">
        <v>159.13333333333333</v>
      </c>
      <c r="H13">
        <f t="shared" si="2"/>
        <v>0.56878028228353306</v>
      </c>
      <c r="I13">
        <v>163.6</v>
      </c>
      <c r="J13">
        <f t="shared" si="3"/>
        <v>-0.22362268753812212</v>
      </c>
      <c r="K13">
        <v>161.43333333333334</v>
      </c>
      <c r="L13">
        <f t="shared" si="4"/>
        <v>0.80133208450410953</v>
      </c>
      <c r="M13">
        <v>164.2</v>
      </c>
      <c r="N13">
        <f t="shared" si="5"/>
        <v>0.36674816625916523</v>
      </c>
      <c r="O13">
        <v>169.16666666666666</v>
      </c>
      <c r="P13">
        <f t="shared" si="6"/>
        <v>0.47515343496336343</v>
      </c>
      <c r="Q13">
        <v>154.96666666666667</v>
      </c>
      <c r="R13">
        <f t="shared" si="7"/>
        <v>-0.53487376979031742</v>
      </c>
    </row>
    <row r="14" spans="1:18">
      <c r="A14">
        <v>2021</v>
      </c>
      <c r="B14" t="s">
        <v>46</v>
      </c>
      <c r="C14">
        <v>73.298823523809531</v>
      </c>
      <c r="D14">
        <f t="shared" si="0"/>
        <v>-9.1005991108670496</v>
      </c>
      <c r="E14">
        <v>168.03333333333333</v>
      </c>
      <c r="F14">
        <f t="shared" si="1"/>
        <v>-0.56055101671788354</v>
      </c>
      <c r="G14">
        <v>160.03333333333333</v>
      </c>
      <c r="H14">
        <f t="shared" si="2"/>
        <v>0.56556346878927888</v>
      </c>
      <c r="I14">
        <v>163.79999999999998</v>
      </c>
      <c r="J14">
        <f t="shared" si="3"/>
        <v>0.12224938875304929</v>
      </c>
      <c r="K14">
        <v>162.71666666666667</v>
      </c>
      <c r="L14">
        <f t="shared" si="4"/>
        <v>0.79496180053685617</v>
      </c>
      <c r="M14">
        <v>163.4</v>
      </c>
      <c r="N14">
        <f t="shared" si="5"/>
        <v>-0.48721071863579962</v>
      </c>
      <c r="O14">
        <v>169.9</v>
      </c>
      <c r="P14">
        <f t="shared" si="6"/>
        <v>0.43349753694582177</v>
      </c>
      <c r="Q14">
        <v>155.86666666666667</v>
      </c>
      <c r="R14">
        <f t="shared" si="7"/>
        <v>0.58077005807700954</v>
      </c>
    </row>
    <row r="15" spans="1:18">
      <c r="A15">
        <v>2022</v>
      </c>
      <c r="B15" t="s">
        <v>31</v>
      </c>
      <c r="C15">
        <v>84.666318799999985</v>
      </c>
      <c r="D15">
        <f t="shared" si="0"/>
        <v>15.508428007030659</v>
      </c>
      <c r="E15">
        <v>166.75277777777777</v>
      </c>
      <c r="F15">
        <f t="shared" si="1"/>
        <v>-0.76208424254447471</v>
      </c>
      <c r="G15">
        <v>160.93333333333331</v>
      </c>
      <c r="H15">
        <f t="shared" si="2"/>
        <v>0.56238283690896318</v>
      </c>
      <c r="I15">
        <v>163.86666666666665</v>
      </c>
      <c r="J15">
        <f t="shared" si="3"/>
        <v>4.0700040700038388E-2</v>
      </c>
      <c r="K15">
        <v>164.38333333333333</v>
      </c>
      <c r="L15">
        <f t="shared" si="4"/>
        <v>1.0242753252074099</v>
      </c>
      <c r="M15">
        <v>164.5</v>
      </c>
      <c r="N15">
        <f t="shared" si="5"/>
        <v>0.67319461444308093</v>
      </c>
      <c r="O15">
        <v>170.73333333333335</v>
      </c>
      <c r="P15">
        <f t="shared" si="6"/>
        <v>0.49048459878360373</v>
      </c>
      <c r="Q15">
        <v>156.66666666666666</v>
      </c>
      <c r="R15">
        <f t="shared" si="7"/>
        <v>0.51325919589391544</v>
      </c>
    </row>
    <row r="16" spans="1:18">
      <c r="A16">
        <v>2022</v>
      </c>
      <c r="B16" t="s">
        <v>164</v>
      </c>
      <c r="C16">
        <v>94.067715194444446</v>
      </c>
      <c r="D16">
        <f t="shared" si="0"/>
        <v>11.104057112312367</v>
      </c>
      <c r="E16">
        <v>166.52222222222224</v>
      </c>
      <c r="F16">
        <f t="shared" si="1"/>
        <v>-0.13826189801933886</v>
      </c>
      <c r="G16">
        <v>161.63333333333335</v>
      </c>
      <c r="H16">
        <f t="shared" si="2"/>
        <v>0.4349627174813871</v>
      </c>
      <c r="I16">
        <v>165.36666666666667</v>
      </c>
      <c r="J16">
        <f t="shared" si="3"/>
        <v>0.91537835638732423</v>
      </c>
      <c r="K16">
        <v>165.73333333333335</v>
      </c>
      <c r="L16">
        <f t="shared" si="4"/>
        <v>0.8212511406265981</v>
      </c>
      <c r="M16">
        <v>165.5</v>
      </c>
      <c r="N16">
        <f t="shared" si="5"/>
        <v>0.60790273556231</v>
      </c>
      <c r="O16">
        <v>171.56666666666669</v>
      </c>
      <c r="P16">
        <f t="shared" si="6"/>
        <v>0.48809058961343771</v>
      </c>
      <c r="Q16">
        <v>157.06666666666666</v>
      </c>
      <c r="R16">
        <f t="shared" si="7"/>
        <v>0.25531914893617386</v>
      </c>
    </row>
    <row r="17" spans="1:18">
      <c r="A17">
        <v>2022</v>
      </c>
      <c r="B17" t="s">
        <v>36</v>
      </c>
      <c r="C17">
        <v>112.87479254347826</v>
      </c>
      <c r="D17">
        <f t="shared" si="0"/>
        <v>19.993126557988887</v>
      </c>
      <c r="E17">
        <v>168.14166666666668</v>
      </c>
      <c r="F17">
        <f t="shared" si="1"/>
        <v>0.97250950824047233</v>
      </c>
      <c r="G17">
        <v>162.63333333333333</v>
      </c>
      <c r="H17">
        <f t="shared" si="2"/>
        <v>0.61868426479684768</v>
      </c>
      <c r="I17">
        <v>166.86666666666667</v>
      </c>
      <c r="J17">
        <f t="shared" si="3"/>
        <v>0.90707518645434382</v>
      </c>
      <c r="K17">
        <v>167.5</v>
      </c>
      <c r="L17">
        <f t="shared" si="4"/>
        <v>1.065969428801278</v>
      </c>
      <c r="M17">
        <v>165.3</v>
      </c>
      <c r="N17">
        <f t="shared" si="5"/>
        <v>-0.12084592145014418</v>
      </c>
      <c r="O17">
        <v>172.4</v>
      </c>
      <c r="P17">
        <f t="shared" si="6"/>
        <v>0.48571983679812375</v>
      </c>
      <c r="Q17">
        <v>158.03333333333333</v>
      </c>
      <c r="R17">
        <f t="shared" si="7"/>
        <v>0.61544991511035774</v>
      </c>
    </row>
    <row r="18" spans="1:18">
      <c r="A18">
        <v>2022</v>
      </c>
      <c r="B18" t="s">
        <v>37</v>
      </c>
      <c r="C18">
        <v>102.96599786842103</v>
      </c>
      <c r="D18">
        <f t="shared" si="0"/>
        <v>-8.7785717712309115</v>
      </c>
      <c r="E18">
        <v>170.48333333333335</v>
      </c>
      <c r="F18">
        <f t="shared" si="1"/>
        <v>1.3926748277741994</v>
      </c>
      <c r="G18">
        <v>163.83333333333334</v>
      </c>
      <c r="H18">
        <f t="shared" si="2"/>
        <v>0.73785611805698936</v>
      </c>
      <c r="I18">
        <v>172</v>
      </c>
      <c r="J18">
        <f t="shared" si="3"/>
        <v>3.0763084298841346</v>
      </c>
      <c r="K18">
        <v>169.31666666666666</v>
      </c>
      <c r="L18">
        <f t="shared" si="4"/>
        <v>1.0845771144278584</v>
      </c>
      <c r="M18">
        <v>167</v>
      </c>
      <c r="N18">
        <f t="shared" si="5"/>
        <v>1.0284331518451231</v>
      </c>
      <c r="O18">
        <v>173.33333333333334</v>
      </c>
      <c r="P18">
        <f t="shared" si="6"/>
        <v>0.54137664346481273</v>
      </c>
      <c r="Q18">
        <v>162.69999999999999</v>
      </c>
      <c r="R18">
        <f t="shared" si="7"/>
        <v>2.9529635098080513</v>
      </c>
    </row>
    <row r="19" spans="1:18">
      <c r="A19">
        <v>2022</v>
      </c>
      <c r="B19" t="s">
        <v>38</v>
      </c>
      <c r="C19">
        <v>109.50503773684208</v>
      </c>
      <c r="D19">
        <f t="shared" si="0"/>
        <v>6.3506788685496112</v>
      </c>
      <c r="E19">
        <v>172.39722222222224</v>
      </c>
      <c r="F19">
        <f t="shared" si="1"/>
        <v>1.1226252158894661</v>
      </c>
      <c r="G19">
        <v>165.06666666666663</v>
      </c>
      <c r="H19">
        <f t="shared" si="2"/>
        <v>0.75279755849437935</v>
      </c>
      <c r="I19">
        <v>174.4666666666667</v>
      </c>
      <c r="J19">
        <f t="shared" si="3"/>
        <v>1.4341085271318006</v>
      </c>
      <c r="K19">
        <v>171.06666666666669</v>
      </c>
      <c r="L19">
        <f t="shared" si="4"/>
        <v>1.033566295895282</v>
      </c>
      <c r="M19">
        <v>167.5</v>
      </c>
      <c r="N19">
        <f t="shared" si="5"/>
        <v>0.29940119760479045</v>
      </c>
      <c r="O19">
        <v>174.19999999999996</v>
      </c>
      <c r="P19">
        <f t="shared" si="6"/>
        <v>0.49999999999997158</v>
      </c>
      <c r="Q19">
        <v>163.16666666666666</v>
      </c>
      <c r="R19">
        <f t="shared" si="7"/>
        <v>0.28682646998565986</v>
      </c>
    </row>
    <row r="20" spans="1:18">
      <c r="A20">
        <v>2022</v>
      </c>
      <c r="B20" t="s">
        <v>39</v>
      </c>
      <c r="C20">
        <v>116.01138504999999</v>
      </c>
      <c r="D20">
        <f t="shared" si="0"/>
        <v>5.9415963389681528</v>
      </c>
      <c r="E20">
        <v>174.19722222222222</v>
      </c>
      <c r="F20">
        <f t="shared" si="1"/>
        <v>1.0441003496447059</v>
      </c>
      <c r="G20">
        <v>166.26666666666668</v>
      </c>
      <c r="H20">
        <f t="shared" si="2"/>
        <v>0.72697899838451885</v>
      </c>
      <c r="I20">
        <v>175.86666666666665</v>
      </c>
      <c r="J20">
        <f t="shared" si="3"/>
        <v>0.80244554833776194</v>
      </c>
      <c r="K20">
        <v>172.56666666666669</v>
      </c>
      <c r="L20">
        <f t="shared" si="4"/>
        <v>0.87685113016367877</v>
      </c>
      <c r="M20">
        <v>166.8</v>
      </c>
      <c r="N20">
        <f t="shared" si="5"/>
        <v>-0.41791044776118724</v>
      </c>
      <c r="O20">
        <v>174.83333333333334</v>
      </c>
      <c r="P20">
        <f t="shared" si="6"/>
        <v>0.36356678147725763</v>
      </c>
      <c r="Q20">
        <v>161.26666666666665</v>
      </c>
      <c r="R20">
        <f t="shared" si="7"/>
        <v>-1.1644535240040892</v>
      </c>
    </row>
    <row r="21" spans="1:18">
      <c r="A21">
        <v>2022</v>
      </c>
      <c r="B21" t="s">
        <v>40</v>
      </c>
      <c r="C21">
        <v>105.49124737500001</v>
      </c>
      <c r="D21">
        <f t="shared" si="0"/>
        <v>-9.0681941866876912</v>
      </c>
      <c r="E21">
        <v>174.54166666666666</v>
      </c>
      <c r="F21">
        <f t="shared" si="1"/>
        <v>0.19773245523113386</v>
      </c>
      <c r="G21">
        <v>167.26666666666668</v>
      </c>
      <c r="H21">
        <f t="shared" si="2"/>
        <v>0.60144346431435447</v>
      </c>
      <c r="I21">
        <v>179.56666666666669</v>
      </c>
      <c r="J21">
        <f t="shared" si="3"/>
        <v>2.1038665655800108</v>
      </c>
      <c r="K21">
        <v>173.88333333333333</v>
      </c>
      <c r="L21">
        <f t="shared" si="4"/>
        <v>0.76299014873476978</v>
      </c>
      <c r="M21">
        <v>167.8</v>
      </c>
      <c r="N21">
        <f t="shared" si="5"/>
        <v>0.59952038369304561</v>
      </c>
      <c r="O21">
        <v>175.5333333333333</v>
      </c>
      <c r="P21">
        <f t="shared" si="6"/>
        <v>0.40038131553858547</v>
      </c>
      <c r="Q21">
        <v>161.76666666666668</v>
      </c>
      <c r="R21">
        <f t="shared" si="7"/>
        <v>0.31004547333610699</v>
      </c>
    </row>
    <row r="22" spans="1:18">
      <c r="A22">
        <v>2022</v>
      </c>
      <c r="B22" t="s">
        <v>41</v>
      </c>
      <c r="C22">
        <v>97.404465428571427</v>
      </c>
      <c r="D22">
        <f t="shared" si="0"/>
        <v>-7.6658321402549312</v>
      </c>
      <c r="E22">
        <v>174.66944444444445</v>
      </c>
      <c r="F22">
        <f t="shared" si="1"/>
        <v>7.3207607225281954E-2</v>
      </c>
      <c r="G22">
        <v>168.33333333333334</v>
      </c>
      <c r="H22">
        <f t="shared" si="2"/>
        <v>0.63770426464726748</v>
      </c>
      <c r="I22">
        <v>178.76666666666668</v>
      </c>
      <c r="J22">
        <f t="shared" si="3"/>
        <v>-0.44551698533507217</v>
      </c>
      <c r="K22">
        <v>175.13333333333333</v>
      </c>
      <c r="L22">
        <f t="shared" si="4"/>
        <v>0.71887280743793736</v>
      </c>
      <c r="M22">
        <v>169</v>
      </c>
      <c r="N22">
        <f t="shared" si="5"/>
        <v>0.71513706793801468</v>
      </c>
      <c r="O22">
        <v>176.26666666666665</v>
      </c>
      <c r="P22">
        <f t="shared" si="6"/>
        <v>0.41777440182302428</v>
      </c>
      <c r="Q22">
        <v>162.06666666666669</v>
      </c>
      <c r="R22">
        <f t="shared" si="7"/>
        <v>0.18545229754791553</v>
      </c>
    </row>
    <row r="23" spans="1:18">
      <c r="A23">
        <v>2022</v>
      </c>
      <c r="B23" t="s">
        <v>42</v>
      </c>
      <c r="C23">
        <v>90.706344809523813</v>
      </c>
      <c r="D23">
        <f t="shared" si="0"/>
        <v>-6.8766052866020555</v>
      </c>
      <c r="E23">
        <v>175.55555555555554</v>
      </c>
      <c r="F23">
        <f t="shared" si="1"/>
        <v>0.50730745376185649</v>
      </c>
      <c r="G23">
        <v>169.36666666666667</v>
      </c>
      <c r="H23">
        <f t="shared" si="2"/>
        <v>0.61386138613861263</v>
      </c>
      <c r="I23">
        <v>179.46666666666667</v>
      </c>
      <c r="J23">
        <f t="shared" si="3"/>
        <v>0.39157188140965238</v>
      </c>
      <c r="K23">
        <v>176.65</v>
      </c>
      <c r="L23">
        <f t="shared" si="4"/>
        <v>0.86600685192235249</v>
      </c>
      <c r="M23">
        <v>169.5</v>
      </c>
      <c r="N23">
        <f t="shared" si="5"/>
        <v>0.29585798816568049</v>
      </c>
      <c r="O23">
        <v>177.26666666666665</v>
      </c>
      <c r="P23">
        <f t="shared" si="6"/>
        <v>0.56732223903177015</v>
      </c>
      <c r="Q23">
        <v>162.46666666666667</v>
      </c>
      <c r="R23">
        <f t="shared" si="7"/>
        <v>0.24681201151787982</v>
      </c>
    </row>
    <row r="24" spans="1:18">
      <c r="A24">
        <v>2022</v>
      </c>
      <c r="B24" t="s">
        <v>43</v>
      </c>
      <c r="C24">
        <v>91.698948700000003</v>
      </c>
      <c r="D24">
        <f t="shared" si="0"/>
        <v>1.0943048058662044</v>
      </c>
      <c r="E24">
        <v>176.77222222222224</v>
      </c>
      <c r="F24">
        <f t="shared" si="1"/>
        <v>0.69303797468356165</v>
      </c>
      <c r="G24">
        <v>170.26666666666665</v>
      </c>
      <c r="H24">
        <f t="shared" si="2"/>
        <v>0.53139145837432233</v>
      </c>
      <c r="I24">
        <v>180.43333333333331</v>
      </c>
      <c r="J24">
        <f t="shared" si="3"/>
        <v>0.5386329866270283</v>
      </c>
      <c r="K24">
        <v>177.63333333333335</v>
      </c>
      <c r="L24">
        <f t="shared" si="4"/>
        <v>0.55665628832909619</v>
      </c>
      <c r="M24">
        <v>171.2</v>
      </c>
      <c r="N24">
        <f t="shared" si="5"/>
        <v>1.0029498525073679</v>
      </c>
      <c r="O24">
        <v>178.19999999999996</v>
      </c>
      <c r="P24">
        <f t="shared" si="6"/>
        <v>0.52651372696501053</v>
      </c>
      <c r="Q24">
        <v>163.03333333333333</v>
      </c>
      <c r="R24">
        <f t="shared" si="7"/>
        <v>0.34878949528108094</v>
      </c>
    </row>
    <row r="25" spans="1:18">
      <c r="A25">
        <v>2022</v>
      </c>
      <c r="B25" t="s">
        <v>45</v>
      </c>
      <c r="C25">
        <v>87.552266068181822</v>
      </c>
      <c r="D25">
        <f t="shared" si="0"/>
        <v>-4.5220612565410798</v>
      </c>
      <c r="E25">
        <v>176.74166666666665</v>
      </c>
      <c r="F25">
        <f t="shared" si="1"/>
        <v>-1.7285269807369604E-2</v>
      </c>
      <c r="G25">
        <v>171.26666666666665</v>
      </c>
      <c r="H25">
        <f t="shared" si="2"/>
        <v>0.5873140172278779</v>
      </c>
      <c r="I25">
        <v>181.16666666666666</v>
      </c>
      <c r="J25">
        <f t="shared" si="3"/>
        <v>0.40642896730095063</v>
      </c>
      <c r="K25">
        <v>178.65</v>
      </c>
      <c r="L25">
        <f t="shared" si="4"/>
        <v>0.57234002627133684</v>
      </c>
      <c r="M25">
        <v>171.8</v>
      </c>
      <c r="N25">
        <f t="shared" si="5"/>
        <v>0.35046728971963947</v>
      </c>
      <c r="O25">
        <v>179.30000000000004</v>
      </c>
      <c r="P25">
        <f t="shared" si="6"/>
        <v>0.61728395061732877</v>
      </c>
      <c r="Q25">
        <v>163.13333333333333</v>
      </c>
      <c r="R25">
        <f t="shared" si="7"/>
        <v>6.1337149867099351E-2</v>
      </c>
    </row>
    <row r="26" spans="1:18">
      <c r="A26">
        <v>2022</v>
      </c>
      <c r="B26" t="s">
        <v>46</v>
      </c>
      <c r="C26">
        <v>78.100942275000008</v>
      </c>
      <c r="D26">
        <f t="shared" si="0"/>
        <v>-10.79506472833215</v>
      </c>
      <c r="E26">
        <v>175.76111111111109</v>
      </c>
      <c r="F26">
        <f t="shared" si="1"/>
        <v>-0.5547959199710808</v>
      </c>
      <c r="G26">
        <v>171.93333333333331</v>
      </c>
      <c r="H26">
        <f t="shared" si="2"/>
        <v>0.3892565200467053</v>
      </c>
      <c r="I26">
        <v>181.80000000000004</v>
      </c>
      <c r="J26">
        <f t="shared" si="3"/>
        <v>0.34958601655936483</v>
      </c>
      <c r="K26">
        <v>179.53333333333333</v>
      </c>
      <c r="L26">
        <f t="shared" si="4"/>
        <v>0.49444910905867662</v>
      </c>
      <c r="M26">
        <v>170.7</v>
      </c>
      <c r="N26">
        <f t="shared" si="5"/>
        <v>-0.64027939464494921</v>
      </c>
      <c r="O26">
        <v>180.6</v>
      </c>
      <c r="P26">
        <f t="shared" si="6"/>
        <v>0.72504182933628236</v>
      </c>
      <c r="Q26">
        <v>163.53333333333333</v>
      </c>
      <c r="R26">
        <f t="shared" si="7"/>
        <v>0.24519820187985639</v>
      </c>
    </row>
    <row r="27" spans="1:18">
      <c r="A27">
        <v>2023</v>
      </c>
      <c r="B27" t="s">
        <v>31</v>
      </c>
      <c r="C27">
        <v>80.922269684210534</v>
      </c>
      <c r="D27">
        <f t="shared" si="0"/>
        <v>3.6124114857364886</v>
      </c>
      <c r="E27">
        <v>176.52500000000001</v>
      </c>
      <c r="F27">
        <f t="shared" si="1"/>
        <v>0.43461769447167736</v>
      </c>
      <c r="G27">
        <v>172.69999999999996</v>
      </c>
      <c r="H27">
        <f t="shared" si="2"/>
        <v>0.44590926715780438</v>
      </c>
      <c r="I27">
        <v>181.76666666666665</v>
      </c>
      <c r="J27">
        <f t="shared" si="3"/>
        <v>-1.8335166850048556E-2</v>
      </c>
      <c r="K27">
        <v>180.29999999999998</v>
      </c>
      <c r="L27">
        <f t="shared" si="4"/>
        <v>0.42703304864462582</v>
      </c>
      <c r="M27">
        <v>172.1</v>
      </c>
      <c r="N27">
        <f t="shared" si="5"/>
        <v>0.82015231400117505</v>
      </c>
      <c r="O27">
        <v>181.83333333333334</v>
      </c>
      <c r="P27">
        <f t="shared" si="6"/>
        <v>0.68290882244371454</v>
      </c>
      <c r="Q27">
        <v>163.76666666666668</v>
      </c>
      <c r="R27">
        <f t="shared" si="7"/>
        <v>0.14268242967795464</v>
      </c>
    </row>
    <row r="28" spans="1:18">
      <c r="A28">
        <v>2023</v>
      </c>
      <c r="B28" t="s">
        <v>164</v>
      </c>
      <c r="C28">
        <v>82.278706675000009</v>
      </c>
      <c r="D28">
        <f t="shared" si="0"/>
        <v>1.676222127830582</v>
      </c>
      <c r="E28">
        <v>175.43055555555554</v>
      </c>
      <c r="F28">
        <f t="shared" si="1"/>
        <v>-0.61999402036225049</v>
      </c>
      <c r="G28">
        <v>174</v>
      </c>
      <c r="H28">
        <f t="shared" si="2"/>
        <v>0.75275043427911992</v>
      </c>
      <c r="I28">
        <v>182.16666666666666</v>
      </c>
      <c r="J28">
        <f t="shared" si="3"/>
        <v>0.22006235099945298</v>
      </c>
      <c r="K28">
        <v>181.53333333333333</v>
      </c>
      <c r="L28">
        <f t="shared" si="4"/>
        <v>0.68404511000185719</v>
      </c>
      <c r="M28">
        <v>173.5</v>
      </c>
      <c r="N28">
        <f t="shared" si="5"/>
        <v>0.81348053457292613</v>
      </c>
      <c r="O28">
        <v>183.93333333333337</v>
      </c>
      <c r="P28">
        <f t="shared" si="6"/>
        <v>1.1549037580201773</v>
      </c>
      <c r="Q28">
        <v>164.33333333333334</v>
      </c>
      <c r="R28">
        <f t="shared" si="7"/>
        <v>0.34602076124567238</v>
      </c>
    </row>
    <row r="29" spans="1:18">
      <c r="A29">
        <v>2023</v>
      </c>
      <c r="B29" t="s">
        <v>36</v>
      </c>
      <c r="C29">
        <v>78.539480282608693</v>
      </c>
      <c r="D29">
        <f t="shared" si="0"/>
        <v>-4.5445857664744533</v>
      </c>
      <c r="E29">
        <v>175.43888888888887</v>
      </c>
      <c r="F29">
        <f t="shared" si="1"/>
        <v>4.7502177183077693E-3</v>
      </c>
      <c r="G29">
        <v>174</v>
      </c>
      <c r="H29">
        <f t="shared" si="2"/>
        <v>0</v>
      </c>
      <c r="I29">
        <v>181.96666666666667</v>
      </c>
      <c r="J29">
        <f t="shared" si="3"/>
        <v>-0.10978956999084463</v>
      </c>
      <c r="K29">
        <v>181.5</v>
      </c>
      <c r="L29">
        <f t="shared" si="4"/>
        <v>-1.8362100624310377E-2</v>
      </c>
      <c r="M29">
        <v>173.5</v>
      </c>
      <c r="N29">
        <f t="shared" si="5"/>
        <v>0</v>
      </c>
      <c r="O29">
        <v>183.93333333333337</v>
      </c>
      <c r="P29">
        <f t="shared" si="6"/>
        <v>0</v>
      </c>
      <c r="Q29">
        <v>164.33333333333334</v>
      </c>
      <c r="R29">
        <f t="shared" si="7"/>
        <v>0</v>
      </c>
    </row>
    <row r="30" spans="1:18">
      <c r="A30">
        <v>2023</v>
      </c>
      <c r="B30" t="s">
        <v>37</v>
      </c>
      <c r="C30">
        <v>83.755358416666667</v>
      </c>
      <c r="D30">
        <f t="shared" si="0"/>
        <v>6.641090716783042</v>
      </c>
      <c r="E30">
        <v>176.2777777777778</v>
      </c>
      <c r="F30">
        <f t="shared" si="1"/>
        <v>0.47816586972357461</v>
      </c>
      <c r="G30">
        <v>174.43333333333331</v>
      </c>
      <c r="H30">
        <f t="shared" si="2"/>
        <v>0.24904214559385557</v>
      </c>
      <c r="I30">
        <v>181.76666666666665</v>
      </c>
      <c r="J30">
        <f t="shared" si="3"/>
        <v>-0.10991023997069997</v>
      </c>
      <c r="K30">
        <v>182.13333333333333</v>
      </c>
      <c r="L30">
        <f t="shared" si="4"/>
        <v>0.3489439853076175</v>
      </c>
      <c r="M30">
        <v>175.2</v>
      </c>
      <c r="N30">
        <f t="shared" si="5"/>
        <v>0.97982708933716922</v>
      </c>
      <c r="O30">
        <v>184.56666666666669</v>
      </c>
      <c r="P30">
        <f t="shared" si="6"/>
        <v>0.34432765494744055</v>
      </c>
      <c r="Q30">
        <v>164.66666666666666</v>
      </c>
      <c r="R30">
        <f t="shared" si="7"/>
        <v>0.20283975659228054</v>
      </c>
    </row>
    <row r="31" spans="1:18">
      <c r="A31">
        <v>2023</v>
      </c>
      <c r="B31" t="s">
        <v>38</v>
      </c>
      <c r="C31">
        <v>74.981547824999993</v>
      </c>
      <c r="D31">
        <f t="shared" si="0"/>
        <v>-10.475521515911456</v>
      </c>
      <c r="E31">
        <v>177.60277777777779</v>
      </c>
      <c r="F31">
        <f t="shared" si="1"/>
        <v>0.75165458556570408</v>
      </c>
      <c r="G31">
        <v>175.0333333333333</v>
      </c>
      <c r="H31">
        <f t="shared" si="2"/>
        <v>0.34397095356391805</v>
      </c>
      <c r="I31">
        <v>182.9</v>
      </c>
      <c r="J31">
        <f t="shared" si="3"/>
        <v>0.62350999449845268</v>
      </c>
      <c r="K31">
        <v>182.58333333333334</v>
      </c>
      <c r="L31">
        <f t="shared" si="4"/>
        <v>0.24707174231333295</v>
      </c>
      <c r="M31">
        <v>175.6</v>
      </c>
      <c r="N31">
        <f t="shared" si="5"/>
        <v>0.22831050228310826</v>
      </c>
      <c r="O31">
        <v>185.23333333333335</v>
      </c>
      <c r="P31">
        <f t="shared" si="6"/>
        <v>0.36120642947443948</v>
      </c>
      <c r="Q31">
        <v>164.96666666666667</v>
      </c>
      <c r="R31">
        <f t="shared" si="7"/>
        <v>0.18218623481782067</v>
      </c>
    </row>
    <row r="34" spans="5:9">
      <c r="H34" s="52" t="s">
        <v>189</v>
      </c>
      <c r="I34" s="52"/>
    </row>
    <row r="35" spans="5:9">
      <c r="E35" s="53" t="s">
        <v>113</v>
      </c>
      <c r="F35" s="53" t="s">
        <v>187</v>
      </c>
      <c r="H35" s="54" t="s">
        <v>113</v>
      </c>
      <c r="I35" s="54" t="s">
        <v>187</v>
      </c>
    </row>
    <row r="36" spans="5:9">
      <c r="E36" s="53" t="s">
        <v>178</v>
      </c>
      <c r="F36" s="53">
        <f>CORREL(D3:D31,F3:F31)</f>
        <v>-5.113887949935181E-3</v>
      </c>
      <c r="H36" s="54" t="s">
        <v>180</v>
      </c>
      <c r="I36">
        <v>0.16893901618487861</v>
      </c>
    </row>
    <row r="37" spans="5:9">
      <c r="E37" s="53" t="s">
        <v>179</v>
      </c>
      <c r="F37" s="53">
        <f>CORREL(D3:D31,H3:H31)</f>
        <v>-1.5558666617153868E-2</v>
      </c>
      <c r="H37" s="54" t="s">
        <v>181</v>
      </c>
      <c r="I37">
        <v>0.15684460942582215</v>
      </c>
    </row>
    <row r="38" spans="5:9">
      <c r="E38" s="53" t="s">
        <v>180</v>
      </c>
      <c r="F38" s="53">
        <f>CORREL(D3:D31,J3:J31)</f>
        <v>0.16893901618487861</v>
      </c>
      <c r="H38" s="54" t="s">
        <v>183</v>
      </c>
      <c r="I38">
        <v>0.12424583578297675</v>
      </c>
    </row>
    <row r="39" spans="5:9">
      <c r="E39" s="53" t="s">
        <v>181</v>
      </c>
      <c r="F39" s="53">
        <f>CORREL(D3:D31,L3:L31)</f>
        <v>0.15684460942582215</v>
      </c>
      <c r="H39" s="54" t="s">
        <v>184</v>
      </c>
      <c r="I39">
        <v>0.12088108595874097</v>
      </c>
    </row>
    <row r="40" spans="5:9">
      <c r="E40" s="53" t="s">
        <v>182</v>
      </c>
      <c r="F40" s="53">
        <f>CORREL(D3:D31,N3:N31)</f>
        <v>6.7289459846430325E-2</v>
      </c>
      <c r="H40" s="54" t="s">
        <v>182</v>
      </c>
      <c r="I40">
        <v>6.7289459846430325E-2</v>
      </c>
    </row>
    <row r="41" spans="5:9">
      <c r="E41" s="53" t="s">
        <v>183</v>
      </c>
      <c r="F41" s="53">
        <f>CORREL(D3:D31,P3:P31)</f>
        <v>0.12424583578297675</v>
      </c>
      <c r="H41" s="54" t="s">
        <v>178</v>
      </c>
      <c r="I41">
        <v>-5.113887949935181E-3</v>
      </c>
    </row>
    <row r="42" spans="5:9">
      <c r="E42" s="53" t="s">
        <v>184</v>
      </c>
      <c r="F42" s="53">
        <f>CORREL(D3:D31,R3:R31)</f>
        <v>0.12088108595874097</v>
      </c>
      <c r="H42" s="54" t="s">
        <v>179</v>
      </c>
      <c r="I42">
        <v>-1.5558666617153868E-2</v>
      </c>
    </row>
  </sheetData>
  <sortState xmlns:xlrd2="http://schemas.microsoft.com/office/spreadsheetml/2017/richdata2" ref="H36:I42">
    <sortCondition descending="1" ref="I36:I42"/>
  </sortState>
  <mergeCells count="1">
    <mergeCell ref="H34:I34"/>
  </mergeCells>
  <conditionalFormatting sqref="F36:F42">
    <cfRule type="colorScale" priority="2">
      <colorScale>
        <cfvo type="min"/>
        <cfvo type="percentile" val="50"/>
        <cfvo type="max"/>
        <color rgb="FFF8696B"/>
        <color rgb="FFFCFCFF"/>
        <color rgb="FF63BE7B"/>
      </colorScale>
    </cfRule>
  </conditionalFormatting>
  <conditionalFormatting sqref="H35:I42">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9861B-3BD6-4A5B-BE5D-2D471E5DAF72}">
  <dimension ref="A1"/>
  <sheetViews>
    <sheetView topLeftCell="A4" zoomScale="70" zoomScaleNormal="70" workbookViewId="0">
      <selection activeCell="AN9" sqref="AN9"/>
    </sheetView>
  </sheetViews>
  <sheetFormatPr defaultRowHeight="15"/>
  <cols>
    <col min="2" max="2" width="16.28515625" customWidth="1"/>
    <col min="24" max="24" width="9.140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D3624-2932-45BF-BD32-5B643213710F}">
  <dimension ref="A1"/>
  <sheetViews>
    <sheetView tabSelected="1" workbookViewId="0"/>
  </sheetViews>
  <sheetFormatPr defaultRowHeight="1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F710A-9874-401E-9E94-30832C14CC0F}">
  <dimension ref="A1:I51"/>
  <sheetViews>
    <sheetView workbookViewId="0">
      <selection activeCell="G15" sqref="G15"/>
    </sheetView>
  </sheetViews>
  <sheetFormatPr defaultRowHeight="15"/>
  <cols>
    <col min="1" max="1" width="13.140625" bestFit="1" customWidth="1"/>
    <col min="2" max="2" width="22.85546875" bestFit="1" customWidth="1"/>
    <col min="3" max="3" width="38.5703125" bestFit="1" customWidth="1"/>
    <col min="4" max="4" width="18.42578125" bestFit="1" customWidth="1"/>
    <col min="5" max="5" width="38.28515625" bestFit="1" customWidth="1"/>
    <col min="6" max="6" width="17" bestFit="1" customWidth="1"/>
    <col min="7" max="7" width="23.42578125" bestFit="1" customWidth="1"/>
    <col min="9" max="9" width="27.5703125" bestFit="1" customWidth="1"/>
  </cols>
  <sheetData>
    <row r="1" spans="1:7">
      <c r="A1" s="4" t="s">
        <v>1</v>
      </c>
      <c r="B1" s="5">
        <v>2020</v>
      </c>
    </row>
    <row r="3" spans="1:7">
      <c r="A3" s="4" t="s">
        <v>59</v>
      </c>
      <c r="B3" t="s">
        <v>96</v>
      </c>
      <c r="C3" t="s">
        <v>88</v>
      </c>
      <c r="D3" t="s">
        <v>166</v>
      </c>
      <c r="E3" t="s">
        <v>73</v>
      </c>
      <c r="F3" t="s">
        <v>69</v>
      </c>
      <c r="G3" t="s">
        <v>99</v>
      </c>
    </row>
    <row r="4" spans="1:7">
      <c r="A4" s="5" t="s">
        <v>31</v>
      </c>
      <c r="B4" s="6">
        <v>148.98611111111109</v>
      </c>
      <c r="C4" s="6">
        <v>145.99999999999997</v>
      </c>
      <c r="D4" s="6">
        <v>153.9</v>
      </c>
      <c r="E4" s="6">
        <v>131.1</v>
      </c>
      <c r="F4" s="6">
        <v>150.23333333333332</v>
      </c>
      <c r="G4" s="6">
        <v>143.36666666666667</v>
      </c>
    </row>
    <row r="5" spans="1:7">
      <c r="A5" s="5" t="s">
        <v>35</v>
      </c>
      <c r="B5" s="6">
        <v>146.83333333333334</v>
      </c>
      <c r="C5" s="6">
        <v>146.20000000000002</v>
      </c>
      <c r="D5" s="6">
        <v>154.80000000000001</v>
      </c>
      <c r="E5" s="6">
        <v>130.5</v>
      </c>
      <c r="F5" s="6">
        <v>150.76666666666668</v>
      </c>
      <c r="G5" s="6">
        <v>146.13333333333335</v>
      </c>
    </row>
    <row r="6" spans="1:7">
      <c r="A6" s="5" t="s">
        <v>36</v>
      </c>
      <c r="B6" s="6">
        <v>145.59166666666667</v>
      </c>
      <c r="C6" s="6">
        <v>146.23333333333335</v>
      </c>
      <c r="D6" s="6">
        <v>154.5</v>
      </c>
      <c r="E6" s="6">
        <v>130.1</v>
      </c>
      <c r="F6" s="6">
        <v>151.33333333333334</v>
      </c>
      <c r="G6" s="6">
        <v>147.9</v>
      </c>
    </row>
    <row r="7" spans="1:7">
      <c r="A7" s="5" t="s">
        <v>37</v>
      </c>
      <c r="B7" s="6">
        <v>149.97777777777776</v>
      </c>
      <c r="C7" s="6">
        <v>146.20000000000002</v>
      </c>
      <c r="D7" s="6">
        <v>155.6</v>
      </c>
      <c r="E7" s="6">
        <v>130.29999999999998</v>
      </c>
      <c r="F7" s="6">
        <v>149.93333333333334</v>
      </c>
      <c r="G7" s="6">
        <v>143.20000000000002</v>
      </c>
    </row>
    <row r="8" spans="1:7">
      <c r="A8" s="5" t="s">
        <v>38</v>
      </c>
      <c r="B8" s="6">
        <v>147.7847222222222</v>
      </c>
      <c r="C8" s="6">
        <v>146.23333333333335</v>
      </c>
      <c r="D8" s="6">
        <v>155.05000000000001</v>
      </c>
      <c r="E8" s="6">
        <v>130.1</v>
      </c>
      <c r="F8" s="6">
        <v>150.63333333333333</v>
      </c>
      <c r="G8" s="6">
        <v>145.54999999999998</v>
      </c>
    </row>
    <row r="9" spans="1:7">
      <c r="A9" s="5" t="s">
        <v>39</v>
      </c>
      <c r="B9" s="6">
        <v>151.375</v>
      </c>
      <c r="C9" s="6">
        <v>146.16666666666666</v>
      </c>
      <c r="D9" s="6">
        <v>154.69999999999999</v>
      </c>
      <c r="E9" s="6">
        <v>135.23333333333335</v>
      </c>
      <c r="F9" s="6">
        <v>153.56666666666666</v>
      </c>
      <c r="G9" s="6">
        <v>141.29999999999998</v>
      </c>
    </row>
    <row r="10" spans="1:7">
      <c r="A10" s="5" t="s">
        <v>40</v>
      </c>
      <c r="B10" s="6">
        <v>151.375</v>
      </c>
      <c r="C10" s="6">
        <v>146.16666666666666</v>
      </c>
      <c r="D10" s="6">
        <v>154.69999999999999</v>
      </c>
      <c r="E10" s="6">
        <v>135.23333333333335</v>
      </c>
      <c r="F10" s="6">
        <v>153.56666666666666</v>
      </c>
      <c r="G10" s="6">
        <v>141.29999999999998</v>
      </c>
    </row>
    <row r="11" spans="1:7">
      <c r="A11" s="5" t="s">
        <v>41</v>
      </c>
      <c r="B11" s="6">
        <v>153.51388888888889</v>
      </c>
      <c r="C11" s="6">
        <v>148.26666666666665</v>
      </c>
      <c r="D11" s="6">
        <v>155.5</v>
      </c>
      <c r="E11" s="6">
        <v>138.66666666666666</v>
      </c>
      <c r="F11" s="6">
        <v>154.16666666666666</v>
      </c>
      <c r="G11" s="6">
        <v>142.36666666666667</v>
      </c>
    </row>
    <row r="12" spans="1:7">
      <c r="A12" s="5" t="s">
        <v>42</v>
      </c>
      <c r="B12" s="6">
        <v>154.46111111111111</v>
      </c>
      <c r="C12" s="6">
        <v>148.56666666666669</v>
      </c>
      <c r="D12" s="6">
        <v>156.30000000000001</v>
      </c>
      <c r="E12" s="6">
        <v>139.76666666666665</v>
      </c>
      <c r="F12" s="6">
        <v>154.9</v>
      </c>
      <c r="G12" s="6">
        <v>142.16666666666666</v>
      </c>
    </row>
    <row r="13" spans="1:7">
      <c r="A13" s="5" t="s">
        <v>43</v>
      </c>
      <c r="B13" s="6">
        <v>157.61944444444444</v>
      </c>
      <c r="C13" s="6">
        <v>148.6</v>
      </c>
      <c r="D13" s="6">
        <v>156.5</v>
      </c>
      <c r="E13" s="6">
        <v>140.79999999999998</v>
      </c>
      <c r="F13" s="6">
        <v>155.6</v>
      </c>
      <c r="G13" s="6">
        <v>142.33333333333334</v>
      </c>
    </row>
    <row r="14" spans="1:7">
      <c r="A14" s="5" t="s">
        <v>45</v>
      </c>
      <c r="B14" s="6">
        <v>161.21111111111114</v>
      </c>
      <c r="C14" s="6">
        <v>149.03333333333333</v>
      </c>
      <c r="D14" s="6">
        <v>158</v>
      </c>
      <c r="E14" s="6">
        <v>140.56666666666669</v>
      </c>
      <c r="F14" s="6">
        <v>156.53333333333333</v>
      </c>
      <c r="G14" s="6">
        <v>142.79999999999998</v>
      </c>
    </row>
    <row r="15" spans="1:7">
      <c r="A15" s="5" t="s">
        <v>46</v>
      </c>
      <c r="B15" s="6">
        <v>162.16944444444445</v>
      </c>
      <c r="C15" s="6">
        <v>149.53333333333333</v>
      </c>
      <c r="D15" s="6">
        <v>158.4</v>
      </c>
      <c r="E15" s="6">
        <v>140.86666666666667</v>
      </c>
      <c r="F15" s="6">
        <v>157.60000000000002</v>
      </c>
      <c r="G15" s="6">
        <v>143.73333333333332</v>
      </c>
    </row>
    <row r="16" spans="1:7">
      <c r="A16" s="5" t="s">
        <v>60</v>
      </c>
      <c r="B16" s="6">
        <v>152.57488425925925</v>
      </c>
      <c r="C16" s="6">
        <v>147.26666666666668</v>
      </c>
      <c r="D16" s="6">
        <v>155.66250000000002</v>
      </c>
      <c r="E16" s="6">
        <v>135.26944444444445</v>
      </c>
      <c r="F16" s="6">
        <v>153.23611111111109</v>
      </c>
      <c r="G16" s="6">
        <v>143.51250000000002</v>
      </c>
    </row>
    <row r="22" spans="1:9">
      <c r="A22" t="s">
        <v>1</v>
      </c>
      <c r="B22" t="s">
        <v>59</v>
      </c>
      <c r="C22" t="s">
        <v>96</v>
      </c>
      <c r="D22" t="s">
        <v>166</v>
      </c>
      <c r="E22" t="s">
        <v>73</v>
      </c>
      <c r="F22" t="s">
        <v>69</v>
      </c>
      <c r="G22" t="s">
        <v>167</v>
      </c>
      <c r="H22" t="s">
        <v>168</v>
      </c>
      <c r="I22" t="s">
        <v>22</v>
      </c>
    </row>
    <row r="23" spans="1:9">
      <c r="A23">
        <v>2021</v>
      </c>
      <c r="B23" t="s">
        <v>31</v>
      </c>
      <c r="C23">
        <v>159.86666666666665</v>
      </c>
      <c r="D23">
        <v>157.69999999999999</v>
      </c>
      <c r="E23">
        <v>142.1</v>
      </c>
      <c r="F23">
        <v>158.63333333333333</v>
      </c>
      <c r="G23">
        <v>54.794569624999994</v>
      </c>
      <c r="H23">
        <v>147.23333333333335</v>
      </c>
      <c r="I23">
        <v>147.23333333333335</v>
      </c>
    </row>
    <row r="24" spans="1:9">
      <c r="A24">
        <v>2021</v>
      </c>
      <c r="B24" t="s">
        <v>35</v>
      </c>
      <c r="C24">
        <v>157.17222222222222</v>
      </c>
      <c r="D24">
        <v>159.80000000000001</v>
      </c>
      <c r="E24">
        <v>145.26666666666668</v>
      </c>
      <c r="F24">
        <v>160.63333333333335</v>
      </c>
      <c r="G24">
        <v>61.216117289473672</v>
      </c>
      <c r="H24">
        <v>151.96666666666667</v>
      </c>
      <c r="I24">
        <v>151.96666666666667</v>
      </c>
    </row>
    <row r="25" spans="1:9">
      <c r="A25">
        <v>2021</v>
      </c>
      <c r="B25" t="s">
        <v>36</v>
      </c>
      <c r="C25">
        <v>157.16666666666666</v>
      </c>
      <c r="D25">
        <v>159.9</v>
      </c>
      <c r="E25">
        <v>146.4</v>
      </c>
      <c r="F25">
        <v>161.06666666666669</v>
      </c>
      <c r="G25">
        <v>64.729496782608663</v>
      </c>
      <c r="H25">
        <v>155.43333333333334</v>
      </c>
      <c r="I25">
        <v>155.43333333333334</v>
      </c>
    </row>
    <row r="26" spans="1:9">
      <c r="A26">
        <v>2021</v>
      </c>
      <c r="B26" t="s">
        <v>37</v>
      </c>
      <c r="C26">
        <v>159.10000000000002</v>
      </c>
      <c r="D26">
        <v>161.4</v>
      </c>
      <c r="E26">
        <v>146.79999999999998</v>
      </c>
      <c r="F26">
        <v>161.70000000000002</v>
      </c>
      <c r="G26">
        <v>63.396976500000008</v>
      </c>
      <c r="H26">
        <v>155.5</v>
      </c>
      <c r="I26">
        <v>155.5</v>
      </c>
    </row>
    <row r="27" spans="1:9">
      <c r="A27">
        <v>2021</v>
      </c>
      <c r="B27" t="s">
        <v>38</v>
      </c>
      <c r="C27">
        <v>162.28055555555557</v>
      </c>
      <c r="D27">
        <v>161.6</v>
      </c>
      <c r="E27">
        <v>149.03333333333333</v>
      </c>
      <c r="F27">
        <v>165.10000000000002</v>
      </c>
      <c r="G27">
        <v>66.953084852941174</v>
      </c>
      <c r="H27">
        <v>158.86666666666665</v>
      </c>
      <c r="I27">
        <v>158.86666666666665</v>
      </c>
    </row>
    <row r="28" spans="1:9">
      <c r="A28">
        <v>2021</v>
      </c>
      <c r="B28" t="s">
        <v>39</v>
      </c>
      <c r="C28">
        <v>164.48333333333332</v>
      </c>
      <c r="D28">
        <v>160.5</v>
      </c>
      <c r="E28">
        <v>150.79999999999998</v>
      </c>
      <c r="F28">
        <v>165.6</v>
      </c>
      <c r="G28">
        <v>71.982647477272721</v>
      </c>
      <c r="H28">
        <v>159.33333333333334</v>
      </c>
      <c r="I28">
        <v>159.33333333333334</v>
      </c>
    </row>
    <row r="29" spans="1:9">
      <c r="A29">
        <v>2021</v>
      </c>
      <c r="B29" t="s">
        <v>40</v>
      </c>
      <c r="C29">
        <v>165.48888888888891</v>
      </c>
      <c r="D29">
        <v>161.5</v>
      </c>
      <c r="E29">
        <v>153.23333333333335</v>
      </c>
      <c r="F29">
        <v>166.29999999999998</v>
      </c>
      <c r="G29">
        <v>73.539060523809511</v>
      </c>
      <c r="H29">
        <v>160.29999999999998</v>
      </c>
      <c r="I29">
        <v>160.29999999999998</v>
      </c>
    </row>
    <row r="30" spans="1:9">
      <c r="A30">
        <v>2021</v>
      </c>
      <c r="B30" t="s">
        <v>41</v>
      </c>
      <c r="C30">
        <v>164.93333333333337</v>
      </c>
      <c r="D30">
        <v>162.1</v>
      </c>
      <c r="E30">
        <v>154.03333333333333</v>
      </c>
      <c r="F30">
        <v>167.43333333333337</v>
      </c>
      <c r="G30">
        <v>69.804724424999989</v>
      </c>
      <c r="H30">
        <v>162.13333333333333</v>
      </c>
      <c r="I30">
        <v>162.13333333333333</v>
      </c>
    </row>
    <row r="31" spans="1:9">
      <c r="A31">
        <v>2021</v>
      </c>
      <c r="B31" t="s">
        <v>42</v>
      </c>
      <c r="C31">
        <v>165.00277777777777</v>
      </c>
      <c r="D31">
        <v>162.1</v>
      </c>
      <c r="E31">
        <v>154.1</v>
      </c>
      <c r="F31">
        <v>167.70000000000002</v>
      </c>
      <c r="G31">
        <v>73.130738295454549</v>
      </c>
      <c r="H31">
        <v>162.36666666666665</v>
      </c>
      <c r="I31">
        <v>162.36666666666665</v>
      </c>
    </row>
    <row r="32" spans="1:9">
      <c r="A32">
        <v>2021</v>
      </c>
      <c r="B32" t="s">
        <v>43</v>
      </c>
      <c r="C32">
        <v>167.59444444444443</v>
      </c>
      <c r="D32">
        <v>163.6</v>
      </c>
      <c r="E32">
        <v>155.79999999999998</v>
      </c>
      <c r="F32">
        <v>168.36666666666667</v>
      </c>
      <c r="G32">
        <v>82.107393785714294</v>
      </c>
      <c r="H32">
        <v>163.96666666666667</v>
      </c>
      <c r="I32">
        <v>163.96666666666667</v>
      </c>
    </row>
    <row r="33" spans="1:9">
      <c r="A33">
        <v>2021</v>
      </c>
      <c r="B33" t="s">
        <v>45</v>
      </c>
      <c r="C33">
        <v>168.98055555555553</v>
      </c>
      <c r="D33">
        <v>164.2</v>
      </c>
      <c r="E33">
        <v>154.96666666666667</v>
      </c>
      <c r="F33">
        <v>169.16666666666666</v>
      </c>
      <c r="G33">
        <v>80.637301023809528</v>
      </c>
      <c r="H33">
        <v>163.6</v>
      </c>
      <c r="I33">
        <v>163.6</v>
      </c>
    </row>
    <row r="34" spans="1:9">
      <c r="A34">
        <v>2021</v>
      </c>
      <c r="B34" t="s">
        <v>46</v>
      </c>
      <c r="C34">
        <v>168.03333333333333</v>
      </c>
      <c r="D34">
        <v>163.4</v>
      </c>
      <c r="E34">
        <v>155.86666666666667</v>
      </c>
      <c r="F34">
        <v>169.9</v>
      </c>
      <c r="G34">
        <v>73.298823523809531</v>
      </c>
      <c r="H34">
        <v>163.79999999999998</v>
      </c>
      <c r="I34">
        <v>163.79999999999998</v>
      </c>
    </row>
    <row r="35" spans="1:9">
      <c r="A35">
        <v>2022</v>
      </c>
      <c r="B35" t="s">
        <v>31</v>
      </c>
      <c r="C35">
        <v>166.75277777777777</v>
      </c>
      <c r="D35">
        <v>164.5</v>
      </c>
      <c r="E35">
        <v>156.66666666666666</v>
      </c>
      <c r="F35">
        <v>170.73333333333335</v>
      </c>
      <c r="G35">
        <v>84.666318799999985</v>
      </c>
      <c r="H35">
        <v>163.86666666666665</v>
      </c>
      <c r="I35">
        <v>163.86666666666665</v>
      </c>
    </row>
    <row r="36" spans="1:9">
      <c r="A36">
        <v>2022</v>
      </c>
      <c r="B36" t="s">
        <v>35</v>
      </c>
      <c r="C36">
        <v>166.52222222222224</v>
      </c>
      <c r="D36">
        <v>165.5</v>
      </c>
      <c r="E36">
        <v>157.06666666666666</v>
      </c>
      <c r="F36">
        <v>171.56666666666669</v>
      </c>
      <c r="G36">
        <v>94.067715194444446</v>
      </c>
      <c r="H36">
        <v>165.36666666666667</v>
      </c>
      <c r="I36">
        <v>165.36666666666667</v>
      </c>
    </row>
    <row r="37" spans="1:9">
      <c r="A37">
        <v>2022</v>
      </c>
      <c r="B37" t="s">
        <v>36</v>
      </c>
      <c r="C37">
        <v>168.14166666666668</v>
      </c>
      <c r="D37">
        <v>165.3</v>
      </c>
      <c r="E37">
        <v>158.03333333333333</v>
      </c>
      <c r="F37">
        <v>172.4</v>
      </c>
      <c r="G37">
        <v>112.87479254347826</v>
      </c>
      <c r="H37">
        <v>166.86666666666667</v>
      </c>
      <c r="I37">
        <v>166.86666666666667</v>
      </c>
    </row>
    <row r="38" spans="1:9">
      <c r="A38">
        <v>2022</v>
      </c>
      <c r="B38" t="s">
        <v>37</v>
      </c>
      <c r="C38">
        <v>170.48333333333335</v>
      </c>
      <c r="D38">
        <v>167</v>
      </c>
      <c r="E38">
        <v>162.69999999999999</v>
      </c>
      <c r="F38">
        <v>173.33333333333334</v>
      </c>
      <c r="G38">
        <v>102.96599786842103</v>
      </c>
      <c r="H38">
        <v>172</v>
      </c>
      <c r="I38">
        <v>172</v>
      </c>
    </row>
    <row r="39" spans="1:9">
      <c r="A39">
        <v>2022</v>
      </c>
      <c r="B39" t="s">
        <v>38</v>
      </c>
      <c r="C39">
        <v>172.39722222222224</v>
      </c>
      <c r="D39">
        <v>167.5</v>
      </c>
      <c r="E39">
        <v>163.16666666666666</v>
      </c>
      <c r="F39">
        <v>174.19999999999996</v>
      </c>
      <c r="G39">
        <v>109.50503773684208</v>
      </c>
      <c r="H39">
        <v>174.4666666666667</v>
      </c>
      <c r="I39">
        <v>174.4666666666667</v>
      </c>
    </row>
    <row r="40" spans="1:9">
      <c r="A40">
        <v>2022</v>
      </c>
      <c r="B40" t="s">
        <v>39</v>
      </c>
      <c r="C40">
        <v>174.19722222222222</v>
      </c>
      <c r="D40">
        <v>166.8</v>
      </c>
      <c r="E40">
        <v>161.26666666666665</v>
      </c>
      <c r="F40">
        <v>174.83333333333334</v>
      </c>
      <c r="G40">
        <v>116.01138504999999</v>
      </c>
      <c r="H40">
        <v>175.86666666666665</v>
      </c>
      <c r="I40">
        <v>175.86666666666665</v>
      </c>
    </row>
    <row r="41" spans="1:9">
      <c r="A41">
        <v>2022</v>
      </c>
      <c r="B41" t="s">
        <v>40</v>
      </c>
      <c r="C41">
        <v>174.54166666666666</v>
      </c>
      <c r="D41">
        <v>167.8</v>
      </c>
      <c r="E41">
        <v>161.76666666666668</v>
      </c>
      <c r="F41">
        <v>175.5333333333333</v>
      </c>
      <c r="G41">
        <v>105.49124737500001</v>
      </c>
      <c r="H41">
        <v>179.56666666666669</v>
      </c>
      <c r="I41">
        <v>179.56666666666669</v>
      </c>
    </row>
    <row r="42" spans="1:9">
      <c r="A42">
        <v>2022</v>
      </c>
      <c r="B42" t="s">
        <v>41</v>
      </c>
      <c r="C42">
        <v>174.66944444444445</v>
      </c>
      <c r="D42">
        <v>169</v>
      </c>
      <c r="E42">
        <v>162.06666666666669</v>
      </c>
      <c r="F42">
        <v>176.26666666666665</v>
      </c>
      <c r="G42">
        <v>97.404465428571427</v>
      </c>
      <c r="H42">
        <v>178.76666666666668</v>
      </c>
      <c r="I42">
        <v>178.76666666666668</v>
      </c>
    </row>
    <row r="43" spans="1:9">
      <c r="A43">
        <v>2022</v>
      </c>
      <c r="B43" t="s">
        <v>42</v>
      </c>
      <c r="C43">
        <v>175.55555555555554</v>
      </c>
      <c r="D43">
        <v>169.5</v>
      </c>
      <c r="E43">
        <v>162.46666666666667</v>
      </c>
      <c r="F43">
        <v>177.26666666666665</v>
      </c>
      <c r="G43">
        <v>90.706344809523813</v>
      </c>
      <c r="H43">
        <v>179.46666666666667</v>
      </c>
      <c r="I43">
        <v>179.46666666666667</v>
      </c>
    </row>
    <row r="44" spans="1:9">
      <c r="A44">
        <v>2022</v>
      </c>
      <c r="B44" t="s">
        <v>43</v>
      </c>
      <c r="C44">
        <v>176.77222222222224</v>
      </c>
      <c r="D44">
        <v>171.2</v>
      </c>
      <c r="E44">
        <v>163.03333333333333</v>
      </c>
      <c r="F44">
        <v>178.19999999999996</v>
      </c>
      <c r="G44">
        <v>91.698948700000003</v>
      </c>
      <c r="H44">
        <v>180.43333333333331</v>
      </c>
      <c r="I44">
        <v>180.43333333333331</v>
      </c>
    </row>
    <row r="45" spans="1:9">
      <c r="A45">
        <v>2022</v>
      </c>
      <c r="B45" t="s">
        <v>45</v>
      </c>
      <c r="C45">
        <v>176.74166666666665</v>
      </c>
      <c r="D45">
        <v>171.8</v>
      </c>
      <c r="E45">
        <v>163.13333333333333</v>
      </c>
      <c r="F45">
        <v>179.30000000000004</v>
      </c>
      <c r="G45">
        <v>87.552266068181822</v>
      </c>
      <c r="H45">
        <v>181.16666666666666</v>
      </c>
      <c r="I45">
        <v>181.16666666666666</v>
      </c>
    </row>
    <row r="46" spans="1:9">
      <c r="A46">
        <v>2022</v>
      </c>
      <c r="B46" t="s">
        <v>46</v>
      </c>
      <c r="C46">
        <v>175.76111111111109</v>
      </c>
      <c r="D46">
        <v>170.7</v>
      </c>
      <c r="E46">
        <v>163.53333333333333</v>
      </c>
      <c r="F46">
        <v>180.6</v>
      </c>
      <c r="G46">
        <v>78.100942275000008</v>
      </c>
      <c r="H46">
        <v>181.80000000000004</v>
      </c>
      <c r="I46">
        <v>181.80000000000004</v>
      </c>
    </row>
    <row r="47" spans="1:9">
      <c r="A47">
        <v>2023</v>
      </c>
      <c r="B47" t="s">
        <v>31</v>
      </c>
      <c r="C47">
        <v>176.52500000000001</v>
      </c>
      <c r="D47">
        <v>172.1</v>
      </c>
      <c r="E47">
        <v>163.76666666666668</v>
      </c>
      <c r="F47">
        <v>181.83333333333334</v>
      </c>
      <c r="G47">
        <v>80.922269684210534</v>
      </c>
      <c r="H47">
        <v>181.76666666666665</v>
      </c>
      <c r="I47">
        <v>181.76666666666665</v>
      </c>
    </row>
    <row r="48" spans="1:9">
      <c r="A48">
        <v>2023</v>
      </c>
      <c r="B48" t="s">
        <v>35</v>
      </c>
      <c r="C48">
        <v>175.43055555555554</v>
      </c>
      <c r="D48">
        <v>173.5</v>
      </c>
      <c r="E48">
        <v>164.33333333333334</v>
      </c>
      <c r="F48">
        <v>183.93333333333337</v>
      </c>
      <c r="G48">
        <v>82.278706675000009</v>
      </c>
      <c r="H48">
        <v>182.16666666666666</v>
      </c>
      <c r="I48">
        <v>182.16666666666666</v>
      </c>
    </row>
    <row r="49" spans="1:9">
      <c r="A49">
        <v>2023</v>
      </c>
      <c r="B49" t="s">
        <v>36</v>
      </c>
      <c r="C49">
        <v>175.43888888888887</v>
      </c>
      <c r="D49">
        <v>173.5</v>
      </c>
      <c r="E49">
        <v>164.33333333333334</v>
      </c>
      <c r="F49">
        <v>183.93333333333337</v>
      </c>
      <c r="G49">
        <v>78.539480282608693</v>
      </c>
      <c r="H49">
        <v>181.96666666666667</v>
      </c>
      <c r="I49">
        <v>181.96666666666667</v>
      </c>
    </row>
    <row r="50" spans="1:9">
      <c r="A50">
        <v>2023</v>
      </c>
      <c r="B50" t="s">
        <v>37</v>
      </c>
      <c r="C50">
        <v>176.2777777777778</v>
      </c>
      <c r="D50">
        <v>175.2</v>
      </c>
      <c r="E50">
        <v>164.66666666666666</v>
      </c>
      <c r="F50">
        <v>184.56666666666669</v>
      </c>
      <c r="G50">
        <v>83.755358416666667</v>
      </c>
      <c r="H50">
        <v>181.76666666666665</v>
      </c>
      <c r="I50">
        <v>181.76666666666665</v>
      </c>
    </row>
    <row r="51" spans="1:9">
      <c r="A51">
        <v>2023</v>
      </c>
      <c r="B51" t="s">
        <v>38</v>
      </c>
      <c r="C51">
        <v>177.60277777777779</v>
      </c>
      <c r="D51">
        <v>175.6</v>
      </c>
      <c r="E51">
        <v>164.96666666666667</v>
      </c>
      <c r="F51">
        <v>185.23333333333335</v>
      </c>
      <c r="G51">
        <v>74.981547824999993</v>
      </c>
      <c r="H51">
        <v>182.9</v>
      </c>
      <c r="I51">
        <v>182.9</v>
      </c>
    </row>
  </sheetData>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F9009-F230-42B1-8461-0B3D6DF305E9}">
  <dimension ref="A1:J51"/>
  <sheetViews>
    <sheetView topLeftCell="A18" workbookViewId="0">
      <selection activeCell="C35" sqref="C35"/>
    </sheetView>
  </sheetViews>
  <sheetFormatPr defaultRowHeight="15"/>
  <cols>
    <col min="1" max="1" width="13.140625" bestFit="1" customWidth="1"/>
    <col min="2" max="2" width="22.85546875" bestFit="1" customWidth="1"/>
    <col min="3" max="3" width="38.5703125" bestFit="1" customWidth="1"/>
    <col min="4" max="4" width="23.42578125" bestFit="1" customWidth="1"/>
    <col min="5" max="5" width="20.42578125" bestFit="1" customWidth="1"/>
    <col min="6" max="6" width="18.42578125" bestFit="1" customWidth="1"/>
    <col min="7" max="7" width="17" bestFit="1" customWidth="1"/>
    <col min="8" max="8" width="38.28515625" bestFit="1" customWidth="1"/>
  </cols>
  <sheetData>
    <row r="1" spans="1:8">
      <c r="A1" s="4" t="s">
        <v>1</v>
      </c>
      <c r="B1" s="5">
        <v>2023</v>
      </c>
    </row>
    <row r="3" spans="1:8">
      <c r="A3" s="4" t="s">
        <v>59</v>
      </c>
      <c r="B3" t="s">
        <v>96</v>
      </c>
      <c r="C3" t="s">
        <v>88</v>
      </c>
      <c r="D3" t="s">
        <v>99</v>
      </c>
      <c r="E3" t="s">
        <v>97</v>
      </c>
      <c r="F3" t="s">
        <v>166</v>
      </c>
      <c r="G3" t="s">
        <v>69</v>
      </c>
      <c r="H3" t="s">
        <v>73</v>
      </c>
    </row>
    <row r="4" spans="1:8">
      <c r="A4" s="5" t="s">
        <v>31</v>
      </c>
      <c r="B4" s="6">
        <v>176.52500000000001</v>
      </c>
      <c r="C4" s="6">
        <v>172.69999999999996</v>
      </c>
      <c r="D4" s="6">
        <v>181.76666666666665</v>
      </c>
      <c r="E4" s="6">
        <v>180.29999999999998</v>
      </c>
      <c r="F4" s="6">
        <v>172.1</v>
      </c>
      <c r="G4" s="6">
        <v>181.83333333333334</v>
      </c>
      <c r="H4" s="6">
        <v>163.76666666666668</v>
      </c>
    </row>
    <row r="5" spans="1:8">
      <c r="A5" s="5" t="s">
        <v>35</v>
      </c>
      <c r="B5" s="6">
        <v>175.43055555555554</v>
      </c>
      <c r="C5" s="6">
        <v>174</v>
      </c>
      <c r="D5" s="6">
        <v>182.16666666666666</v>
      </c>
      <c r="E5" s="6">
        <v>181.53333333333333</v>
      </c>
      <c r="F5" s="6">
        <v>173.5</v>
      </c>
      <c r="G5" s="6">
        <v>183.93333333333337</v>
      </c>
      <c r="H5" s="6">
        <v>164.33333333333334</v>
      </c>
    </row>
    <row r="6" spans="1:8">
      <c r="A6" s="5" t="s">
        <v>36</v>
      </c>
      <c r="B6" s="6">
        <v>175.43888888888887</v>
      </c>
      <c r="C6" s="6">
        <v>174</v>
      </c>
      <c r="D6" s="6">
        <v>181.96666666666667</v>
      </c>
      <c r="E6" s="6">
        <v>181.5</v>
      </c>
      <c r="F6" s="6">
        <v>173.5</v>
      </c>
      <c r="G6" s="6">
        <v>183.93333333333337</v>
      </c>
      <c r="H6" s="6">
        <v>164.33333333333334</v>
      </c>
    </row>
    <row r="7" spans="1:8">
      <c r="A7" s="5" t="s">
        <v>37</v>
      </c>
      <c r="B7" s="6">
        <v>176.2777777777778</v>
      </c>
      <c r="C7" s="6">
        <v>174.43333333333331</v>
      </c>
      <c r="D7" s="6">
        <v>181.76666666666665</v>
      </c>
      <c r="E7" s="6">
        <v>182.13333333333333</v>
      </c>
      <c r="F7" s="6">
        <v>175.2</v>
      </c>
      <c r="G7" s="6">
        <v>184.56666666666669</v>
      </c>
      <c r="H7" s="6">
        <v>164.66666666666666</v>
      </c>
    </row>
    <row r="8" spans="1:8">
      <c r="A8" s="5" t="s">
        <v>38</v>
      </c>
      <c r="B8" s="6">
        <v>177.60277777777779</v>
      </c>
      <c r="C8" s="6">
        <v>175.0333333333333</v>
      </c>
      <c r="D8" s="6">
        <v>182.9</v>
      </c>
      <c r="E8" s="6">
        <v>182.58333333333334</v>
      </c>
      <c r="F8" s="6">
        <v>175.6</v>
      </c>
      <c r="G8" s="6">
        <v>185.23333333333335</v>
      </c>
      <c r="H8" s="6">
        <v>164.96666666666667</v>
      </c>
    </row>
    <row r="9" spans="1:8">
      <c r="A9" s="5" t="s">
        <v>60</v>
      </c>
      <c r="B9" s="6">
        <v>176.255</v>
      </c>
      <c r="C9" s="6">
        <v>174.0333333333333</v>
      </c>
      <c r="D9" s="6">
        <v>182.11333333333334</v>
      </c>
      <c r="E9" s="6">
        <v>181.60999999999999</v>
      </c>
      <c r="F9" s="6">
        <v>173.98</v>
      </c>
      <c r="G9" s="6">
        <v>183.89999999999998</v>
      </c>
      <c r="H9" s="6">
        <v>164.41333333333333</v>
      </c>
    </row>
    <row r="21" spans="3:10">
      <c r="C21" t="s">
        <v>59</v>
      </c>
      <c r="D21" t="s">
        <v>96</v>
      </c>
      <c r="E21" t="s">
        <v>88</v>
      </c>
      <c r="F21" t="s">
        <v>99</v>
      </c>
      <c r="G21" t="s">
        <v>97</v>
      </c>
      <c r="H21" t="s">
        <v>166</v>
      </c>
      <c r="I21" t="s">
        <v>69</v>
      </c>
      <c r="J21" t="s">
        <v>73</v>
      </c>
    </row>
    <row r="22" spans="3:10">
      <c r="C22" t="s">
        <v>46</v>
      </c>
      <c r="D22">
        <v>162.16944444444445</v>
      </c>
      <c r="E22">
        <v>149.53333333333333</v>
      </c>
      <c r="F22">
        <v>143.73333333333332</v>
      </c>
      <c r="G22">
        <v>149.6</v>
      </c>
      <c r="H22">
        <v>158.4</v>
      </c>
      <c r="I22">
        <v>157.60000000000002</v>
      </c>
      <c r="J22">
        <v>140.86666666666667</v>
      </c>
    </row>
    <row r="23" spans="3:10">
      <c r="C23" t="s">
        <v>31</v>
      </c>
      <c r="D23">
        <v>159.86666666666665</v>
      </c>
      <c r="E23">
        <v>149.86666666666667</v>
      </c>
      <c r="F23">
        <v>147.23333333333335</v>
      </c>
      <c r="G23">
        <v>150.21666666666667</v>
      </c>
      <c r="H23">
        <v>157.69999999999999</v>
      </c>
      <c r="I23">
        <v>158.63333333333333</v>
      </c>
      <c r="J23">
        <v>142.1</v>
      </c>
    </row>
    <row r="24" spans="3:10">
      <c r="C24" t="s">
        <v>35</v>
      </c>
      <c r="D24">
        <v>157.17222222222222</v>
      </c>
      <c r="E24">
        <v>150.73333333333332</v>
      </c>
      <c r="F24">
        <v>151.96666666666667</v>
      </c>
      <c r="G24">
        <v>151.66666666666666</v>
      </c>
      <c r="H24">
        <v>159.80000000000001</v>
      </c>
      <c r="I24">
        <v>160.63333333333335</v>
      </c>
      <c r="J24">
        <v>145.26666666666668</v>
      </c>
    </row>
    <row r="25" spans="3:10">
      <c r="C25" t="s">
        <v>36</v>
      </c>
      <c r="D25">
        <v>157.16666666666666</v>
      </c>
      <c r="E25">
        <v>151.06666666666666</v>
      </c>
      <c r="F25">
        <v>155.43333333333334</v>
      </c>
      <c r="G25">
        <v>152.25</v>
      </c>
      <c r="H25">
        <v>159.9</v>
      </c>
      <c r="I25">
        <v>161.06666666666669</v>
      </c>
      <c r="J25">
        <v>146.4</v>
      </c>
    </row>
    <row r="26" spans="3:10">
      <c r="C26" t="s">
        <v>37</v>
      </c>
      <c r="D26">
        <v>159.10000000000002</v>
      </c>
      <c r="E26">
        <v>151.63333333333333</v>
      </c>
      <c r="F26">
        <v>155.5</v>
      </c>
      <c r="G26">
        <v>153.04999999999998</v>
      </c>
      <c r="H26">
        <v>161.4</v>
      </c>
      <c r="I26">
        <v>161.70000000000002</v>
      </c>
      <c r="J26">
        <v>146.79999999999998</v>
      </c>
    </row>
    <row r="27" spans="3:10">
      <c r="C27" t="s">
        <v>38</v>
      </c>
      <c r="D27">
        <v>162.28055555555557</v>
      </c>
      <c r="E27">
        <v>154.53333333333333</v>
      </c>
      <c r="F27">
        <v>158.86666666666665</v>
      </c>
      <c r="G27">
        <v>156.08333333333331</v>
      </c>
      <c r="H27">
        <v>161.6</v>
      </c>
      <c r="I27">
        <v>165.10000000000002</v>
      </c>
      <c r="J27">
        <v>149.03333333333333</v>
      </c>
    </row>
    <row r="28" spans="3:10">
      <c r="C28" t="s">
        <v>39</v>
      </c>
      <c r="D28">
        <v>164.48333333333332</v>
      </c>
      <c r="E28">
        <v>154.6</v>
      </c>
      <c r="F28">
        <v>159.33333333333334</v>
      </c>
      <c r="G28">
        <v>156.16666666666666</v>
      </c>
      <c r="H28">
        <v>160.5</v>
      </c>
      <c r="I28">
        <v>165.6</v>
      </c>
      <c r="J28">
        <v>150.79999999999998</v>
      </c>
    </row>
    <row r="29" spans="3:10">
      <c r="C29" t="s">
        <v>40</v>
      </c>
      <c r="D29">
        <v>165.48888888888891</v>
      </c>
      <c r="E29">
        <v>155.6</v>
      </c>
      <c r="F29">
        <v>160.29999999999998</v>
      </c>
      <c r="G29">
        <v>157.13333333333335</v>
      </c>
      <c r="H29">
        <v>161.5</v>
      </c>
      <c r="I29">
        <v>166.29999999999998</v>
      </c>
      <c r="J29">
        <v>153.23333333333335</v>
      </c>
    </row>
    <row r="30" spans="3:10">
      <c r="C30" t="s">
        <v>41</v>
      </c>
      <c r="D30">
        <v>164.93333333333337</v>
      </c>
      <c r="E30">
        <v>157.20000000000002</v>
      </c>
      <c r="F30">
        <v>162.13333333333333</v>
      </c>
      <c r="G30">
        <v>158.80000000000001</v>
      </c>
      <c r="H30">
        <v>162.1</v>
      </c>
      <c r="I30">
        <v>167.43333333333337</v>
      </c>
      <c r="J30">
        <v>154.03333333333333</v>
      </c>
    </row>
    <row r="31" spans="3:10">
      <c r="C31" t="s">
        <v>42</v>
      </c>
      <c r="D31">
        <v>165.00277777777777</v>
      </c>
      <c r="E31">
        <v>157.36666666666667</v>
      </c>
      <c r="F31">
        <v>162.36666666666665</v>
      </c>
      <c r="G31">
        <v>159.1</v>
      </c>
      <c r="H31">
        <v>162.1</v>
      </c>
      <c r="I31">
        <v>167.70000000000002</v>
      </c>
      <c r="J31">
        <v>154.1</v>
      </c>
    </row>
    <row r="32" spans="3:10">
      <c r="C32" t="s">
        <v>43</v>
      </c>
      <c r="D32">
        <v>167.59444444444443</v>
      </c>
      <c r="E32">
        <v>158.23333333333335</v>
      </c>
      <c r="F32">
        <v>163.96666666666667</v>
      </c>
      <c r="G32">
        <v>160.15</v>
      </c>
      <c r="H32">
        <v>163.6</v>
      </c>
      <c r="I32">
        <v>168.36666666666667</v>
      </c>
      <c r="J32">
        <v>155.79999999999998</v>
      </c>
    </row>
    <row r="33" spans="3:10">
      <c r="C33" t="s">
        <v>45</v>
      </c>
      <c r="D33">
        <v>168.98055555555553</v>
      </c>
      <c r="E33">
        <v>159.13333333333333</v>
      </c>
      <c r="F33">
        <v>163.6</v>
      </c>
      <c r="G33">
        <v>161.43333333333334</v>
      </c>
      <c r="H33">
        <v>164.2</v>
      </c>
      <c r="I33">
        <v>169.16666666666666</v>
      </c>
      <c r="J33">
        <v>154.96666666666667</v>
      </c>
    </row>
    <row r="34" spans="3:10">
      <c r="C34" t="s">
        <v>46</v>
      </c>
      <c r="D34">
        <v>168.03333333333333</v>
      </c>
      <c r="E34">
        <v>160.03333333333333</v>
      </c>
      <c r="F34">
        <v>163.79999999999998</v>
      </c>
      <c r="G34">
        <v>162.71666666666667</v>
      </c>
      <c r="H34">
        <v>163.4</v>
      </c>
      <c r="I34">
        <v>169.9</v>
      </c>
      <c r="J34">
        <v>155.86666666666667</v>
      </c>
    </row>
    <row r="35" spans="3:10">
      <c r="C35" t="s">
        <v>31</v>
      </c>
      <c r="D35">
        <v>166.75277777777777</v>
      </c>
      <c r="E35">
        <v>160.93333333333331</v>
      </c>
      <c r="F35">
        <v>163.86666666666665</v>
      </c>
      <c r="G35">
        <v>164.38333333333333</v>
      </c>
      <c r="H35">
        <v>164.5</v>
      </c>
      <c r="I35">
        <v>170.73333333333335</v>
      </c>
      <c r="J35">
        <v>156.66666666666666</v>
      </c>
    </row>
    <row r="36" spans="3:10">
      <c r="C36" t="s">
        <v>35</v>
      </c>
      <c r="D36">
        <v>166.52222222222224</v>
      </c>
      <c r="E36">
        <v>161.63333333333335</v>
      </c>
      <c r="F36">
        <v>165.36666666666667</v>
      </c>
      <c r="G36">
        <v>165.73333333333335</v>
      </c>
      <c r="H36">
        <v>165.5</v>
      </c>
      <c r="I36">
        <v>171.56666666666669</v>
      </c>
      <c r="J36">
        <v>157.06666666666666</v>
      </c>
    </row>
    <row r="37" spans="3:10">
      <c r="C37" t="s">
        <v>36</v>
      </c>
      <c r="D37">
        <v>168.14166666666668</v>
      </c>
      <c r="E37">
        <v>162.63333333333333</v>
      </c>
      <c r="F37">
        <v>166.86666666666667</v>
      </c>
      <c r="G37">
        <v>167.5</v>
      </c>
      <c r="H37">
        <v>165.3</v>
      </c>
      <c r="I37">
        <v>172.4</v>
      </c>
      <c r="J37">
        <v>158.03333333333333</v>
      </c>
    </row>
    <row r="38" spans="3:10">
      <c r="C38" t="s">
        <v>37</v>
      </c>
      <c r="D38">
        <v>170.48333333333335</v>
      </c>
      <c r="E38">
        <v>163.83333333333334</v>
      </c>
      <c r="F38">
        <v>172</v>
      </c>
      <c r="G38">
        <v>169.31666666666666</v>
      </c>
      <c r="H38">
        <v>167</v>
      </c>
      <c r="I38">
        <v>173.33333333333334</v>
      </c>
      <c r="J38">
        <v>162.69999999999999</v>
      </c>
    </row>
    <row r="39" spans="3:10">
      <c r="C39" t="s">
        <v>38</v>
      </c>
      <c r="D39">
        <v>172.39722222222224</v>
      </c>
      <c r="E39">
        <v>165.06666666666663</v>
      </c>
      <c r="F39">
        <v>174.4666666666667</v>
      </c>
      <c r="G39">
        <v>171.06666666666669</v>
      </c>
      <c r="H39">
        <v>167.5</v>
      </c>
      <c r="I39">
        <v>174.19999999999996</v>
      </c>
      <c r="J39">
        <v>163.16666666666666</v>
      </c>
    </row>
    <row r="40" spans="3:10">
      <c r="C40" t="s">
        <v>39</v>
      </c>
      <c r="D40">
        <v>174.19722222222222</v>
      </c>
      <c r="E40">
        <v>166.26666666666668</v>
      </c>
      <c r="F40">
        <v>175.86666666666665</v>
      </c>
      <c r="G40">
        <v>172.56666666666669</v>
      </c>
      <c r="H40">
        <v>166.8</v>
      </c>
      <c r="I40">
        <v>174.83333333333334</v>
      </c>
      <c r="J40">
        <v>161.26666666666665</v>
      </c>
    </row>
    <row r="41" spans="3:10">
      <c r="C41" t="s">
        <v>40</v>
      </c>
      <c r="D41">
        <v>174.54166666666666</v>
      </c>
      <c r="E41">
        <v>167.26666666666668</v>
      </c>
      <c r="F41">
        <v>179.56666666666669</v>
      </c>
      <c r="G41">
        <v>173.88333333333333</v>
      </c>
      <c r="H41">
        <v>167.8</v>
      </c>
      <c r="I41">
        <v>175.5333333333333</v>
      </c>
      <c r="J41">
        <v>161.76666666666668</v>
      </c>
    </row>
    <row r="42" spans="3:10">
      <c r="C42" t="s">
        <v>41</v>
      </c>
      <c r="D42">
        <v>174.66944444444445</v>
      </c>
      <c r="E42">
        <v>168.33333333333334</v>
      </c>
      <c r="F42">
        <v>178.76666666666668</v>
      </c>
      <c r="G42">
        <v>175.13333333333333</v>
      </c>
      <c r="H42">
        <v>169</v>
      </c>
      <c r="I42">
        <v>176.26666666666665</v>
      </c>
      <c r="J42">
        <v>162.06666666666669</v>
      </c>
    </row>
    <row r="43" spans="3:10">
      <c r="C43" t="s">
        <v>42</v>
      </c>
      <c r="D43">
        <v>175.55555555555554</v>
      </c>
      <c r="E43">
        <v>169.36666666666667</v>
      </c>
      <c r="F43">
        <v>179.46666666666667</v>
      </c>
      <c r="G43">
        <v>176.65</v>
      </c>
      <c r="H43">
        <v>169.5</v>
      </c>
      <c r="I43">
        <v>177.26666666666665</v>
      </c>
      <c r="J43">
        <v>162.46666666666667</v>
      </c>
    </row>
    <row r="44" spans="3:10">
      <c r="C44" t="s">
        <v>43</v>
      </c>
      <c r="D44">
        <v>176.77222222222224</v>
      </c>
      <c r="E44">
        <v>170.26666666666665</v>
      </c>
      <c r="F44">
        <v>180.43333333333331</v>
      </c>
      <c r="G44">
        <v>177.63333333333335</v>
      </c>
      <c r="H44">
        <v>171.2</v>
      </c>
      <c r="I44">
        <v>178.19999999999996</v>
      </c>
      <c r="J44">
        <v>163.03333333333333</v>
      </c>
    </row>
    <row r="45" spans="3:10">
      <c r="C45" t="s">
        <v>45</v>
      </c>
      <c r="D45">
        <v>176.74166666666665</v>
      </c>
      <c r="E45">
        <v>171.26666666666665</v>
      </c>
      <c r="F45">
        <v>181.16666666666666</v>
      </c>
      <c r="G45">
        <v>178.65</v>
      </c>
      <c r="H45">
        <v>171.8</v>
      </c>
      <c r="I45">
        <v>179.30000000000004</v>
      </c>
      <c r="J45">
        <v>163.13333333333333</v>
      </c>
    </row>
    <row r="46" spans="3:10">
      <c r="C46" t="s">
        <v>46</v>
      </c>
      <c r="D46">
        <v>175.76111111111109</v>
      </c>
      <c r="E46">
        <v>171.93333333333331</v>
      </c>
      <c r="F46">
        <v>181.80000000000004</v>
      </c>
      <c r="G46">
        <v>179.53333333333333</v>
      </c>
      <c r="H46">
        <v>170.7</v>
      </c>
      <c r="I46">
        <v>180.6</v>
      </c>
      <c r="J46">
        <v>163.53333333333333</v>
      </c>
    </row>
    <row r="47" spans="3:10">
      <c r="C47" t="s">
        <v>31</v>
      </c>
      <c r="D47">
        <v>176.52500000000001</v>
      </c>
      <c r="E47">
        <v>172.69999999999996</v>
      </c>
      <c r="F47">
        <v>181.76666666666665</v>
      </c>
      <c r="G47">
        <v>180.29999999999998</v>
      </c>
      <c r="H47">
        <v>172.1</v>
      </c>
      <c r="I47">
        <v>181.83333333333334</v>
      </c>
      <c r="J47">
        <v>163.76666666666668</v>
      </c>
    </row>
    <row r="48" spans="3:10">
      <c r="C48" t="s">
        <v>35</v>
      </c>
      <c r="D48">
        <v>175.43055555555554</v>
      </c>
      <c r="E48">
        <v>174</v>
      </c>
      <c r="F48">
        <v>182.16666666666666</v>
      </c>
      <c r="G48">
        <v>181.53333333333333</v>
      </c>
      <c r="H48">
        <v>173.5</v>
      </c>
      <c r="I48">
        <v>183.93333333333337</v>
      </c>
      <c r="J48">
        <v>164.33333333333334</v>
      </c>
    </row>
    <row r="49" spans="3:10">
      <c r="C49" t="s">
        <v>36</v>
      </c>
      <c r="D49">
        <v>175.43888888888887</v>
      </c>
      <c r="E49">
        <v>174</v>
      </c>
      <c r="F49">
        <v>181.96666666666667</v>
      </c>
      <c r="G49">
        <v>181.5</v>
      </c>
      <c r="H49">
        <v>173.5</v>
      </c>
      <c r="I49">
        <v>183.93333333333337</v>
      </c>
      <c r="J49">
        <v>164.33333333333334</v>
      </c>
    </row>
    <row r="50" spans="3:10">
      <c r="C50" t="s">
        <v>37</v>
      </c>
      <c r="D50">
        <v>176.2777777777778</v>
      </c>
      <c r="E50">
        <v>174.43333333333331</v>
      </c>
      <c r="F50">
        <v>181.76666666666665</v>
      </c>
      <c r="G50">
        <v>182.13333333333333</v>
      </c>
      <c r="H50">
        <v>175.2</v>
      </c>
      <c r="I50">
        <v>184.56666666666669</v>
      </c>
      <c r="J50">
        <v>164.66666666666666</v>
      </c>
    </row>
    <row r="51" spans="3:10">
      <c r="C51" t="s">
        <v>38</v>
      </c>
      <c r="D51">
        <v>177.60277777777779</v>
      </c>
      <c r="E51">
        <v>175.0333333333333</v>
      </c>
      <c r="F51">
        <v>182.9</v>
      </c>
      <c r="G51">
        <v>182.58333333333334</v>
      </c>
      <c r="H51">
        <v>175.6</v>
      </c>
      <c r="I51">
        <v>185.23333333333335</v>
      </c>
      <c r="J51">
        <v>164.96666666666667</v>
      </c>
    </row>
  </sheetData>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3723-6DD1-400A-BD87-5BABB13C0F32}">
  <dimension ref="A1:AD3"/>
  <sheetViews>
    <sheetView topLeftCell="U1" workbookViewId="0">
      <selection activeCell="W6" sqref="W6"/>
    </sheetView>
  </sheetViews>
  <sheetFormatPr defaultRowHeight="15"/>
  <cols>
    <col min="1" max="1" width="6.5703125" bestFit="1" customWidth="1"/>
    <col min="2" max="2" width="5" bestFit="1" customWidth="1"/>
    <col min="3" max="3" width="6.85546875" bestFit="1" customWidth="1"/>
    <col min="4" max="4" width="19.7109375" bestFit="1" customWidth="1"/>
    <col min="5" max="5" width="13.140625" bestFit="1" customWidth="1"/>
    <col min="6" max="6" width="6" bestFit="1" customWidth="1"/>
    <col min="7" max="7" width="16.85546875" bestFit="1" customWidth="1"/>
    <col min="8" max="8" width="11.85546875" bestFit="1" customWidth="1"/>
    <col min="9" max="9" width="6" bestFit="1" customWidth="1"/>
    <col min="10" max="10" width="11" bestFit="1" customWidth="1"/>
    <col min="11" max="11" width="18.85546875" bestFit="1" customWidth="1"/>
    <col min="12" max="12" width="23" bestFit="1" customWidth="1"/>
    <col min="13" max="13" width="7" bestFit="1" customWidth="1"/>
    <col min="14" max="14" width="23.28515625" bestFit="1" customWidth="1"/>
    <col min="15" max="15" width="33.28515625" bestFit="1" customWidth="1"/>
    <col min="16" max="16" width="19" bestFit="1" customWidth="1"/>
    <col min="17" max="17" width="26.5703125" bestFit="1" customWidth="1"/>
    <col min="18" max="18" width="8.42578125" bestFit="1" customWidth="1"/>
    <col min="19" max="19" width="9.42578125" bestFit="1" customWidth="1"/>
    <col min="20" max="20" width="21" bestFit="1" customWidth="1"/>
    <col min="21" max="21" width="8.140625" bestFit="1" customWidth="1"/>
    <col min="22" max="22" width="13.140625" bestFit="1" customWidth="1"/>
    <col min="23" max="23" width="28.140625" bestFit="1" customWidth="1"/>
    <col min="24" max="24" width="6.85546875" bestFit="1" customWidth="1"/>
    <col min="25" max="25" width="27.85546875" bestFit="1" customWidth="1"/>
    <col min="26" max="26" width="25.85546875" bestFit="1" customWidth="1"/>
    <col min="27" max="27" width="9.7109375" bestFit="1" customWidth="1"/>
    <col min="28" max="28" width="23.5703125" bestFit="1" customWidth="1"/>
    <col min="29" max="29" width="13.85546875" bestFit="1" customWidth="1"/>
    <col min="30" max="30" width="13.5703125" bestFit="1" customWidth="1"/>
  </cols>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33</v>
      </c>
      <c r="B2">
        <v>2020</v>
      </c>
      <c r="C2" t="s">
        <v>37</v>
      </c>
      <c r="D2">
        <v>151.80000000000001</v>
      </c>
      <c r="E2">
        <v>167.55</v>
      </c>
      <c r="F2">
        <v>151.9</v>
      </c>
      <c r="G2">
        <v>155.5</v>
      </c>
      <c r="H2">
        <v>131.6</v>
      </c>
      <c r="I2">
        <v>152.9</v>
      </c>
      <c r="J2">
        <v>180</v>
      </c>
      <c r="K2">
        <v>150.80000000000001</v>
      </c>
      <c r="L2">
        <v>121.2</v>
      </c>
      <c r="M2">
        <v>154</v>
      </c>
      <c r="N2">
        <v>133.5</v>
      </c>
      <c r="O2">
        <v>159.05000000000001</v>
      </c>
      <c r="P2">
        <v>153.5</v>
      </c>
      <c r="Q2">
        <v>172.65</v>
      </c>
      <c r="R2">
        <v>147.5</v>
      </c>
      <c r="S2">
        <v>133.65</v>
      </c>
      <c r="T2">
        <v>145.4</v>
      </c>
      <c r="U2">
        <v>155.6</v>
      </c>
      <c r="V2">
        <v>137.1</v>
      </c>
      <c r="W2">
        <v>140.6</v>
      </c>
      <c r="X2">
        <v>144.80000000000001</v>
      </c>
      <c r="Y2">
        <v>124.9</v>
      </c>
      <c r="Z2">
        <v>137.80000000000001</v>
      </c>
      <c r="AA2">
        <v>152.35</v>
      </c>
      <c r="AB2">
        <v>144.4</v>
      </c>
      <c r="AC2">
        <v>138.55000000000001</v>
      </c>
      <c r="AD2">
        <v>147.5</v>
      </c>
    </row>
    <row r="3" spans="1:30">
      <c r="A3" t="s">
        <v>33</v>
      </c>
      <c r="B3">
        <v>2020</v>
      </c>
      <c r="C3" t="s">
        <v>38</v>
      </c>
      <c r="D3">
        <v>149.15</v>
      </c>
      <c r="E3">
        <v>167.5</v>
      </c>
      <c r="F3">
        <v>150.4</v>
      </c>
      <c r="G3">
        <v>153.30000000000001</v>
      </c>
      <c r="H3">
        <v>129.55000000000001</v>
      </c>
      <c r="I3">
        <v>148.10000000000002</v>
      </c>
      <c r="J3">
        <v>173.5</v>
      </c>
      <c r="K3">
        <v>145.25</v>
      </c>
      <c r="L3">
        <v>117.80000000000001</v>
      </c>
      <c r="M3">
        <v>152.75</v>
      </c>
      <c r="N3">
        <v>132.69999999999999</v>
      </c>
      <c r="O3">
        <v>159.1</v>
      </c>
      <c r="P3">
        <v>151.80000000000001</v>
      </c>
      <c r="Q3">
        <v>173.3</v>
      </c>
      <c r="R3">
        <v>147.69999999999999</v>
      </c>
      <c r="S3">
        <v>133.80000000000001</v>
      </c>
      <c r="T3">
        <v>145.6</v>
      </c>
      <c r="U3">
        <v>155.05000000000001</v>
      </c>
      <c r="V3">
        <v>139.25</v>
      </c>
      <c r="W3">
        <v>140.80000000000001</v>
      </c>
      <c r="X3">
        <v>144.9</v>
      </c>
      <c r="Y3">
        <v>124.6</v>
      </c>
      <c r="Z3">
        <v>137.9</v>
      </c>
      <c r="AA3">
        <v>152.5</v>
      </c>
      <c r="AB3">
        <v>145.30000000000001</v>
      </c>
      <c r="AC3">
        <v>138.69999999999999</v>
      </c>
      <c r="AD3">
        <v>147.30000000000001</v>
      </c>
    </row>
  </sheetData>
  <conditionalFormatting sqref="A1:XFD3">
    <cfRule type="containsText" dxfId="4" priority="1" operator="containsText" text="NA">
      <formula>NOT(ISERROR(SEARCH("NA",A1)))</formula>
    </cfRule>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575B8-FF61-4880-A764-71D6A87F282B}">
  <sheetPr filterMode="1"/>
  <dimension ref="A1:CK254"/>
  <sheetViews>
    <sheetView topLeftCell="AX35" workbookViewId="0">
      <selection activeCell="BC256" sqref="BC256"/>
    </sheetView>
  </sheetViews>
  <sheetFormatPr defaultRowHeight="15"/>
  <cols>
    <col min="4" max="4" width="19.7109375" bestFit="1" customWidth="1"/>
    <col min="6" max="6" width="13.140625" bestFit="1" customWidth="1"/>
    <col min="8" max="8" width="6" bestFit="1" customWidth="1"/>
    <col min="10" max="10" width="16.85546875" bestFit="1" customWidth="1"/>
    <col min="12" max="12" width="11.85546875" bestFit="1" customWidth="1"/>
    <col min="14" max="14" width="6" bestFit="1" customWidth="1"/>
    <col min="16" max="16" width="11" bestFit="1" customWidth="1"/>
    <col min="18" max="18" width="18.85546875" bestFit="1" customWidth="1"/>
    <col min="20" max="20" width="23" bestFit="1" customWidth="1"/>
    <col min="24" max="24" width="23.28515625" bestFit="1" customWidth="1"/>
    <col min="26" max="26" width="33.28515625" bestFit="1" customWidth="1"/>
    <col min="28" max="28" width="19" bestFit="1" customWidth="1"/>
    <col min="30" max="30" width="26.5703125" bestFit="1" customWidth="1"/>
    <col min="36" max="36" width="21" bestFit="1" customWidth="1"/>
    <col min="40" max="40" width="13.140625" bestFit="1" customWidth="1"/>
    <col min="42" max="42" width="28.140625" bestFit="1" customWidth="1"/>
    <col min="44" max="44" width="6.85546875" bestFit="1" customWidth="1"/>
    <col min="46" max="46" width="27.85546875" bestFit="1" customWidth="1"/>
    <col min="48" max="48" width="25.85546875" bestFit="1" customWidth="1"/>
    <col min="50" max="50" width="9.7109375" bestFit="1" customWidth="1"/>
    <col min="52" max="52" width="23.5703125" bestFit="1" customWidth="1"/>
    <col min="54" max="54" width="13.85546875" bestFit="1" customWidth="1"/>
    <col min="56" max="56" width="13.5703125" bestFit="1" customWidth="1"/>
    <col min="61" max="61" width="11.85546875" bestFit="1" customWidth="1"/>
    <col min="62" max="62" width="5" bestFit="1" customWidth="1"/>
    <col min="63" max="63" width="6.85546875" bestFit="1" customWidth="1"/>
    <col min="64" max="64" width="19.7109375" bestFit="1" customWidth="1"/>
    <col min="65" max="66" width="12" bestFit="1" customWidth="1"/>
    <col min="67" max="67" width="16.85546875" bestFit="1" customWidth="1"/>
    <col min="68" max="69" width="12" bestFit="1" customWidth="1"/>
    <col min="70" max="70" width="11" bestFit="1" customWidth="1"/>
    <col min="71" max="71" width="18.85546875" bestFit="1" customWidth="1"/>
    <col min="72" max="72" width="23" bestFit="1" customWidth="1"/>
    <col min="73" max="73" width="12" bestFit="1" customWidth="1"/>
    <col min="74" max="74" width="23.28515625" bestFit="1" customWidth="1"/>
    <col min="75" max="75" width="19" bestFit="1" customWidth="1"/>
    <col min="76" max="76" width="26.5703125" bestFit="1" customWidth="1"/>
    <col min="77" max="77" width="7" bestFit="1" customWidth="1"/>
    <col min="78" max="78" width="9.42578125" bestFit="1" customWidth="1"/>
    <col min="79" max="79" width="21" bestFit="1" customWidth="1"/>
    <col min="80" max="80" width="8.140625" bestFit="1" customWidth="1"/>
    <col min="81" max="81" width="13.140625" bestFit="1" customWidth="1"/>
    <col min="82" max="82" width="28.140625" bestFit="1" customWidth="1"/>
    <col min="84" max="84" width="27.85546875" bestFit="1" customWidth="1"/>
    <col min="85" max="85" width="25.85546875" bestFit="1" customWidth="1"/>
    <col min="87" max="87" width="23.5703125" bestFit="1" customWidth="1"/>
    <col min="88" max="88" width="13.85546875" bestFit="1" customWidth="1"/>
    <col min="89" max="89" width="13.5703125" bestFit="1" customWidth="1"/>
  </cols>
  <sheetData>
    <row r="1" spans="1:89">
      <c r="A1" t="s">
        <v>0</v>
      </c>
      <c r="B1" t="s">
        <v>1</v>
      </c>
      <c r="C1" t="s">
        <v>2</v>
      </c>
      <c r="D1" t="s">
        <v>3</v>
      </c>
      <c r="F1" t="s">
        <v>4</v>
      </c>
      <c r="H1" t="s">
        <v>5</v>
      </c>
      <c r="J1" t="s">
        <v>6</v>
      </c>
      <c r="L1" t="s">
        <v>7</v>
      </c>
      <c r="N1" t="s">
        <v>8</v>
      </c>
      <c r="P1" t="s">
        <v>9</v>
      </c>
      <c r="R1" t="s">
        <v>10</v>
      </c>
      <c r="T1" t="s">
        <v>11</v>
      </c>
      <c r="V1" t="s">
        <v>12</v>
      </c>
      <c r="X1" t="s">
        <v>13</v>
      </c>
      <c r="Z1" t="s">
        <v>14</v>
      </c>
      <c r="AB1" t="s">
        <v>15</v>
      </c>
      <c r="AD1" t="s">
        <v>16</v>
      </c>
      <c r="AF1" t="s">
        <v>17</v>
      </c>
      <c r="AH1" t="s">
        <v>18</v>
      </c>
      <c r="AJ1" t="s">
        <v>19</v>
      </c>
      <c r="AL1" t="s">
        <v>20</v>
      </c>
      <c r="AN1" t="s">
        <v>21</v>
      </c>
      <c r="AP1" t="s">
        <v>22</v>
      </c>
      <c r="AR1" t="s">
        <v>23</v>
      </c>
      <c r="AT1" t="s">
        <v>24</v>
      </c>
      <c r="AV1" t="s">
        <v>25</v>
      </c>
      <c r="AX1" t="s">
        <v>26</v>
      </c>
      <c r="AZ1" t="s">
        <v>27</v>
      </c>
      <c r="BB1" t="s">
        <v>28</v>
      </c>
      <c r="BD1" t="s">
        <v>29</v>
      </c>
      <c r="BI1" t="s">
        <v>0</v>
      </c>
      <c r="BJ1" t="s">
        <v>1</v>
      </c>
      <c r="BK1" t="s">
        <v>2</v>
      </c>
      <c r="BL1" t="s">
        <v>3</v>
      </c>
      <c r="BM1" t="s">
        <v>4</v>
      </c>
      <c r="BN1" t="s">
        <v>5</v>
      </c>
      <c r="BO1" t="s">
        <v>6</v>
      </c>
      <c r="BP1" t="s">
        <v>7</v>
      </c>
      <c r="BQ1" t="s">
        <v>8</v>
      </c>
      <c r="BR1" t="s">
        <v>9</v>
      </c>
      <c r="BS1" t="s">
        <v>10</v>
      </c>
      <c r="BT1" t="s">
        <v>11</v>
      </c>
      <c r="BU1" t="s">
        <v>12</v>
      </c>
      <c r="BV1" t="s">
        <v>13</v>
      </c>
      <c r="BW1" t="s">
        <v>15</v>
      </c>
      <c r="BX1" t="s">
        <v>16</v>
      </c>
      <c r="BY1" t="s">
        <v>17</v>
      </c>
      <c r="BZ1" t="s">
        <v>18</v>
      </c>
      <c r="CA1" t="s">
        <v>19</v>
      </c>
      <c r="CB1" t="s">
        <v>20</v>
      </c>
      <c r="CC1" t="s">
        <v>21</v>
      </c>
      <c r="CD1" t="s">
        <v>22</v>
      </c>
      <c r="CE1" t="s">
        <v>23</v>
      </c>
      <c r="CF1" t="s">
        <v>24</v>
      </c>
      <c r="CG1" t="s">
        <v>25</v>
      </c>
      <c r="CH1" t="s">
        <v>26</v>
      </c>
      <c r="CI1" t="s">
        <v>27</v>
      </c>
      <c r="CJ1" t="s">
        <v>28</v>
      </c>
      <c r="CK1" t="s">
        <v>29</v>
      </c>
    </row>
    <row r="2" spans="1:89">
      <c r="A2" t="s">
        <v>30</v>
      </c>
      <c r="B2">
        <v>2013</v>
      </c>
      <c r="C2" t="s">
        <v>31</v>
      </c>
      <c r="D2">
        <v>107.5</v>
      </c>
      <c r="F2">
        <v>106.3</v>
      </c>
      <c r="H2">
        <v>108.1</v>
      </c>
      <c r="J2">
        <v>104.9</v>
      </c>
      <c r="L2">
        <v>106.1</v>
      </c>
      <c r="N2">
        <v>103.9</v>
      </c>
      <c r="P2">
        <v>101.9</v>
      </c>
      <c r="R2">
        <v>106.1</v>
      </c>
      <c r="T2">
        <v>106.8</v>
      </c>
      <c r="V2">
        <v>103.1</v>
      </c>
      <c r="X2">
        <v>104.8</v>
      </c>
      <c r="Z2">
        <v>106.7</v>
      </c>
      <c r="AB2">
        <v>105.5</v>
      </c>
      <c r="AD2">
        <v>105.1</v>
      </c>
      <c r="AF2">
        <v>106.5</v>
      </c>
      <c r="AH2">
        <v>105.8</v>
      </c>
      <c r="AJ2">
        <v>106.4</v>
      </c>
      <c r="AL2" t="s">
        <v>32</v>
      </c>
      <c r="AN2">
        <v>105.5</v>
      </c>
      <c r="AP2">
        <v>104.8</v>
      </c>
      <c r="AR2">
        <v>104</v>
      </c>
      <c r="AT2">
        <v>103.3</v>
      </c>
      <c r="AV2">
        <v>103.4</v>
      </c>
      <c r="AX2">
        <v>103.8</v>
      </c>
      <c r="AZ2">
        <v>104.7</v>
      </c>
      <c r="BB2">
        <v>104</v>
      </c>
      <c r="BD2">
        <v>105.1</v>
      </c>
    </row>
    <row r="3" spans="1:89">
      <c r="A3" t="s">
        <v>30</v>
      </c>
      <c r="B3">
        <v>2013</v>
      </c>
      <c r="C3" t="s">
        <v>35</v>
      </c>
      <c r="D3">
        <v>109.2</v>
      </c>
      <c r="F3">
        <v>108.7</v>
      </c>
      <c r="H3">
        <v>110.2</v>
      </c>
      <c r="J3">
        <v>105.4</v>
      </c>
      <c r="L3">
        <v>106.7</v>
      </c>
      <c r="N3">
        <v>104</v>
      </c>
      <c r="P3">
        <v>102.4</v>
      </c>
      <c r="R3">
        <v>105.9</v>
      </c>
      <c r="T3">
        <v>105.7</v>
      </c>
      <c r="V3">
        <v>103.1</v>
      </c>
      <c r="X3">
        <v>105.1</v>
      </c>
      <c r="Z3">
        <v>107.7</v>
      </c>
      <c r="AB3">
        <v>106.3</v>
      </c>
      <c r="AD3">
        <v>105.6</v>
      </c>
      <c r="AF3">
        <v>107.1</v>
      </c>
      <c r="AH3">
        <v>106.3</v>
      </c>
      <c r="AJ3">
        <v>107</v>
      </c>
      <c r="AL3" t="s">
        <v>32</v>
      </c>
      <c r="AN3">
        <v>106.2</v>
      </c>
      <c r="AP3">
        <v>105.2</v>
      </c>
      <c r="AR3">
        <v>104.4</v>
      </c>
      <c r="AT3">
        <v>103.9</v>
      </c>
      <c r="AV3">
        <v>104</v>
      </c>
      <c r="AX3">
        <v>104.1</v>
      </c>
      <c r="AZ3">
        <v>104.6</v>
      </c>
      <c r="BB3">
        <v>104.4</v>
      </c>
      <c r="BD3">
        <v>105.8</v>
      </c>
      <c r="BI3" t="s">
        <v>30</v>
      </c>
      <c r="BJ3">
        <v>2020</v>
      </c>
      <c r="BK3" t="s">
        <v>37</v>
      </c>
      <c r="BL3">
        <v>147.19999999999999</v>
      </c>
      <c r="BM3">
        <v>167.15</v>
      </c>
      <c r="BN3">
        <v>146.9</v>
      </c>
      <c r="BO3">
        <v>155.6</v>
      </c>
      <c r="BP3">
        <v>137.1</v>
      </c>
      <c r="BQ3">
        <v>147.30000000000001</v>
      </c>
      <c r="BR3">
        <v>162.69999999999999</v>
      </c>
      <c r="BS3">
        <v>150.19999999999999</v>
      </c>
      <c r="BT3">
        <v>119.8</v>
      </c>
      <c r="BU3">
        <v>158.69999999999999</v>
      </c>
      <c r="BV3">
        <v>139.19999999999999</v>
      </c>
      <c r="BW3">
        <v>150.1</v>
      </c>
      <c r="BX3">
        <v>169.95</v>
      </c>
      <c r="BY3">
        <v>153.19999999999999</v>
      </c>
      <c r="BZ3">
        <v>147.55000000000001</v>
      </c>
      <c r="CA3">
        <v>152</v>
      </c>
      <c r="CB3" t="s">
        <v>32</v>
      </c>
      <c r="CC3">
        <v>148.4</v>
      </c>
      <c r="CD3">
        <v>151.65</v>
      </c>
      <c r="CE3">
        <v>154.30000000000001</v>
      </c>
      <c r="CF3">
        <v>135.9</v>
      </c>
      <c r="CG3">
        <v>150.80000000000001</v>
      </c>
      <c r="CH3">
        <v>161.55000000000001</v>
      </c>
      <c r="CI3">
        <v>144.25</v>
      </c>
      <c r="CJ3">
        <v>148.5</v>
      </c>
      <c r="CK3">
        <v>150.1</v>
      </c>
    </row>
    <row r="4" spans="1:89">
      <c r="A4" t="s">
        <v>30</v>
      </c>
      <c r="B4">
        <v>2013</v>
      </c>
      <c r="C4" t="s">
        <v>36</v>
      </c>
      <c r="D4">
        <v>110.2</v>
      </c>
      <c r="E4">
        <f>AVERAGE(D2:D4)</f>
        <v>108.96666666666665</v>
      </c>
      <c r="F4">
        <v>108.8</v>
      </c>
      <c r="G4">
        <f>AVERAGE(F2:F4)</f>
        <v>107.93333333333334</v>
      </c>
      <c r="H4">
        <v>109.9</v>
      </c>
      <c r="I4">
        <f>AVERAGE(H2:H4)</f>
        <v>109.40000000000002</v>
      </c>
      <c r="J4">
        <v>105.6</v>
      </c>
      <c r="K4">
        <f>AVERAGE(J2:J4)</f>
        <v>105.3</v>
      </c>
      <c r="L4">
        <v>106.2</v>
      </c>
      <c r="M4">
        <f>AVERAGE(L2:L4)</f>
        <v>106.33333333333333</v>
      </c>
      <c r="N4">
        <v>105.7</v>
      </c>
      <c r="O4">
        <f>AVERAGE(N2:N4)</f>
        <v>104.53333333333335</v>
      </c>
      <c r="P4">
        <v>101.4</v>
      </c>
      <c r="Q4">
        <f>AVERAGE(P2:P4)</f>
        <v>101.90000000000002</v>
      </c>
      <c r="R4">
        <v>105.7</v>
      </c>
      <c r="S4">
        <f>AVERAGE(R2:R4)</f>
        <v>105.89999999999999</v>
      </c>
      <c r="T4">
        <v>105</v>
      </c>
      <c r="U4">
        <f>AVERAGE(T2:T4)</f>
        <v>105.83333333333333</v>
      </c>
      <c r="V4">
        <v>103.3</v>
      </c>
      <c r="W4">
        <f>AVERAGE(V2:V4)</f>
        <v>103.16666666666667</v>
      </c>
      <c r="X4">
        <v>105.6</v>
      </c>
      <c r="Y4">
        <f>AVERAGE(X2:X4)</f>
        <v>105.16666666666667</v>
      </c>
      <c r="Z4">
        <v>108.2</v>
      </c>
      <c r="AA4">
        <f>AVERAGE(Z2:Z4)</f>
        <v>107.53333333333335</v>
      </c>
      <c r="AB4">
        <v>106.6</v>
      </c>
      <c r="AC4">
        <f>AVERAGE(AB2:AB4)</f>
        <v>106.13333333333333</v>
      </c>
      <c r="AD4">
        <v>106.5</v>
      </c>
      <c r="AE4">
        <f>AVERAGE(AD2:AD4)</f>
        <v>105.73333333333333</v>
      </c>
      <c r="AF4">
        <v>107.6</v>
      </c>
      <c r="AG4">
        <f>AVERAGE(AF2:AF4)</f>
        <v>107.06666666666666</v>
      </c>
      <c r="AH4">
        <v>106.8</v>
      </c>
      <c r="AI4">
        <f>AVERAGE(AH2:AH4)</f>
        <v>106.3</v>
      </c>
      <c r="AJ4">
        <v>107.5</v>
      </c>
      <c r="AK4">
        <f>AVERAGE(AJ2:AJ4)</f>
        <v>106.96666666666665</v>
      </c>
      <c r="AL4" t="s">
        <v>32</v>
      </c>
      <c r="AN4">
        <v>106.1</v>
      </c>
      <c r="AO4">
        <f>AVERAGE(AN2:AN4)</f>
        <v>105.93333333333332</v>
      </c>
      <c r="AP4">
        <v>105.6</v>
      </c>
      <c r="AQ4">
        <f>AVERAGE(AP2:AP4)</f>
        <v>105.2</v>
      </c>
      <c r="AR4">
        <v>104.7</v>
      </c>
      <c r="AS4">
        <f>AVERAGE(AR2:AR4)</f>
        <v>104.36666666666667</v>
      </c>
      <c r="AT4">
        <v>104.6</v>
      </c>
      <c r="AU4">
        <f>AVERAGE(AT2:AT4)</f>
        <v>103.93333333333332</v>
      </c>
      <c r="AV4">
        <v>104</v>
      </c>
      <c r="AW4">
        <f>AVERAGE(AV2:AV4)</f>
        <v>103.8</v>
      </c>
      <c r="AX4">
        <v>104.3</v>
      </c>
      <c r="AY4">
        <f>AVERAGE(AX2:AX4)</f>
        <v>104.06666666666666</v>
      </c>
      <c r="AZ4">
        <v>104.3</v>
      </c>
      <c r="BA4">
        <f>AVERAGE(AZ2:AZ4)</f>
        <v>104.53333333333335</v>
      </c>
      <c r="BB4">
        <v>104.6</v>
      </c>
      <c r="BC4">
        <f>AVERAGE(BB2:BB4)</f>
        <v>104.33333333333333</v>
      </c>
      <c r="BD4">
        <v>106</v>
      </c>
      <c r="BE4">
        <f>AVERAGE(BD2:BD4)</f>
        <v>105.63333333333333</v>
      </c>
      <c r="BI4" t="s">
        <v>30</v>
      </c>
      <c r="BJ4">
        <v>2020</v>
      </c>
      <c r="BK4" t="s">
        <v>38</v>
      </c>
      <c r="BL4">
        <v>145.80000000000001</v>
      </c>
      <c r="BM4">
        <v>166.8</v>
      </c>
      <c r="BN4">
        <v>147.25</v>
      </c>
      <c r="BO4">
        <v>153.64999999999998</v>
      </c>
      <c r="BP4">
        <v>135.19999999999999</v>
      </c>
      <c r="BQ4">
        <v>144.55000000000001</v>
      </c>
      <c r="BR4">
        <v>157.5</v>
      </c>
      <c r="BS4">
        <v>146</v>
      </c>
      <c r="BT4">
        <v>116.19999999999999</v>
      </c>
      <c r="BU4">
        <v>156.35</v>
      </c>
      <c r="BV4">
        <v>139.64999999999998</v>
      </c>
      <c r="BW4">
        <v>149.14999999999998</v>
      </c>
      <c r="BX4">
        <v>170.5</v>
      </c>
      <c r="BY4">
        <v>153.4</v>
      </c>
      <c r="BZ4">
        <v>147.6</v>
      </c>
      <c r="CA4">
        <v>152.5</v>
      </c>
      <c r="CB4" t="s">
        <v>32</v>
      </c>
      <c r="CC4">
        <v>150.9</v>
      </c>
      <c r="CD4">
        <v>151.5</v>
      </c>
      <c r="CE4">
        <v>155.5</v>
      </c>
      <c r="CF4">
        <v>135.80000000000001</v>
      </c>
      <c r="CG4">
        <v>151.19999999999999</v>
      </c>
      <c r="CH4">
        <v>161.19999999999999</v>
      </c>
      <c r="CI4">
        <v>145.1</v>
      </c>
      <c r="CJ4">
        <v>148.6</v>
      </c>
      <c r="CK4">
        <v>149.80000000000001</v>
      </c>
    </row>
    <row r="5" spans="1:89">
      <c r="A5" t="s">
        <v>30</v>
      </c>
      <c r="B5">
        <v>2013</v>
      </c>
      <c r="C5" t="s">
        <v>37</v>
      </c>
      <c r="D5">
        <v>110.2</v>
      </c>
      <c r="E5">
        <f t="shared" ref="E5:E68" si="0">AVERAGE(D3:D5)</f>
        <v>109.86666666666667</v>
      </c>
      <c r="F5">
        <v>109.5</v>
      </c>
      <c r="G5">
        <f t="shared" ref="G5:G68" si="1">AVERAGE(F3:F5)</f>
        <v>109</v>
      </c>
      <c r="H5">
        <v>106.9</v>
      </c>
      <c r="I5">
        <f t="shared" ref="I5:I68" si="2">AVERAGE(H3:H5)</f>
        <v>109</v>
      </c>
      <c r="J5">
        <v>106.3</v>
      </c>
      <c r="K5">
        <f t="shared" ref="K5:K68" si="3">AVERAGE(J3:J5)</f>
        <v>105.76666666666667</v>
      </c>
      <c r="L5">
        <v>105.7</v>
      </c>
      <c r="M5">
        <f t="shared" ref="M5:M68" si="4">AVERAGE(L3:L5)</f>
        <v>106.2</v>
      </c>
      <c r="N5">
        <v>108.3</v>
      </c>
      <c r="O5">
        <f t="shared" ref="O5:O68" si="5">AVERAGE(N3:N5)</f>
        <v>106</v>
      </c>
      <c r="P5">
        <v>103.4</v>
      </c>
      <c r="Q5">
        <f t="shared" ref="Q5:Q68" si="6">AVERAGE(P3:P5)</f>
        <v>102.40000000000002</v>
      </c>
      <c r="R5">
        <v>105.7</v>
      </c>
      <c r="S5">
        <f t="shared" ref="S5:S68" si="7">AVERAGE(R3:R5)</f>
        <v>105.76666666666667</v>
      </c>
      <c r="T5">
        <v>104.2</v>
      </c>
      <c r="U5">
        <f t="shared" ref="U5:U68" si="8">AVERAGE(T3:T5)</f>
        <v>104.96666666666665</v>
      </c>
      <c r="V5">
        <v>103.2</v>
      </c>
      <c r="W5">
        <f t="shared" ref="W5:W68" si="9">AVERAGE(V3:V5)</f>
        <v>103.19999999999999</v>
      </c>
      <c r="X5">
        <v>106.5</v>
      </c>
      <c r="Y5">
        <f t="shared" ref="Y5:Y68" si="10">AVERAGE(X3:X5)</f>
        <v>105.73333333333333</v>
      </c>
      <c r="Z5">
        <v>108.8</v>
      </c>
      <c r="AA5">
        <f t="shared" ref="AA5:AA68" si="11">AVERAGE(Z3:Z5)</f>
        <v>108.23333333333333</v>
      </c>
      <c r="AB5">
        <v>107.1</v>
      </c>
      <c r="AC5">
        <f t="shared" ref="AC5:AC68" si="12">AVERAGE(AB3:AB5)</f>
        <v>106.66666666666667</v>
      </c>
      <c r="AD5">
        <v>107.1</v>
      </c>
      <c r="AE5">
        <f t="shared" ref="AE5:AE68" si="13">AVERAGE(AD3:AD5)</f>
        <v>106.39999999999999</v>
      </c>
      <c r="AF5">
        <v>108.1</v>
      </c>
      <c r="AG5">
        <f t="shared" ref="AG5:AG68" si="14">AVERAGE(AF3:AF5)</f>
        <v>107.59999999999998</v>
      </c>
      <c r="AH5">
        <v>107.4</v>
      </c>
      <c r="AI5">
        <f t="shared" ref="AI5:AI68" si="15">AVERAGE(AH3:AH5)</f>
        <v>106.83333333333333</v>
      </c>
      <c r="AJ5">
        <v>108</v>
      </c>
      <c r="AK5">
        <f t="shared" ref="AK5:AK68" si="16">AVERAGE(AJ3:AJ5)</f>
        <v>107.5</v>
      </c>
      <c r="AL5" t="s">
        <v>32</v>
      </c>
      <c r="AN5">
        <v>106.5</v>
      </c>
      <c r="AO5">
        <f t="shared" ref="AO5:AO68" si="17">AVERAGE(AN3:AN5)</f>
        <v>106.26666666666667</v>
      </c>
      <c r="AP5">
        <v>106.1</v>
      </c>
      <c r="AQ5">
        <f t="shared" ref="AQ5:AQ68" si="18">AVERAGE(AP3:AP5)</f>
        <v>105.63333333333333</v>
      </c>
      <c r="AR5">
        <v>105.1</v>
      </c>
      <c r="AS5">
        <f t="shared" ref="AS5:AS68" si="19">AVERAGE(AR3:AR5)</f>
        <v>104.73333333333335</v>
      </c>
      <c r="AT5">
        <v>104.4</v>
      </c>
      <c r="AU5">
        <f t="shared" ref="AU5:AU68" si="20">AVERAGE(AT3:AT5)</f>
        <v>104.3</v>
      </c>
      <c r="AV5">
        <v>104.5</v>
      </c>
      <c r="AW5">
        <f t="shared" ref="AW5:AW68" si="21">AVERAGE(AV3:AV5)</f>
        <v>104.16666666666667</v>
      </c>
      <c r="AX5">
        <v>104.8</v>
      </c>
      <c r="AY5">
        <f t="shared" ref="AY5:AY68" si="22">AVERAGE(AX3:AX5)</f>
        <v>104.39999999999999</v>
      </c>
      <c r="AZ5">
        <v>102.7</v>
      </c>
      <c r="BA5">
        <f t="shared" ref="BA5:BA68" si="23">AVERAGE(AZ3:AZ5)</f>
        <v>103.86666666666666</v>
      </c>
      <c r="BB5">
        <v>104.6</v>
      </c>
      <c r="BC5">
        <f t="shared" ref="BC5:BC68" si="24">AVERAGE(BB3:BB5)</f>
        <v>104.53333333333335</v>
      </c>
      <c r="BD5">
        <v>106.4</v>
      </c>
      <c r="BE5">
        <f t="shared" ref="BE5:BE68" si="25">AVERAGE(BD3:BD5)</f>
        <v>106.06666666666668</v>
      </c>
    </row>
    <row r="6" spans="1:89">
      <c r="A6" t="s">
        <v>30</v>
      </c>
      <c r="B6">
        <v>2013</v>
      </c>
      <c r="C6" t="s">
        <v>38</v>
      </c>
      <c r="D6">
        <v>110.9</v>
      </c>
      <c r="E6">
        <f t="shared" si="0"/>
        <v>110.43333333333334</v>
      </c>
      <c r="F6">
        <v>109.8</v>
      </c>
      <c r="G6">
        <f t="shared" si="1"/>
        <v>109.36666666666667</v>
      </c>
      <c r="H6">
        <v>105.9</v>
      </c>
      <c r="I6">
        <f t="shared" si="2"/>
        <v>107.56666666666668</v>
      </c>
      <c r="J6">
        <v>107.5</v>
      </c>
      <c r="K6">
        <f t="shared" si="3"/>
        <v>106.46666666666665</v>
      </c>
      <c r="L6">
        <v>105.3</v>
      </c>
      <c r="M6">
        <f t="shared" si="4"/>
        <v>105.73333333333333</v>
      </c>
      <c r="N6">
        <v>108.1</v>
      </c>
      <c r="O6">
        <f t="shared" si="5"/>
        <v>107.36666666666667</v>
      </c>
      <c r="P6">
        <v>107.3</v>
      </c>
      <c r="Q6">
        <f t="shared" si="6"/>
        <v>104.03333333333335</v>
      </c>
      <c r="R6">
        <v>106.1</v>
      </c>
      <c r="S6">
        <f t="shared" si="7"/>
        <v>105.83333333333333</v>
      </c>
      <c r="T6">
        <v>103.7</v>
      </c>
      <c r="U6">
        <f t="shared" si="8"/>
        <v>104.3</v>
      </c>
      <c r="V6">
        <v>104</v>
      </c>
      <c r="W6">
        <f t="shared" si="9"/>
        <v>103.5</v>
      </c>
      <c r="X6">
        <v>107.4</v>
      </c>
      <c r="Y6">
        <f t="shared" si="10"/>
        <v>106.5</v>
      </c>
      <c r="Z6">
        <v>109.9</v>
      </c>
      <c r="AA6">
        <f t="shared" si="11"/>
        <v>108.96666666666665</v>
      </c>
      <c r="AB6">
        <v>108.1</v>
      </c>
      <c r="AC6">
        <f t="shared" si="12"/>
        <v>107.26666666666665</v>
      </c>
      <c r="AD6">
        <v>108.1</v>
      </c>
      <c r="AE6">
        <f t="shared" si="13"/>
        <v>107.23333333333333</v>
      </c>
      <c r="AF6">
        <v>108.8</v>
      </c>
      <c r="AG6">
        <f t="shared" si="14"/>
        <v>108.16666666666667</v>
      </c>
      <c r="AH6">
        <v>107.9</v>
      </c>
      <c r="AI6">
        <f t="shared" si="15"/>
        <v>107.36666666666667</v>
      </c>
      <c r="AJ6">
        <v>108.6</v>
      </c>
      <c r="AK6">
        <f t="shared" si="16"/>
        <v>108.03333333333335</v>
      </c>
      <c r="AL6" t="s">
        <v>32</v>
      </c>
      <c r="AN6">
        <v>107.5</v>
      </c>
      <c r="AO6">
        <f t="shared" si="17"/>
        <v>106.7</v>
      </c>
      <c r="AP6">
        <v>106.8</v>
      </c>
      <c r="AQ6">
        <f t="shared" si="18"/>
        <v>106.16666666666667</v>
      </c>
      <c r="AR6">
        <v>105.7</v>
      </c>
      <c r="AS6">
        <f t="shared" si="19"/>
        <v>105.16666666666667</v>
      </c>
      <c r="AT6">
        <v>104.1</v>
      </c>
      <c r="AU6">
        <f t="shared" si="20"/>
        <v>104.36666666666667</v>
      </c>
      <c r="AV6">
        <v>105</v>
      </c>
      <c r="AW6">
        <f t="shared" si="21"/>
        <v>104.5</v>
      </c>
      <c r="AX6">
        <v>105.5</v>
      </c>
      <c r="AY6">
        <f t="shared" si="22"/>
        <v>104.86666666666667</v>
      </c>
      <c r="AZ6">
        <v>102.1</v>
      </c>
      <c r="BA6">
        <f t="shared" si="23"/>
        <v>103.03333333333335</v>
      </c>
      <c r="BB6">
        <v>104.8</v>
      </c>
      <c r="BC6">
        <f t="shared" si="24"/>
        <v>104.66666666666667</v>
      </c>
      <c r="BD6">
        <v>107.2</v>
      </c>
      <c r="BE6">
        <f t="shared" si="25"/>
        <v>106.53333333333335</v>
      </c>
      <c r="BI6" t="s">
        <v>34</v>
      </c>
      <c r="BJ6">
        <v>2020</v>
      </c>
      <c r="BK6" t="s">
        <v>37</v>
      </c>
      <c r="BL6">
        <v>148.69999999999999</v>
      </c>
      <c r="BM6">
        <v>167.25</v>
      </c>
      <c r="BN6">
        <v>148.80000000000001</v>
      </c>
      <c r="BO6">
        <v>155.6</v>
      </c>
      <c r="BP6">
        <v>135.1</v>
      </c>
      <c r="BQ6">
        <v>149.9</v>
      </c>
      <c r="BR6">
        <v>168.6</v>
      </c>
      <c r="BS6">
        <v>150.4</v>
      </c>
      <c r="BT6">
        <v>120.3</v>
      </c>
      <c r="BU6">
        <v>157.1</v>
      </c>
      <c r="BV6">
        <v>136.80000000000001</v>
      </c>
      <c r="BW6">
        <v>151.4</v>
      </c>
      <c r="BX6">
        <v>170.65</v>
      </c>
      <c r="BY6">
        <v>151</v>
      </c>
      <c r="BZ6">
        <v>141.80000000000001</v>
      </c>
      <c r="CA6">
        <v>149.65</v>
      </c>
      <c r="CB6">
        <v>155.6</v>
      </c>
      <c r="CC6">
        <v>144.1</v>
      </c>
      <c r="CD6">
        <v>146.4</v>
      </c>
      <c r="CE6">
        <v>150.69999999999999</v>
      </c>
      <c r="CF6">
        <v>130.1</v>
      </c>
      <c r="CG6">
        <v>143.44999999999999</v>
      </c>
      <c r="CH6">
        <v>156.15</v>
      </c>
      <c r="CI6">
        <v>144.30000000000001</v>
      </c>
      <c r="CJ6">
        <v>143.69999999999999</v>
      </c>
      <c r="CK6">
        <v>148.85</v>
      </c>
    </row>
    <row r="7" spans="1:89">
      <c r="A7" t="s">
        <v>30</v>
      </c>
      <c r="B7">
        <v>2013</v>
      </c>
      <c r="C7" t="s">
        <v>39</v>
      </c>
      <c r="D7">
        <v>112.3</v>
      </c>
      <c r="E7">
        <f t="shared" si="0"/>
        <v>111.13333333333334</v>
      </c>
      <c r="F7">
        <v>112.1</v>
      </c>
      <c r="G7">
        <f t="shared" si="1"/>
        <v>110.46666666666665</v>
      </c>
      <c r="H7">
        <v>108.1</v>
      </c>
      <c r="I7">
        <f t="shared" si="2"/>
        <v>106.96666666666665</v>
      </c>
      <c r="J7">
        <v>108.3</v>
      </c>
      <c r="K7">
        <f t="shared" si="3"/>
        <v>107.36666666666667</v>
      </c>
      <c r="L7">
        <v>105.9</v>
      </c>
      <c r="M7">
        <f t="shared" si="4"/>
        <v>105.63333333333333</v>
      </c>
      <c r="N7">
        <v>109.2</v>
      </c>
      <c r="O7">
        <f t="shared" si="5"/>
        <v>108.53333333333332</v>
      </c>
      <c r="P7">
        <v>118</v>
      </c>
      <c r="Q7">
        <f t="shared" si="6"/>
        <v>109.56666666666666</v>
      </c>
      <c r="R7">
        <v>106.8</v>
      </c>
      <c r="S7">
        <f t="shared" si="7"/>
        <v>106.2</v>
      </c>
      <c r="T7">
        <v>104.1</v>
      </c>
      <c r="U7">
        <f t="shared" si="8"/>
        <v>104</v>
      </c>
      <c r="V7">
        <v>105.4</v>
      </c>
      <c r="W7">
        <f t="shared" si="9"/>
        <v>104.2</v>
      </c>
      <c r="X7">
        <v>108.2</v>
      </c>
      <c r="Y7">
        <f t="shared" si="10"/>
        <v>107.36666666666667</v>
      </c>
      <c r="Z7">
        <v>111</v>
      </c>
      <c r="AA7">
        <f t="shared" si="11"/>
        <v>109.89999999999999</v>
      </c>
      <c r="AB7">
        <v>110.6</v>
      </c>
      <c r="AC7">
        <f t="shared" si="12"/>
        <v>108.59999999999998</v>
      </c>
      <c r="AD7">
        <v>109</v>
      </c>
      <c r="AE7">
        <f t="shared" si="13"/>
        <v>108.06666666666666</v>
      </c>
      <c r="AF7">
        <v>109.7</v>
      </c>
      <c r="AG7">
        <f t="shared" si="14"/>
        <v>108.86666666666666</v>
      </c>
      <c r="AH7">
        <v>108.8</v>
      </c>
      <c r="AI7">
        <f t="shared" si="15"/>
        <v>108.03333333333335</v>
      </c>
      <c r="AJ7">
        <v>109.5</v>
      </c>
      <c r="AK7">
        <f t="shared" si="16"/>
        <v>108.7</v>
      </c>
      <c r="AL7" t="s">
        <v>32</v>
      </c>
      <c r="AN7">
        <v>108.5</v>
      </c>
      <c r="AO7">
        <f t="shared" si="17"/>
        <v>107.5</v>
      </c>
      <c r="AP7">
        <v>107.5</v>
      </c>
      <c r="AQ7">
        <f t="shared" si="18"/>
        <v>106.8</v>
      </c>
      <c r="AR7">
        <v>106.3</v>
      </c>
      <c r="AS7">
        <f t="shared" si="19"/>
        <v>105.7</v>
      </c>
      <c r="AT7">
        <v>105</v>
      </c>
      <c r="AU7">
        <f t="shared" si="20"/>
        <v>104.5</v>
      </c>
      <c r="AV7">
        <v>105.6</v>
      </c>
      <c r="AW7">
        <f t="shared" si="21"/>
        <v>105.03333333333335</v>
      </c>
      <c r="AX7">
        <v>106.5</v>
      </c>
      <c r="AY7">
        <f t="shared" si="22"/>
        <v>105.60000000000001</v>
      </c>
      <c r="AZ7">
        <v>102.5</v>
      </c>
      <c r="BA7">
        <f t="shared" si="23"/>
        <v>102.43333333333334</v>
      </c>
      <c r="BB7">
        <v>105.5</v>
      </c>
      <c r="BC7">
        <f t="shared" si="24"/>
        <v>104.96666666666665</v>
      </c>
      <c r="BD7">
        <v>108.9</v>
      </c>
      <c r="BE7">
        <f t="shared" si="25"/>
        <v>107.5</v>
      </c>
      <c r="BI7" t="s">
        <v>34</v>
      </c>
      <c r="BJ7">
        <v>2020</v>
      </c>
      <c r="BK7" t="s">
        <v>38</v>
      </c>
      <c r="BL7">
        <v>146.89999999999998</v>
      </c>
      <c r="BM7">
        <v>167</v>
      </c>
      <c r="BN7">
        <v>148.44999999999999</v>
      </c>
      <c r="BO7">
        <v>153.55000000000001</v>
      </c>
      <c r="BP7">
        <v>133.14999999999998</v>
      </c>
      <c r="BQ7">
        <v>146.19999999999999</v>
      </c>
      <c r="BR7">
        <v>162.94999999999999</v>
      </c>
      <c r="BS7">
        <v>145.75</v>
      </c>
      <c r="BT7">
        <v>116.75</v>
      </c>
      <c r="BU7">
        <v>155.14999999999998</v>
      </c>
      <c r="BV7">
        <v>136.75</v>
      </c>
      <c r="BW7">
        <v>150.15</v>
      </c>
      <c r="BX7">
        <v>171.2</v>
      </c>
      <c r="BY7">
        <v>151.19999999999999</v>
      </c>
      <c r="BZ7">
        <v>141.9</v>
      </c>
      <c r="CA7">
        <v>149.80000000000001</v>
      </c>
      <c r="CB7">
        <v>155.05000000000001</v>
      </c>
      <c r="CC7">
        <v>146.5</v>
      </c>
      <c r="CD7">
        <v>146.4</v>
      </c>
      <c r="CE7">
        <v>151.5</v>
      </c>
      <c r="CF7">
        <v>129.9</v>
      </c>
      <c r="CG7">
        <v>143.69999999999999</v>
      </c>
      <c r="CH7">
        <v>156.1</v>
      </c>
      <c r="CI7">
        <v>145.19999999999999</v>
      </c>
      <c r="CJ7">
        <v>143.80000000000001</v>
      </c>
      <c r="CK7">
        <v>148.6</v>
      </c>
    </row>
    <row r="8" spans="1:89">
      <c r="A8" t="s">
        <v>30</v>
      </c>
      <c r="B8">
        <v>2013</v>
      </c>
      <c r="C8" t="s">
        <v>40</v>
      </c>
      <c r="D8">
        <v>113.4</v>
      </c>
      <c r="E8">
        <f t="shared" si="0"/>
        <v>112.2</v>
      </c>
      <c r="F8">
        <v>114.9</v>
      </c>
      <c r="G8">
        <f t="shared" si="1"/>
        <v>112.26666666666665</v>
      </c>
      <c r="H8">
        <v>110.5</v>
      </c>
      <c r="I8">
        <f t="shared" si="2"/>
        <v>108.16666666666667</v>
      </c>
      <c r="J8">
        <v>109.3</v>
      </c>
      <c r="K8">
        <f t="shared" si="3"/>
        <v>108.36666666666667</v>
      </c>
      <c r="L8">
        <v>106.2</v>
      </c>
      <c r="M8">
        <f t="shared" si="4"/>
        <v>105.8</v>
      </c>
      <c r="N8">
        <v>110.3</v>
      </c>
      <c r="O8">
        <f t="shared" si="5"/>
        <v>109.2</v>
      </c>
      <c r="P8">
        <v>129.19999999999999</v>
      </c>
      <c r="Q8">
        <f t="shared" si="6"/>
        <v>118.16666666666667</v>
      </c>
      <c r="R8">
        <v>107.1</v>
      </c>
      <c r="S8">
        <f t="shared" si="7"/>
        <v>106.66666666666667</v>
      </c>
      <c r="T8">
        <v>104.3</v>
      </c>
      <c r="U8">
        <f t="shared" si="8"/>
        <v>104.03333333333335</v>
      </c>
      <c r="V8">
        <v>106.4</v>
      </c>
      <c r="W8">
        <f t="shared" si="9"/>
        <v>105.26666666666667</v>
      </c>
      <c r="X8">
        <v>109.1</v>
      </c>
      <c r="Y8">
        <f t="shared" si="10"/>
        <v>108.23333333333335</v>
      </c>
      <c r="Z8">
        <v>112.1</v>
      </c>
      <c r="AA8">
        <f t="shared" si="11"/>
        <v>111</v>
      </c>
      <c r="AB8">
        <v>113.1</v>
      </c>
      <c r="AC8">
        <f t="shared" si="12"/>
        <v>110.59999999999998</v>
      </c>
      <c r="AD8">
        <v>109.8</v>
      </c>
      <c r="AE8">
        <f t="shared" si="13"/>
        <v>108.96666666666665</v>
      </c>
      <c r="AF8">
        <v>110.5</v>
      </c>
      <c r="AG8">
        <f t="shared" si="14"/>
        <v>109.66666666666667</v>
      </c>
      <c r="AH8">
        <v>109.5</v>
      </c>
      <c r="AI8">
        <f t="shared" si="15"/>
        <v>108.73333333333333</v>
      </c>
      <c r="AJ8">
        <v>110.3</v>
      </c>
      <c r="AK8">
        <f t="shared" si="16"/>
        <v>109.46666666666665</v>
      </c>
      <c r="AL8" t="s">
        <v>32</v>
      </c>
      <c r="AN8">
        <v>109.5</v>
      </c>
      <c r="AO8">
        <f t="shared" si="17"/>
        <v>108.5</v>
      </c>
      <c r="AP8">
        <v>108.3</v>
      </c>
      <c r="AQ8">
        <f t="shared" si="18"/>
        <v>107.53333333333335</v>
      </c>
      <c r="AR8">
        <v>106.9</v>
      </c>
      <c r="AS8">
        <f t="shared" si="19"/>
        <v>106.3</v>
      </c>
      <c r="AT8">
        <v>106.8</v>
      </c>
      <c r="AU8">
        <f t="shared" si="20"/>
        <v>105.3</v>
      </c>
      <c r="AV8">
        <v>106.4</v>
      </c>
      <c r="AW8">
        <f t="shared" si="21"/>
        <v>105.66666666666667</v>
      </c>
      <c r="AX8">
        <v>107.8</v>
      </c>
      <c r="AY8">
        <f t="shared" si="22"/>
        <v>106.60000000000001</v>
      </c>
      <c r="AZ8">
        <v>102.5</v>
      </c>
      <c r="BA8">
        <f t="shared" si="23"/>
        <v>102.36666666666667</v>
      </c>
      <c r="BB8">
        <v>106.5</v>
      </c>
      <c r="BC8">
        <f t="shared" si="24"/>
        <v>105.60000000000001</v>
      </c>
      <c r="BD8">
        <v>110.7</v>
      </c>
      <c r="BE8">
        <f t="shared" si="25"/>
        <v>108.93333333333334</v>
      </c>
    </row>
    <row r="9" spans="1:89">
      <c r="A9" t="s">
        <v>30</v>
      </c>
      <c r="B9">
        <v>2013</v>
      </c>
      <c r="C9" t="s">
        <v>41</v>
      </c>
      <c r="D9">
        <v>114.3</v>
      </c>
      <c r="E9">
        <f t="shared" si="0"/>
        <v>113.33333333333333</v>
      </c>
      <c r="F9">
        <v>115.4</v>
      </c>
      <c r="G9">
        <f t="shared" si="1"/>
        <v>114.13333333333333</v>
      </c>
      <c r="H9">
        <v>111.1</v>
      </c>
      <c r="I9">
        <f t="shared" si="2"/>
        <v>109.89999999999999</v>
      </c>
      <c r="J9">
        <v>110</v>
      </c>
      <c r="K9">
        <f t="shared" si="3"/>
        <v>109.2</v>
      </c>
      <c r="L9">
        <v>106.4</v>
      </c>
      <c r="M9">
        <f t="shared" si="4"/>
        <v>106.16666666666667</v>
      </c>
      <c r="N9">
        <v>110.8</v>
      </c>
      <c r="O9">
        <f t="shared" si="5"/>
        <v>110.10000000000001</v>
      </c>
      <c r="P9">
        <v>138.9</v>
      </c>
      <c r="Q9">
        <f t="shared" si="6"/>
        <v>128.70000000000002</v>
      </c>
      <c r="R9">
        <v>107.4</v>
      </c>
      <c r="S9">
        <f t="shared" si="7"/>
        <v>107.09999999999998</v>
      </c>
      <c r="T9">
        <v>104.1</v>
      </c>
      <c r="U9">
        <f t="shared" si="8"/>
        <v>104.16666666666667</v>
      </c>
      <c r="V9">
        <v>106.9</v>
      </c>
      <c r="W9">
        <f t="shared" si="9"/>
        <v>106.23333333333335</v>
      </c>
      <c r="X9">
        <v>109.7</v>
      </c>
      <c r="Y9">
        <f t="shared" si="10"/>
        <v>109</v>
      </c>
      <c r="Z9">
        <v>112.6</v>
      </c>
      <c r="AA9">
        <f t="shared" si="11"/>
        <v>111.89999999999999</v>
      </c>
      <c r="AB9">
        <v>114.9</v>
      </c>
      <c r="AC9">
        <f t="shared" si="12"/>
        <v>112.86666666666667</v>
      </c>
      <c r="AD9">
        <v>110.7</v>
      </c>
      <c r="AE9">
        <f t="shared" si="13"/>
        <v>109.83333333333333</v>
      </c>
      <c r="AF9">
        <v>111.3</v>
      </c>
      <c r="AG9">
        <f t="shared" si="14"/>
        <v>110.5</v>
      </c>
      <c r="AH9">
        <v>110.2</v>
      </c>
      <c r="AI9">
        <f t="shared" si="15"/>
        <v>109.5</v>
      </c>
      <c r="AJ9">
        <v>111.1</v>
      </c>
      <c r="AK9">
        <f t="shared" si="16"/>
        <v>110.3</v>
      </c>
      <c r="AL9" t="s">
        <v>32</v>
      </c>
      <c r="AN9">
        <v>109.9</v>
      </c>
      <c r="AO9">
        <f t="shared" si="17"/>
        <v>109.3</v>
      </c>
      <c r="AP9">
        <v>108.7</v>
      </c>
      <c r="AQ9">
        <f t="shared" si="18"/>
        <v>108.16666666666667</v>
      </c>
      <c r="AR9">
        <v>107.5</v>
      </c>
      <c r="AS9">
        <f t="shared" si="19"/>
        <v>106.89999999999999</v>
      </c>
      <c r="AT9">
        <v>107.8</v>
      </c>
      <c r="AU9">
        <f t="shared" si="20"/>
        <v>106.53333333333335</v>
      </c>
      <c r="AV9">
        <v>106.8</v>
      </c>
      <c r="AW9">
        <f t="shared" si="21"/>
        <v>106.26666666666667</v>
      </c>
      <c r="AX9">
        <v>108.7</v>
      </c>
      <c r="AY9">
        <f t="shared" si="22"/>
        <v>107.66666666666667</v>
      </c>
      <c r="AZ9">
        <v>105</v>
      </c>
      <c r="BA9">
        <f t="shared" si="23"/>
        <v>103.33333333333333</v>
      </c>
      <c r="BB9">
        <v>107.5</v>
      </c>
      <c r="BC9">
        <f t="shared" si="24"/>
        <v>106.5</v>
      </c>
      <c r="BD9">
        <v>112.1</v>
      </c>
      <c r="BE9">
        <f t="shared" si="25"/>
        <v>110.56666666666668</v>
      </c>
      <c r="BI9" t="s">
        <v>33</v>
      </c>
      <c r="BJ9">
        <v>2020</v>
      </c>
      <c r="BK9" t="s">
        <v>37</v>
      </c>
      <c r="BL9">
        <v>151.80000000000001</v>
      </c>
      <c r="BM9">
        <v>167.55</v>
      </c>
      <c r="BN9">
        <v>151.9</v>
      </c>
      <c r="BO9">
        <v>155.5</v>
      </c>
      <c r="BP9">
        <v>131.6</v>
      </c>
      <c r="BQ9">
        <v>152.9</v>
      </c>
      <c r="BR9">
        <v>180</v>
      </c>
      <c r="BS9">
        <v>150.80000000000001</v>
      </c>
      <c r="BT9">
        <v>121.2</v>
      </c>
      <c r="BU9">
        <v>154</v>
      </c>
      <c r="BV9">
        <v>133.5</v>
      </c>
      <c r="BW9">
        <v>153.5</v>
      </c>
      <c r="BX9">
        <v>172.65</v>
      </c>
      <c r="BY9">
        <v>147.5</v>
      </c>
      <c r="BZ9">
        <v>133.65</v>
      </c>
      <c r="CA9">
        <v>145.39999999999998</v>
      </c>
      <c r="CB9">
        <v>155.6</v>
      </c>
      <c r="CC9">
        <v>137.1</v>
      </c>
      <c r="CD9">
        <v>140.60000000000002</v>
      </c>
      <c r="CE9">
        <v>144.80000000000001</v>
      </c>
      <c r="CF9">
        <v>124.9</v>
      </c>
      <c r="CG9">
        <v>137.80000000000001</v>
      </c>
      <c r="CH9">
        <v>152.35</v>
      </c>
      <c r="CI9">
        <v>144.4</v>
      </c>
      <c r="CJ9">
        <v>138.55000000000001</v>
      </c>
      <c r="CK9">
        <v>147.5</v>
      </c>
    </row>
    <row r="10" spans="1:89">
      <c r="A10" t="s">
        <v>30</v>
      </c>
      <c r="B10">
        <v>2013</v>
      </c>
      <c r="C10" t="s">
        <v>42</v>
      </c>
      <c r="D10">
        <v>115.4</v>
      </c>
      <c r="E10">
        <f t="shared" si="0"/>
        <v>114.36666666666667</v>
      </c>
      <c r="F10">
        <v>115.7</v>
      </c>
      <c r="G10">
        <f t="shared" si="1"/>
        <v>115.33333333333333</v>
      </c>
      <c r="H10">
        <v>111.7</v>
      </c>
      <c r="I10">
        <f t="shared" si="2"/>
        <v>111.10000000000001</v>
      </c>
      <c r="J10">
        <v>111</v>
      </c>
      <c r="K10">
        <f t="shared" si="3"/>
        <v>110.10000000000001</v>
      </c>
      <c r="L10">
        <v>107.4</v>
      </c>
      <c r="M10">
        <f t="shared" si="4"/>
        <v>106.66666666666667</v>
      </c>
      <c r="N10">
        <v>110.9</v>
      </c>
      <c r="O10">
        <f t="shared" si="5"/>
        <v>110.66666666666667</v>
      </c>
      <c r="P10">
        <v>154</v>
      </c>
      <c r="Q10">
        <f t="shared" si="6"/>
        <v>140.70000000000002</v>
      </c>
      <c r="R10">
        <v>108.1</v>
      </c>
      <c r="S10">
        <f t="shared" si="7"/>
        <v>107.53333333333335</v>
      </c>
      <c r="T10">
        <v>104.2</v>
      </c>
      <c r="U10">
        <f t="shared" si="8"/>
        <v>104.19999999999999</v>
      </c>
      <c r="V10">
        <v>107.9</v>
      </c>
      <c r="W10">
        <f t="shared" si="9"/>
        <v>107.06666666666668</v>
      </c>
      <c r="X10">
        <v>110.4</v>
      </c>
      <c r="Y10">
        <f t="shared" si="10"/>
        <v>109.73333333333335</v>
      </c>
      <c r="Z10">
        <v>114</v>
      </c>
      <c r="AA10">
        <f t="shared" si="11"/>
        <v>112.89999999999999</v>
      </c>
      <c r="AB10">
        <v>117.8</v>
      </c>
      <c r="AC10">
        <f t="shared" si="12"/>
        <v>115.26666666666667</v>
      </c>
      <c r="AD10">
        <v>111.7</v>
      </c>
      <c r="AE10">
        <f t="shared" si="13"/>
        <v>110.73333333333333</v>
      </c>
      <c r="AF10">
        <v>112.7</v>
      </c>
      <c r="AG10">
        <f t="shared" si="14"/>
        <v>111.5</v>
      </c>
      <c r="AH10">
        <v>111.4</v>
      </c>
      <c r="AI10">
        <f t="shared" si="15"/>
        <v>110.36666666666667</v>
      </c>
      <c r="AJ10">
        <v>112.5</v>
      </c>
      <c r="AK10">
        <f t="shared" si="16"/>
        <v>111.3</v>
      </c>
      <c r="AL10" t="s">
        <v>32</v>
      </c>
      <c r="AN10">
        <v>111.1</v>
      </c>
      <c r="AO10">
        <f t="shared" si="17"/>
        <v>110.16666666666667</v>
      </c>
      <c r="AP10">
        <v>109.6</v>
      </c>
      <c r="AQ10">
        <f t="shared" si="18"/>
        <v>108.86666666666667</v>
      </c>
      <c r="AR10">
        <v>108.3</v>
      </c>
      <c r="AS10">
        <f t="shared" si="19"/>
        <v>107.56666666666666</v>
      </c>
      <c r="AT10">
        <v>109.3</v>
      </c>
      <c r="AU10">
        <f t="shared" si="20"/>
        <v>107.96666666666665</v>
      </c>
      <c r="AV10">
        <v>107.7</v>
      </c>
      <c r="AW10">
        <f t="shared" si="21"/>
        <v>106.96666666666665</v>
      </c>
      <c r="AX10">
        <v>109.8</v>
      </c>
      <c r="AY10">
        <f t="shared" si="22"/>
        <v>108.76666666666667</v>
      </c>
      <c r="AZ10">
        <v>106.7</v>
      </c>
      <c r="BA10">
        <f t="shared" si="23"/>
        <v>104.73333333333333</v>
      </c>
      <c r="BB10">
        <v>108.7</v>
      </c>
      <c r="BC10">
        <f t="shared" si="24"/>
        <v>107.56666666666666</v>
      </c>
      <c r="BD10">
        <v>114.2</v>
      </c>
      <c r="BE10">
        <f t="shared" si="25"/>
        <v>112.33333333333333</v>
      </c>
      <c r="BI10" t="s">
        <v>33</v>
      </c>
      <c r="BJ10">
        <v>2020</v>
      </c>
      <c r="BK10" t="s">
        <v>38</v>
      </c>
      <c r="BL10">
        <v>149.15</v>
      </c>
      <c r="BM10">
        <v>167.5</v>
      </c>
      <c r="BN10">
        <v>150.4</v>
      </c>
      <c r="BO10">
        <v>153.30000000000001</v>
      </c>
      <c r="BP10">
        <v>129.55000000000001</v>
      </c>
      <c r="BQ10">
        <v>148.10000000000002</v>
      </c>
      <c r="BR10">
        <v>173.5</v>
      </c>
      <c r="BS10">
        <v>145.25</v>
      </c>
      <c r="BT10">
        <v>117.80000000000001</v>
      </c>
      <c r="BU10">
        <v>152.75</v>
      </c>
      <c r="BV10">
        <v>132.69999999999999</v>
      </c>
      <c r="BW10">
        <v>151.80000000000001</v>
      </c>
      <c r="BX10">
        <v>173.3</v>
      </c>
      <c r="BY10">
        <v>147.69999999999999</v>
      </c>
      <c r="BZ10">
        <v>133.80000000000001</v>
      </c>
      <c r="CA10">
        <v>145.6</v>
      </c>
      <c r="CB10">
        <v>155.05000000000001</v>
      </c>
      <c r="CC10">
        <v>139.25</v>
      </c>
      <c r="CD10">
        <v>140.80000000000001</v>
      </c>
      <c r="CE10">
        <v>144.9</v>
      </c>
      <c r="CF10">
        <v>124.6</v>
      </c>
      <c r="CG10">
        <v>137.9</v>
      </c>
      <c r="CH10">
        <v>152.5</v>
      </c>
      <c r="CI10">
        <v>145.30000000000001</v>
      </c>
      <c r="CJ10">
        <v>138.69999999999999</v>
      </c>
      <c r="CK10">
        <v>147.30000000000001</v>
      </c>
    </row>
    <row r="11" spans="1:89">
      <c r="A11" t="s">
        <v>30</v>
      </c>
      <c r="B11">
        <v>2013</v>
      </c>
      <c r="C11" t="s">
        <v>43</v>
      </c>
      <c r="D11">
        <v>116.3</v>
      </c>
      <c r="E11">
        <f t="shared" si="0"/>
        <v>115.33333333333333</v>
      </c>
      <c r="F11">
        <v>115.4</v>
      </c>
      <c r="G11">
        <f t="shared" si="1"/>
        <v>115.5</v>
      </c>
      <c r="H11">
        <v>112.6</v>
      </c>
      <c r="I11">
        <f t="shared" si="2"/>
        <v>111.8</v>
      </c>
      <c r="J11">
        <v>111.7</v>
      </c>
      <c r="K11">
        <f t="shared" si="3"/>
        <v>110.89999999999999</v>
      </c>
      <c r="L11">
        <v>107.7</v>
      </c>
      <c r="M11">
        <f t="shared" si="4"/>
        <v>107.16666666666667</v>
      </c>
      <c r="N11">
        <v>113.2</v>
      </c>
      <c r="O11">
        <f t="shared" si="5"/>
        <v>111.63333333333333</v>
      </c>
      <c r="P11">
        <v>164.9</v>
      </c>
      <c r="Q11">
        <f t="shared" si="6"/>
        <v>152.6</v>
      </c>
      <c r="R11">
        <v>108.3</v>
      </c>
      <c r="S11">
        <f t="shared" si="7"/>
        <v>107.93333333333334</v>
      </c>
      <c r="T11">
        <v>103.9</v>
      </c>
      <c r="U11">
        <f t="shared" si="8"/>
        <v>104.06666666666668</v>
      </c>
      <c r="V11">
        <v>108.2</v>
      </c>
      <c r="W11">
        <f t="shared" si="9"/>
        <v>107.66666666666667</v>
      </c>
      <c r="X11">
        <v>111.1</v>
      </c>
      <c r="Y11">
        <f t="shared" si="10"/>
        <v>110.40000000000002</v>
      </c>
      <c r="Z11">
        <v>114.9</v>
      </c>
      <c r="AA11">
        <f t="shared" si="11"/>
        <v>113.83333333333333</v>
      </c>
      <c r="AB11">
        <v>119.8</v>
      </c>
      <c r="AC11">
        <f t="shared" si="12"/>
        <v>117.5</v>
      </c>
      <c r="AD11">
        <v>112.2</v>
      </c>
      <c r="AE11">
        <f t="shared" si="13"/>
        <v>111.53333333333335</v>
      </c>
      <c r="AF11">
        <v>113.6</v>
      </c>
      <c r="AG11">
        <f t="shared" si="14"/>
        <v>112.53333333333335</v>
      </c>
      <c r="AH11">
        <v>112.3</v>
      </c>
      <c r="AI11">
        <f t="shared" si="15"/>
        <v>111.30000000000001</v>
      </c>
      <c r="AJ11">
        <v>113.4</v>
      </c>
      <c r="AK11">
        <f t="shared" si="16"/>
        <v>112.33333333333333</v>
      </c>
      <c r="AL11" t="s">
        <v>32</v>
      </c>
      <c r="AN11">
        <v>111.6</v>
      </c>
      <c r="AO11">
        <f t="shared" si="17"/>
        <v>110.86666666666667</v>
      </c>
      <c r="AP11">
        <v>110.4</v>
      </c>
      <c r="AQ11">
        <f t="shared" si="18"/>
        <v>109.56666666666668</v>
      </c>
      <c r="AR11">
        <v>108.9</v>
      </c>
      <c r="AS11">
        <f t="shared" si="19"/>
        <v>108.23333333333335</v>
      </c>
      <c r="AT11">
        <v>109.3</v>
      </c>
      <c r="AU11">
        <f t="shared" si="20"/>
        <v>108.8</v>
      </c>
      <c r="AV11">
        <v>108.3</v>
      </c>
      <c r="AW11">
        <f t="shared" si="21"/>
        <v>107.60000000000001</v>
      </c>
      <c r="AX11">
        <v>110.2</v>
      </c>
      <c r="AY11">
        <f t="shared" si="22"/>
        <v>109.56666666666666</v>
      </c>
      <c r="AZ11">
        <v>107.5</v>
      </c>
      <c r="BA11">
        <f t="shared" si="23"/>
        <v>106.39999999999999</v>
      </c>
      <c r="BB11">
        <v>109.1</v>
      </c>
      <c r="BC11">
        <f t="shared" si="24"/>
        <v>108.43333333333332</v>
      </c>
      <c r="BD11">
        <v>115.5</v>
      </c>
      <c r="BE11">
        <f t="shared" si="25"/>
        <v>113.93333333333334</v>
      </c>
    </row>
    <row r="12" spans="1:89">
      <c r="A12" t="s">
        <v>30</v>
      </c>
      <c r="B12">
        <v>2013</v>
      </c>
      <c r="C12" t="s">
        <v>44</v>
      </c>
      <c r="D12">
        <v>117.3</v>
      </c>
      <c r="E12">
        <f t="shared" si="0"/>
        <v>116.33333333333333</v>
      </c>
      <c r="F12">
        <v>114.9</v>
      </c>
      <c r="G12">
        <f t="shared" si="1"/>
        <v>115.33333333333333</v>
      </c>
      <c r="H12">
        <v>116.2</v>
      </c>
      <c r="I12">
        <f t="shared" si="2"/>
        <v>113.5</v>
      </c>
      <c r="J12">
        <v>112.8</v>
      </c>
      <c r="K12">
        <f t="shared" si="3"/>
        <v>111.83333333333333</v>
      </c>
      <c r="L12">
        <v>108.9</v>
      </c>
      <c r="M12">
        <f t="shared" si="4"/>
        <v>108</v>
      </c>
      <c r="N12">
        <v>116.6</v>
      </c>
      <c r="O12">
        <f t="shared" si="5"/>
        <v>113.56666666666668</v>
      </c>
      <c r="P12">
        <v>178.1</v>
      </c>
      <c r="Q12">
        <f t="shared" si="6"/>
        <v>165.66666666666666</v>
      </c>
      <c r="R12">
        <v>109.1</v>
      </c>
      <c r="S12">
        <f t="shared" si="7"/>
        <v>108.5</v>
      </c>
      <c r="T12">
        <v>103.6</v>
      </c>
      <c r="U12">
        <f t="shared" si="8"/>
        <v>103.90000000000002</v>
      </c>
      <c r="V12">
        <v>109</v>
      </c>
      <c r="W12">
        <f t="shared" si="9"/>
        <v>108.36666666666667</v>
      </c>
      <c r="X12">
        <v>111.8</v>
      </c>
      <c r="Y12">
        <f t="shared" si="10"/>
        <v>111.10000000000001</v>
      </c>
      <c r="Z12">
        <v>116</v>
      </c>
      <c r="AA12">
        <f t="shared" si="11"/>
        <v>114.96666666666665</v>
      </c>
      <c r="AB12">
        <v>122.5</v>
      </c>
      <c r="AC12">
        <f t="shared" si="12"/>
        <v>120.03333333333335</v>
      </c>
      <c r="AD12">
        <v>112.8</v>
      </c>
      <c r="AE12">
        <f t="shared" si="13"/>
        <v>112.23333333333333</v>
      </c>
      <c r="AF12">
        <v>114.6</v>
      </c>
      <c r="AG12">
        <f t="shared" si="14"/>
        <v>113.63333333333333</v>
      </c>
      <c r="AH12">
        <v>113.1</v>
      </c>
      <c r="AI12">
        <f t="shared" si="15"/>
        <v>112.26666666666665</v>
      </c>
      <c r="AJ12">
        <v>114.4</v>
      </c>
      <c r="AK12">
        <f t="shared" si="16"/>
        <v>113.43333333333334</v>
      </c>
      <c r="AL12" t="s">
        <v>32</v>
      </c>
      <c r="AN12">
        <v>112.6</v>
      </c>
      <c r="AO12">
        <f t="shared" si="17"/>
        <v>111.76666666666665</v>
      </c>
      <c r="AP12">
        <v>111.3</v>
      </c>
      <c r="AQ12">
        <f t="shared" si="18"/>
        <v>110.43333333333334</v>
      </c>
      <c r="AR12">
        <v>109.7</v>
      </c>
      <c r="AS12">
        <f t="shared" si="19"/>
        <v>108.96666666666665</v>
      </c>
      <c r="AT12">
        <v>109.6</v>
      </c>
      <c r="AU12">
        <f t="shared" si="20"/>
        <v>109.39999999999999</v>
      </c>
      <c r="AV12">
        <v>108.7</v>
      </c>
      <c r="AW12">
        <f t="shared" si="21"/>
        <v>108.23333333333333</v>
      </c>
      <c r="AX12">
        <v>111</v>
      </c>
      <c r="AY12">
        <f t="shared" si="22"/>
        <v>110.33333333333333</v>
      </c>
      <c r="AZ12">
        <v>108.2</v>
      </c>
      <c r="BA12">
        <f t="shared" si="23"/>
        <v>107.46666666666665</v>
      </c>
      <c r="BB12">
        <v>109.8</v>
      </c>
      <c r="BC12">
        <f t="shared" si="24"/>
        <v>109.2</v>
      </c>
      <c r="BD12">
        <v>117.4</v>
      </c>
      <c r="BE12">
        <f t="shared" si="25"/>
        <v>115.7</v>
      </c>
    </row>
    <row r="13" spans="1:89">
      <c r="A13" t="s">
        <v>30</v>
      </c>
      <c r="B13">
        <v>2013</v>
      </c>
      <c r="C13" t="s">
        <v>46</v>
      </c>
      <c r="D13">
        <v>118.4</v>
      </c>
      <c r="E13">
        <f t="shared" si="0"/>
        <v>117.33333333333333</v>
      </c>
      <c r="F13">
        <v>115.9</v>
      </c>
      <c r="G13">
        <f t="shared" si="1"/>
        <v>115.40000000000002</v>
      </c>
      <c r="H13">
        <v>120.4</v>
      </c>
      <c r="I13">
        <f t="shared" si="2"/>
        <v>116.40000000000002</v>
      </c>
      <c r="J13">
        <v>113.8</v>
      </c>
      <c r="K13">
        <f t="shared" si="3"/>
        <v>112.76666666666667</v>
      </c>
      <c r="L13">
        <v>109.5</v>
      </c>
      <c r="M13">
        <f t="shared" si="4"/>
        <v>108.7</v>
      </c>
      <c r="N13">
        <v>115.5</v>
      </c>
      <c r="O13">
        <f t="shared" si="5"/>
        <v>115.10000000000001</v>
      </c>
      <c r="P13">
        <v>145.69999999999999</v>
      </c>
      <c r="Q13">
        <f t="shared" si="6"/>
        <v>162.9</v>
      </c>
      <c r="R13">
        <v>109.5</v>
      </c>
      <c r="S13">
        <f t="shared" si="7"/>
        <v>108.96666666666665</v>
      </c>
      <c r="T13">
        <v>102.9</v>
      </c>
      <c r="U13">
        <f t="shared" si="8"/>
        <v>103.46666666666665</v>
      </c>
      <c r="V13">
        <v>109.8</v>
      </c>
      <c r="W13">
        <f t="shared" si="9"/>
        <v>109</v>
      </c>
      <c r="X13">
        <v>112.1</v>
      </c>
      <c r="Y13">
        <f t="shared" si="10"/>
        <v>111.66666666666667</v>
      </c>
      <c r="Z13">
        <v>116.8</v>
      </c>
      <c r="AA13">
        <f t="shared" si="11"/>
        <v>115.89999999999999</v>
      </c>
      <c r="AB13">
        <v>118.7</v>
      </c>
      <c r="AC13">
        <f t="shared" si="12"/>
        <v>120.33333333333333</v>
      </c>
      <c r="AD13">
        <v>113.6</v>
      </c>
      <c r="AE13">
        <f t="shared" si="13"/>
        <v>112.86666666666667</v>
      </c>
      <c r="AF13">
        <v>115.8</v>
      </c>
      <c r="AG13">
        <f t="shared" si="14"/>
        <v>114.66666666666667</v>
      </c>
      <c r="AH13">
        <v>114</v>
      </c>
      <c r="AI13">
        <f t="shared" si="15"/>
        <v>113.13333333333333</v>
      </c>
      <c r="AJ13">
        <v>115.5</v>
      </c>
      <c r="AK13">
        <f t="shared" si="16"/>
        <v>114.43333333333334</v>
      </c>
      <c r="AL13" t="s">
        <v>32</v>
      </c>
      <c r="AN13">
        <v>112.8</v>
      </c>
      <c r="AO13">
        <f t="shared" si="17"/>
        <v>112.33333333333333</v>
      </c>
      <c r="AP13">
        <v>112.1</v>
      </c>
      <c r="AQ13">
        <f t="shared" si="18"/>
        <v>111.26666666666665</v>
      </c>
      <c r="AR13">
        <v>110.1</v>
      </c>
      <c r="AS13">
        <f t="shared" si="19"/>
        <v>109.56666666666668</v>
      </c>
      <c r="AT13">
        <v>109.9</v>
      </c>
      <c r="AU13">
        <f t="shared" si="20"/>
        <v>109.59999999999998</v>
      </c>
      <c r="AV13">
        <v>109.2</v>
      </c>
      <c r="AW13">
        <f t="shared" si="21"/>
        <v>108.73333333333333</v>
      </c>
      <c r="AX13">
        <v>111.6</v>
      </c>
      <c r="AY13">
        <f t="shared" si="22"/>
        <v>110.93333333333332</v>
      </c>
      <c r="AZ13">
        <v>108.1</v>
      </c>
      <c r="BA13">
        <f t="shared" si="23"/>
        <v>107.93333333333332</v>
      </c>
      <c r="BB13">
        <v>110.1</v>
      </c>
      <c r="BC13">
        <f t="shared" si="24"/>
        <v>109.66666666666667</v>
      </c>
      <c r="BD13">
        <v>115.5</v>
      </c>
      <c r="BE13">
        <f t="shared" si="25"/>
        <v>116.13333333333333</v>
      </c>
    </row>
    <row r="14" spans="1:89">
      <c r="A14" t="s">
        <v>30</v>
      </c>
      <c r="B14">
        <v>2014</v>
      </c>
      <c r="C14" t="s">
        <v>31</v>
      </c>
      <c r="D14">
        <v>118.9</v>
      </c>
      <c r="E14">
        <f t="shared" si="0"/>
        <v>118.2</v>
      </c>
      <c r="F14">
        <v>117.1</v>
      </c>
      <c r="G14">
        <f t="shared" si="1"/>
        <v>115.96666666666665</v>
      </c>
      <c r="H14">
        <v>120.5</v>
      </c>
      <c r="I14">
        <f t="shared" si="2"/>
        <v>119.03333333333335</v>
      </c>
      <c r="J14">
        <v>114.4</v>
      </c>
      <c r="K14">
        <f t="shared" si="3"/>
        <v>113.66666666666667</v>
      </c>
      <c r="L14">
        <v>109</v>
      </c>
      <c r="M14">
        <f t="shared" si="4"/>
        <v>109.13333333333333</v>
      </c>
      <c r="N14">
        <v>115.5</v>
      </c>
      <c r="O14">
        <f t="shared" si="5"/>
        <v>115.86666666666667</v>
      </c>
      <c r="P14">
        <v>123.9</v>
      </c>
      <c r="Q14">
        <f t="shared" si="6"/>
        <v>149.23333333333332</v>
      </c>
      <c r="R14">
        <v>109.6</v>
      </c>
      <c r="S14">
        <f t="shared" si="7"/>
        <v>109.39999999999999</v>
      </c>
      <c r="T14">
        <v>101.8</v>
      </c>
      <c r="U14">
        <f t="shared" si="8"/>
        <v>102.76666666666667</v>
      </c>
      <c r="V14">
        <v>110.2</v>
      </c>
      <c r="W14">
        <f t="shared" si="9"/>
        <v>109.66666666666667</v>
      </c>
      <c r="X14">
        <v>112.4</v>
      </c>
      <c r="Y14">
        <f t="shared" si="10"/>
        <v>112.09999999999998</v>
      </c>
      <c r="Z14">
        <v>117.3</v>
      </c>
      <c r="AA14">
        <f t="shared" si="11"/>
        <v>116.7</v>
      </c>
      <c r="AB14">
        <v>116</v>
      </c>
      <c r="AC14">
        <f t="shared" si="12"/>
        <v>119.06666666666666</v>
      </c>
      <c r="AD14">
        <v>114</v>
      </c>
      <c r="AE14">
        <f t="shared" si="13"/>
        <v>113.46666666666665</v>
      </c>
      <c r="AF14">
        <v>116.5</v>
      </c>
      <c r="AG14">
        <f t="shared" si="14"/>
        <v>115.63333333333333</v>
      </c>
      <c r="AH14">
        <v>114.5</v>
      </c>
      <c r="AI14">
        <f t="shared" si="15"/>
        <v>113.86666666666667</v>
      </c>
      <c r="AJ14">
        <v>116.2</v>
      </c>
      <c r="AK14">
        <f t="shared" si="16"/>
        <v>115.36666666666667</v>
      </c>
      <c r="AL14" t="s">
        <v>32</v>
      </c>
      <c r="AN14">
        <v>113</v>
      </c>
      <c r="AO14">
        <f t="shared" si="17"/>
        <v>112.8</v>
      </c>
      <c r="AP14">
        <v>112.6</v>
      </c>
      <c r="AQ14">
        <f t="shared" si="18"/>
        <v>112</v>
      </c>
      <c r="AR14">
        <v>110.6</v>
      </c>
      <c r="AS14">
        <f t="shared" si="19"/>
        <v>110.13333333333333</v>
      </c>
      <c r="AT14">
        <v>110.5</v>
      </c>
      <c r="AU14">
        <f t="shared" si="20"/>
        <v>110</v>
      </c>
      <c r="AV14">
        <v>109.6</v>
      </c>
      <c r="AW14">
        <f t="shared" si="21"/>
        <v>109.16666666666667</v>
      </c>
      <c r="AX14">
        <v>111.8</v>
      </c>
      <c r="AY14">
        <f t="shared" si="22"/>
        <v>111.46666666666665</v>
      </c>
      <c r="AZ14">
        <v>108.3</v>
      </c>
      <c r="BA14">
        <f t="shared" si="23"/>
        <v>108.2</v>
      </c>
      <c r="BB14">
        <v>110.6</v>
      </c>
      <c r="BC14">
        <f t="shared" si="24"/>
        <v>110.16666666666667</v>
      </c>
      <c r="BD14">
        <v>114.2</v>
      </c>
      <c r="BE14">
        <f t="shared" si="25"/>
        <v>115.7</v>
      </c>
    </row>
    <row r="15" spans="1:89">
      <c r="A15" t="s">
        <v>30</v>
      </c>
      <c r="B15">
        <v>2014</v>
      </c>
      <c r="C15" t="s">
        <v>35</v>
      </c>
      <c r="D15">
        <v>119.4</v>
      </c>
      <c r="E15">
        <f t="shared" si="0"/>
        <v>118.90000000000002</v>
      </c>
      <c r="F15">
        <v>117.7</v>
      </c>
      <c r="G15">
        <f t="shared" si="1"/>
        <v>116.89999999999999</v>
      </c>
      <c r="H15">
        <v>121.2</v>
      </c>
      <c r="I15">
        <f t="shared" si="2"/>
        <v>120.7</v>
      </c>
      <c r="J15">
        <v>115</v>
      </c>
      <c r="K15">
        <f t="shared" si="3"/>
        <v>114.39999999999999</v>
      </c>
      <c r="L15">
        <v>109</v>
      </c>
      <c r="M15">
        <f t="shared" si="4"/>
        <v>109.16666666666667</v>
      </c>
      <c r="N15">
        <v>116.6</v>
      </c>
      <c r="O15">
        <f t="shared" si="5"/>
        <v>115.86666666666667</v>
      </c>
      <c r="P15">
        <v>116</v>
      </c>
      <c r="Q15">
        <f t="shared" si="6"/>
        <v>128.53333333333333</v>
      </c>
      <c r="R15">
        <v>109.8</v>
      </c>
      <c r="S15">
        <f t="shared" si="7"/>
        <v>109.63333333333333</v>
      </c>
      <c r="T15">
        <v>101.1</v>
      </c>
      <c r="U15">
        <f t="shared" si="8"/>
        <v>101.93333333333332</v>
      </c>
      <c r="V15">
        <v>110.4</v>
      </c>
      <c r="W15">
        <f t="shared" si="9"/>
        <v>110.13333333333333</v>
      </c>
      <c r="X15">
        <v>112.9</v>
      </c>
      <c r="Y15">
        <f t="shared" si="10"/>
        <v>112.46666666666665</v>
      </c>
      <c r="Z15">
        <v>117.8</v>
      </c>
      <c r="AA15">
        <f t="shared" si="11"/>
        <v>117.3</v>
      </c>
      <c r="AB15">
        <v>115.3</v>
      </c>
      <c r="AC15">
        <f t="shared" si="12"/>
        <v>116.66666666666667</v>
      </c>
      <c r="AD15">
        <v>114.2</v>
      </c>
      <c r="AE15">
        <f t="shared" si="13"/>
        <v>113.93333333333334</v>
      </c>
      <c r="AF15">
        <v>117.1</v>
      </c>
      <c r="AG15">
        <f t="shared" si="14"/>
        <v>116.46666666666665</v>
      </c>
      <c r="AH15">
        <v>114.5</v>
      </c>
      <c r="AI15">
        <f t="shared" si="15"/>
        <v>114.33333333333333</v>
      </c>
      <c r="AJ15">
        <v>116.7</v>
      </c>
      <c r="AK15">
        <f t="shared" si="16"/>
        <v>116.13333333333333</v>
      </c>
      <c r="AL15" t="s">
        <v>32</v>
      </c>
      <c r="AN15">
        <v>113.2</v>
      </c>
      <c r="AO15">
        <f t="shared" si="17"/>
        <v>113</v>
      </c>
      <c r="AP15">
        <v>112.9</v>
      </c>
      <c r="AQ15">
        <f t="shared" si="18"/>
        <v>112.53333333333335</v>
      </c>
      <c r="AR15">
        <v>110.9</v>
      </c>
      <c r="AS15">
        <f t="shared" si="19"/>
        <v>110.53333333333335</v>
      </c>
      <c r="AT15">
        <v>110.8</v>
      </c>
      <c r="AU15">
        <f t="shared" si="20"/>
        <v>110.39999999999999</v>
      </c>
      <c r="AV15">
        <v>109.9</v>
      </c>
      <c r="AW15">
        <f t="shared" si="21"/>
        <v>109.56666666666668</v>
      </c>
      <c r="AX15">
        <v>112</v>
      </c>
      <c r="AY15">
        <f t="shared" si="22"/>
        <v>111.8</v>
      </c>
      <c r="AZ15">
        <v>108.7</v>
      </c>
      <c r="BA15">
        <f t="shared" si="23"/>
        <v>108.36666666666666</v>
      </c>
      <c r="BB15">
        <v>110.9</v>
      </c>
      <c r="BC15">
        <f t="shared" si="24"/>
        <v>110.53333333333335</v>
      </c>
      <c r="BD15">
        <v>114</v>
      </c>
      <c r="BE15">
        <f t="shared" si="25"/>
        <v>114.56666666666666</v>
      </c>
    </row>
    <row r="16" spans="1:89">
      <c r="A16" t="s">
        <v>30</v>
      </c>
      <c r="B16">
        <v>2014</v>
      </c>
      <c r="C16" t="s">
        <v>36</v>
      </c>
      <c r="D16">
        <v>120.1</v>
      </c>
      <c r="E16">
        <f t="shared" si="0"/>
        <v>119.46666666666665</v>
      </c>
      <c r="F16">
        <v>118.1</v>
      </c>
      <c r="G16">
        <f t="shared" si="1"/>
        <v>117.63333333333333</v>
      </c>
      <c r="H16">
        <v>120.7</v>
      </c>
      <c r="I16">
        <f t="shared" si="2"/>
        <v>120.8</v>
      </c>
      <c r="J16">
        <v>116.1</v>
      </c>
      <c r="K16">
        <f t="shared" si="3"/>
        <v>115.16666666666667</v>
      </c>
      <c r="L16">
        <v>109.3</v>
      </c>
      <c r="M16">
        <f t="shared" si="4"/>
        <v>109.10000000000001</v>
      </c>
      <c r="N16">
        <v>119.6</v>
      </c>
      <c r="O16">
        <f t="shared" si="5"/>
        <v>117.23333333333333</v>
      </c>
      <c r="P16">
        <v>117.9</v>
      </c>
      <c r="Q16">
        <f t="shared" si="6"/>
        <v>119.26666666666667</v>
      </c>
      <c r="R16">
        <v>110.2</v>
      </c>
      <c r="S16">
        <f t="shared" si="7"/>
        <v>109.86666666666666</v>
      </c>
      <c r="T16">
        <v>101.2</v>
      </c>
      <c r="U16">
        <f t="shared" si="8"/>
        <v>101.36666666666666</v>
      </c>
      <c r="V16">
        <v>110.7</v>
      </c>
      <c r="W16">
        <f t="shared" si="9"/>
        <v>110.43333333333334</v>
      </c>
      <c r="X16">
        <v>113</v>
      </c>
      <c r="Y16">
        <f t="shared" si="10"/>
        <v>112.76666666666667</v>
      </c>
      <c r="Z16">
        <v>118.3</v>
      </c>
      <c r="AA16">
        <f t="shared" si="11"/>
        <v>117.8</v>
      </c>
      <c r="AB16">
        <v>116.2</v>
      </c>
      <c r="AC16">
        <f t="shared" si="12"/>
        <v>115.83333333333333</v>
      </c>
      <c r="AD16">
        <v>114.6</v>
      </c>
      <c r="AE16">
        <f t="shared" si="13"/>
        <v>114.26666666666665</v>
      </c>
      <c r="AF16">
        <v>117.5</v>
      </c>
      <c r="AG16">
        <f t="shared" si="14"/>
        <v>117.03333333333335</v>
      </c>
      <c r="AH16">
        <v>114.9</v>
      </c>
      <c r="AI16">
        <f t="shared" si="15"/>
        <v>114.63333333333333</v>
      </c>
      <c r="AJ16">
        <v>117.2</v>
      </c>
      <c r="AK16">
        <f t="shared" si="16"/>
        <v>116.7</v>
      </c>
      <c r="AL16" t="s">
        <v>32</v>
      </c>
      <c r="AN16">
        <v>113.4</v>
      </c>
      <c r="AO16">
        <f t="shared" si="17"/>
        <v>113.2</v>
      </c>
      <c r="AP16">
        <v>113.4</v>
      </c>
      <c r="AQ16">
        <f t="shared" si="18"/>
        <v>112.96666666666665</v>
      </c>
      <c r="AR16">
        <v>111.4</v>
      </c>
      <c r="AS16">
        <f t="shared" si="19"/>
        <v>110.96666666666665</v>
      </c>
      <c r="AT16">
        <v>111.2</v>
      </c>
      <c r="AU16">
        <f t="shared" si="20"/>
        <v>110.83333333333333</v>
      </c>
      <c r="AV16">
        <v>110.2</v>
      </c>
      <c r="AW16">
        <f t="shared" si="21"/>
        <v>109.89999999999999</v>
      </c>
      <c r="AX16">
        <v>112.4</v>
      </c>
      <c r="AY16">
        <f t="shared" si="22"/>
        <v>112.06666666666668</v>
      </c>
      <c r="AZ16">
        <v>108.9</v>
      </c>
      <c r="BA16">
        <f t="shared" si="23"/>
        <v>108.63333333333333</v>
      </c>
      <c r="BB16">
        <v>111.3</v>
      </c>
      <c r="BC16">
        <f t="shared" si="24"/>
        <v>110.93333333333334</v>
      </c>
      <c r="BD16">
        <v>114.6</v>
      </c>
      <c r="BE16">
        <f t="shared" si="25"/>
        <v>114.26666666666665</v>
      </c>
    </row>
    <row r="17" spans="1:57">
      <c r="A17" t="s">
        <v>30</v>
      </c>
      <c r="B17">
        <v>2014</v>
      </c>
      <c r="C17" t="s">
        <v>37</v>
      </c>
      <c r="D17">
        <v>120.2</v>
      </c>
      <c r="E17">
        <f t="shared" si="0"/>
        <v>119.89999999999999</v>
      </c>
      <c r="F17">
        <v>118.9</v>
      </c>
      <c r="G17">
        <f t="shared" si="1"/>
        <v>118.23333333333335</v>
      </c>
      <c r="H17">
        <v>118.1</v>
      </c>
      <c r="I17">
        <f t="shared" si="2"/>
        <v>120</v>
      </c>
      <c r="J17">
        <v>117</v>
      </c>
      <c r="K17">
        <f t="shared" si="3"/>
        <v>116.03333333333335</v>
      </c>
      <c r="L17">
        <v>109.7</v>
      </c>
      <c r="M17">
        <f t="shared" si="4"/>
        <v>109.33333333333333</v>
      </c>
      <c r="N17">
        <v>125.5</v>
      </c>
      <c r="O17">
        <f t="shared" si="5"/>
        <v>120.56666666666666</v>
      </c>
      <c r="P17">
        <v>120.5</v>
      </c>
      <c r="Q17">
        <f t="shared" si="6"/>
        <v>118.13333333333333</v>
      </c>
      <c r="R17">
        <v>111</v>
      </c>
      <c r="S17">
        <f t="shared" si="7"/>
        <v>110.33333333333333</v>
      </c>
      <c r="T17">
        <v>102.6</v>
      </c>
      <c r="U17">
        <f t="shared" si="8"/>
        <v>101.63333333333333</v>
      </c>
      <c r="V17">
        <v>111.2</v>
      </c>
      <c r="W17">
        <f t="shared" si="9"/>
        <v>110.76666666666667</v>
      </c>
      <c r="X17">
        <v>113.5</v>
      </c>
      <c r="Y17">
        <f t="shared" si="10"/>
        <v>113.13333333333333</v>
      </c>
      <c r="Z17">
        <v>118.7</v>
      </c>
      <c r="AA17">
        <f t="shared" si="11"/>
        <v>118.26666666666667</v>
      </c>
      <c r="AB17">
        <v>117.2</v>
      </c>
      <c r="AC17">
        <f t="shared" si="12"/>
        <v>116.23333333333333</v>
      </c>
      <c r="AD17">
        <v>115.4</v>
      </c>
      <c r="AE17">
        <f t="shared" si="13"/>
        <v>114.73333333333335</v>
      </c>
      <c r="AF17">
        <v>118.1</v>
      </c>
      <c r="AG17">
        <f t="shared" si="14"/>
        <v>117.56666666666666</v>
      </c>
      <c r="AH17">
        <v>116.1</v>
      </c>
      <c r="AI17">
        <f t="shared" si="15"/>
        <v>115.16666666666667</v>
      </c>
      <c r="AJ17">
        <v>117.8</v>
      </c>
      <c r="AK17">
        <f t="shared" si="16"/>
        <v>117.23333333333333</v>
      </c>
      <c r="AL17" t="s">
        <v>32</v>
      </c>
      <c r="AN17">
        <v>113.4</v>
      </c>
      <c r="AO17">
        <f t="shared" si="17"/>
        <v>113.33333333333333</v>
      </c>
      <c r="AP17">
        <v>113.7</v>
      </c>
      <c r="AQ17">
        <f t="shared" si="18"/>
        <v>113.33333333333333</v>
      </c>
      <c r="AR17">
        <v>111.8</v>
      </c>
      <c r="AS17">
        <f t="shared" si="19"/>
        <v>111.36666666666667</v>
      </c>
      <c r="AT17">
        <v>111.2</v>
      </c>
      <c r="AU17">
        <f t="shared" si="20"/>
        <v>111.06666666666666</v>
      </c>
      <c r="AV17">
        <v>110.5</v>
      </c>
      <c r="AW17">
        <f t="shared" si="21"/>
        <v>110.2</v>
      </c>
      <c r="AX17">
        <v>113</v>
      </c>
      <c r="AY17">
        <f t="shared" si="22"/>
        <v>112.46666666666665</v>
      </c>
      <c r="AZ17">
        <v>108.9</v>
      </c>
      <c r="BA17">
        <f t="shared" si="23"/>
        <v>108.83333333333333</v>
      </c>
      <c r="BB17">
        <v>111.5</v>
      </c>
      <c r="BC17">
        <f t="shared" si="24"/>
        <v>111.23333333333333</v>
      </c>
      <c r="BD17">
        <v>115.4</v>
      </c>
      <c r="BE17">
        <f t="shared" si="25"/>
        <v>114.66666666666667</v>
      </c>
    </row>
    <row r="18" spans="1:57">
      <c r="A18" t="s">
        <v>30</v>
      </c>
      <c r="B18">
        <v>2014</v>
      </c>
      <c r="C18" t="s">
        <v>38</v>
      </c>
      <c r="D18">
        <v>120.3</v>
      </c>
      <c r="E18">
        <f t="shared" si="0"/>
        <v>120.2</v>
      </c>
      <c r="F18">
        <v>120.2</v>
      </c>
      <c r="G18">
        <f t="shared" si="1"/>
        <v>119.06666666666666</v>
      </c>
      <c r="H18">
        <v>116.9</v>
      </c>
      <c r="I18">
        <f t="shared" si="2"/>
        <v>118.56666666666668</v>
      </c>
      <c r="J18">
        <v>118</v>
      </c>
      <c r="K18">
        <f t="shared" si="3"/>
        <v>117.03333333333335</v>
      </c>
      <c r="L18">
        <v>110.1</v>
      </c>
      <c r="M18">
        <f t="shared" si="4"/>
        <v>109.7</v>
      </c>
      <c r="N18">
        <v>126.3</v>
      </c>
      <c r="O18">
        <f t="shared" si="5"/>
        <v>123.8</v>
      </c>
      <c r="P18">
        <v>123.9</v>
      </c>
      <c r="Q18">
        <f t="shared" si="6"/>
        <v>120.76666666666667</v>
      </c>
      <c r="R18">
        <v>111.5</v>
      </c>
      <c r="S18">
        <f t="shared" si="7"/>
        <v>110.89999999999999</v>
      </c>
      <c r="T18">
        <v>103.5</v>
      </c>
      <c r="U18">
        <f t="shared" si="8"/>
        <v>102.43333333333334</v>
      </c>
      <c r="V18">
        <v>111.6</v>
      </c>
      <c r="W18">
        <f t="shared" si="9"/>
        <v>111.16666666666667</v>
      </c>
      <c r="X18">
        <v>114.2</v>
      </c>
      <c r="Y18">
        <f t="shared" si="10"/>
        <v>113.56666666666666</v>
      </c>
      <c r="Z18">
        <v>119.2</v>
      </c>
      <c r="AA18">
        <f t="shared" si="11"/>
        <v>118.73333333333333</v>
      </c>
      <c r="AB18">
        <v>118.2</v>
      </c>
      <c r="AC18">
        <f t="shared" si="12"/>
        <v>117.2</v>
      </c>
      <c r="AD18">
        <v>116.3</v>
      </c>
      <c r="AE18">
        <f t="shared" si="13"/>
        <v>115.43333333333334</v>
      </c>
      <c r="AF18">
        <v>118.7</v>
      </c>
      <c r="AG18">
        <f t="shared" si="14"/>
        <v>118.10000000000001</v>
      </c>
      <c r="AH18">
        <v>116.8</v>
      </c>
      <c r="AI18">
        <f t="shared" si="15"/>
        <v>115.93333333333334</v>
      </c>
      <c r="AJ18">
        <v>118.5</v>
      </c>
      <c r="AK18">
        <f t="shared" si="16"/>
        <v>117.83333333333333</v>
      </c>
      <c r="AL18" t="s">
        <v>32</v>
      </c>
      <c r="AN18">
        <v>113.4</v>
      </c>
      <c r="AO18">
        <f t="shared" si="17"/>
        <v>113.40000000000002</v>
      </c>
      <c r="AP18">
        <v>114.1</v>
      </c>
      <c r="AQ18">
        <f t="shared" si="18"/>
        <v>113.73333333333335</v>
      </c>
      <c r="AR18">
        <v>112.1</v>
      </c>
      <c r="AS18">
        <f t="shared" si="19"/>
        <v>111.76666666666665</v>
      </c>
      <c r="AT18">
        <v>111.4</v>
      </c>
      <c r="AU18">
        <f t="shared" si="20"/>
        <v>111.26666666666667</v>
      </c>
      <c r="AV18">
        <v>110.9</v>
      </c>
      <c r="AW18">
        <f t="shared" si="21"/>
        <v>110.53333333333335</v>
      </c>
      <c r="AX18">
        <v>113.1</v>
      </c>
      <c r="AY18">
        <f t="shared" si="22"/>
        <v>112.83333333333333</v>
      </c>
      <c r="AZ18">
        <v>108.9</v>
      </c>
      <c r="BA18">
        <f t="shared" si="23"/>
        <v>108.90000000000002</v>
      </c>
      <c r="BB18">
        <v>111.8</v>
      </c>
      <c r="BC18">
        <f t="shared" si="24"/>
        <v>111.53333333333335</v>
      </c>
      <c r="BD18">
        <v>116</v>
      </c>
      <c r="BE18">
        <f t="shared" si="25"/>
        <v>115.33333333333333</v>
      </c>
    </row>
    <row r="19" spans="1:57">
      <c r="A19" t="s">
        <v>30</v>
      </c>
      <c r="B19">
        <v>2014</v>
      </c>
      <c r="C19" t="s">
        <v>39</v>
      </c>
      <c r="D19">
        <v>120.7</v>
      </c>
      <c r="E19">
        <f t="shared" si="0"/>
        <v>120.39999999999999</v>
      </c>
      <c r="F19">
        <v>121.6</v>
      </c>
      <c r="G19">
        <f t="shared" si="1"/>
        <v>120.23333333333335</v>
      </c>
      <c r="H19">
        <v>116.1</v>
      </c>
      <c r="I19">
        <f t="shared" si="2"/>
        <v>117.03333333333335</v>
      </c>
      <c r="J19">
        <v>119.3</v>
      </c>
      <c r="K19">
        <f t="shared" si="3"/>
        <v>118.10000000000001</v>
      </c>
      <c r="L19">
        <v>110.3</v>
      </c>
      <c r="M19">
        <f t="shared" si="4"/>
        <v>110.03333333333335</v>
      </c>
      <c r="N19">
        <v>125.8</v>
      </c>
      <c r="O19">
        <f t="shared" si="5"/>
        <v>125.86666666666667</v>
      </c>
      <c r="P19">
        <v>129.30000000000001</v>
      </c>
      <c r="Q19">
        <f t="shared" si="6"/>
        <v>124.56666666666668</v>
      </c>
      <c r="R19">
        <v>112.2</v>
      </c>
      <c r="S19">
        <f t="shared" si="7"/>
        <v>111.56666666666666</v>
      </c>
      <c r="T19">
        <v>103.6</v>
      </c>
      <c r="U19">
        <f t="shared" si="8"/>
        <v>103.23333333333333</v>
      </c>
      <c r="V19">
        <v>112.3</v>
      </c>
      <c r="W19">
        <f t="shared" si="9"/>
        <v>111.7</v>
      </c>
      <c r="X19">
        <v>114.9</v>
      </c>
      <c r="Y19">
        <f t="shared" si="10"/>
        <v>114.2</v>
      </c>
      <c r="Z19">
        <v>120.1</v>
      </c>
      <c r="AA19">
        <f t="shared" si="11"/>
        <v>119.33333333333333</v>
      </c>
      <c r="AB19">
        <v>119.5</v>
      </c>
      <c r="AC19">
        <f t="shared" si="12"/>
        <v>118.3</v>
      </c>
      <c r="AD19">
        <v>117.3</v>
      </c>
      <c r="AE19">
        <f t="shared" si="13"/>
        <v>116.33333333333333</v>
      </c>
      <c r="AF19">
        <v>119.7</v>
      </c>
      <c r="AG19">
        <f t="shared" si="14"/>
        <v>118.83333333333333</v>
      </c>
      <c r="AH19">
        <v>117.3</v>
      </c>
      <c r="AI19">
        <f t="shared" si="15"/>
        <v>116.73333333333333</v>
      </c>
      <c r="AJ19">
        <v>119.3</v>
      </c>
      <c r="AK19">
        <f t="shared" si="16"/>
        <v>118.53333333333335</v>
      </c>
      <c r="AL19" t="s">
        <v>32</v>
      </c>
      <c r="AN19">
        <v>114.4</v>
      </c>
      <c r="AO19">
        <f t="shared" si="17"/>
        <v>113.73333333333335</v>
      </c>
      <c r="AP19">
        <v>114.9</v>
      </c>
      <c r="AQ19">
        <f t="shared" si="18"/>
        <v>114.23333333333335</v>
      </c>
      <c r="AR19">
        <v>112.8</v>
      </c>
      <c r="AS19">
        <f t="shared" si="19"/>
        <v>112.23333333333333</v>
      </c>
      <c r="AT19">
        <v>112.2</v>
      </c>
      <c r="AU19">
        <f t="shared" si="20"/>
        <v>111.60000000000001</v>
      </c>
      <c r="AV19">
        <v>111.4</v>
      </c>
      <c r="AW19">
        <f t="shared" si="21"/>
        <v>110.93333333333334</v>
      </c>
      <c r="AX19">
        <v>114.3</v>
      </c>
      <c r="AY19">
        <f t="shared" si="22"/>
        <v>113.46666666666665</v>
      </c>
      <c r="AZ19">
        <v>108</v>
      </c>
      <c r="BA19">
        <f t="shared" si="23"/>
        <v>108.60000000000001</v>
      </c>
      <c r="BB19">
        <v>112.3</v>
      </c>
      <c r="BC19">
        <f t="shared" si="24"/>
        <v>111.86666666666667</v>
      </c>
      <c r="BD19">
        <v>117</v>
      </c>
      <c r="BE19">
        <f t="shared" si="25"/>
        <v>116.13333333333333</v>
      </c>
    </row>
    <row r="20" spans="1:57">
      <c r="A20" t="s">
        <v>30</v>
      </c>
      <c r="B20">
        <v>2014</v>
      </c>
      <c r="C20" t="s">
        <v>40</v>
      </c>
      <c r="D20">
        <v>121.7</v>
      </c>
      <c r="E20">
        <f t="shared" si="0"/>
        <v>120.89999999999999</v>
      </c>
      <c r="F20">
        <v>122.5</v>
      </c>
      <c r="G20">
        <f t="shared" si="1"/>
        <v>121.43333333333334</v>
      </c>
      <c r="H20">
        <v>117.7</v>
      </c>
      <c r="I20">
        <f t="shared" si="2"/>
        <v>116.89999999999999</v>
      </c>
      <c r="J20">
        <v>120.6</v>
      </c>
      <c r="K20">
        <f t="shared" si="3"/>
        <v>119.3</v>
      </c>
      <c r="L20">
        <v>110.4</v>
      </c>
      <c r="M20">
        <f t="shared" si="4"/>
        <v>110.26666666666665</v>
      </c>
      <c r="N20">
        <v>129.1</v>
      </c>
      <c r="O20">
        <f t="shared" si="5"/>
        <v>127.06666666666666</v>
      </c>
      <c r="P20">
        <v>150.1</v>
      </c>
      <c r="Q20">
        <f t="shared" si="6"/>
        <v>134.43333333333334</v>
      </c>
      <c r="R20">
        <v>113.2</v>
      </c>
      <c r="S20">
        <f t="shared" si="7"/>
        <v>112.3</v>
      </c>
      <c r="T20">
        <v>104.8</v>
      </c>
      <c r="U20">
        <f t="shared" si="8"/>
        <v>103.96666666666665</v>
      </c>
      <c r="V20">
        <v>113.3</v>
      </c>
      <c r="W20">
        <f t="shared" si="9"/>
        <v>112.39999999999999</v>
      </c>
      <c r="X20">
        <v>115.6</v>
      </c>
      <c r="Y20">
        <f t="shared" si="10"/>
        <v>114.90000000000002</v>
      </c>
      <c r="Z20">
        <v>120.9</v>
      </c>
      <c r="AA20">
        <f t="shared" si="11"/>
        <v>120.06666666666668</v>
      </c>
      <c r="AB20">
        <v>123.3</v>
      </c>
      <c r="AC20">
        <f t="shared" si="12"/>
        <v>120.33333333333333</v>
      </c>
      <c r="AD20">
        <v>118</v>
      </c>
      <c r="AE20">
        <f t="shared" si="13"/>
        <v>117.2</v>
      </c>
      <c r="AF20">
        <v>120.7</v>
      </c>
      <c r="AG20">
        <f t="shared" si="14"/>
        <v>119.7</v>
      </c>
      <c r="AH20">
        <v>118.3</v>
      </c>
      <c r="AI20">
        <f t="shared" si="15"/>
        <v>117.46666666666665</v>
      </c>
      <c r="AJ20">
        <v>120.3</v>
      </c>
      <c r="AK20">
        <f t="shared" si="16"/>
        <v>119.36666666666667</v>
      </c>
      <c r="AL20" t="s">
        <v>32</v>
      </c>
      <c r="AN20">
        <v>115.3</v>
      </c>
      <c r="AO20">
        <f t="shared" si="17"/>
        <v>114.36666666666667</v>
      </c>
      <c r="AP20">
        <v>115.4</v>
      </c>
      <c r="AQ20">
        <f t="shared" si="18"/>
        <v>114.8</v>
      </c>
      <c r="AR20">
        <v>113.4</v>
      </c>
      <c r="AS20">
        <f t="shared" si="19"/>
        <v>112.76666666666665</v>
      </c>
      <c r="AT20">
        <v>113.2</v>
      </c>
      <c r="AU20">
        <f t="shared" si="20"/>
        <v>112.26666666666667</v>
      </c>
      <c r="AV20">
        <v>111.8</v>
      </c>
      <c r="AW20">
        <f t="shared" si="21"/>
        <v>111.36666666666667</v>
      </c>
      <c r="AX20">
        <v>115.5</v>
      </c>
      <c r="AY20">
        <f t="shared" si="22"/>
        <v>114.3</v>
      </c>
      <c r="AZ20">
        <v>108.8</v>
      </c>
      <c r="BA20">
        <f t="shared" si="23"/>
        <v>108.56666666666666</v>
      </c>
      <c r="BB20">
        <v>113.1</v>
      </c>
      <c r="BC20">
        <f t="shared" si="24"/>
        <v>112.39999999999999</v>
      </c>
      <c r="BD20">
        <v>119.5</v>
      </c>
      <c r="BE20">
        <f t="shared" si="25"/>
        <v>117.5</v>
      </c>
    </row>
    <row r="21" spans="1:57">
      <c r="A21" t="s">
        <v>30</v>
      </c>
      <c r="B21">
        <v>2014</v>
      </c>
      <c r="C21" t="s">
        <v>41</v>
      </c>
      <c r="D21">
        <v>121.8</v>
      </c>
      <c r="E21">
        <f t="shared" si="0"/>
        <v>121.39999999999999</v>
      </c>
      <c r="F21">
        <v>122.8</v>
      </c>
      <c r="G21">
        <f t="shared" si="1"/>
        <v>122.3</v>
      </c>
      <c r="H21">
        <v>117.8</v>
      </c>
      <c r="I21">
        <f t="shared" si="2"/>
        <v>117.2</v>
      </c>
      <c r="J21">
        <v>121.9</v>
      </c>
      <c r="K21">
        <f t="shared" si="3"/>
        <v>120.59999999999998</v>
      </c>
      <c r="L21">
        <v>110.6</v>
      </c>
      <c r="M21">
        <f t="shared" si="4"/>
        <v>110.43333333333332</v>
      </c>
      <c r="N21">
        <v>129.69999999999999</v>
      </c>
      <c r="O21">
        <f t="shared" si="5"/>
        <v>128.19999999999999</v>
      </c>
      <c r="P21">
        <v>161.1</v>
      </c>
      <c r="Q21">
        <f t="shared" si="6"/>
        <v>146.83333333333334</v>
      </c>
      <c r="R21">
        <v>114.1</v>
      </c>
      <c r="S21">
        <f t="shared" si="7"/>
        <v>113.16666666666667</v>
      </c>
      <c r="T21">
        <v>105.1</v>
      </c>
      <c r="U21">
        <f t="shared" si="8"/>
        <v>104.5</v>
      </c>
      <c r="V21">
        <v>114.6</v>
      </c>
      <c r="W21">
        <f t="shared" si="9"/>
        <v>113.39999999999999</v>
      </c>
      <c r="X21">
        <v>115.8</v>
      </c>
      <c r="Y21">
        <f t="shared" si="10"/>
        <v>115.43333333333334</v>
      </c>
      <c r="Z21">
        <v>121.7</v>
      </c>
      <c r="AA21">
        <f t="shared" si="11"/>
        <v>120.89999999999999</v>
      </c>
      <c r="AB21">
        <v>125.3</v>
      </c>
      <c r="AC21">
        <f t="shared" si="12"/>
        <v>122.7</v>
      </c>
      <c r="AD21">
        <v>118.8</v>
      </c>
      <c r="AE21">
        <f t="shared" si="13"/>
        <v>118.03333333333335</v>
      </c>
      <c r="AF21">
        <v>120.9</v>
      </c>
      <c r="AG21">
        <f t="shared" si="14"/>
        <v>120.43333333333334</v>
      </c>
      <c r="AH21">
        <v>118.8</v>
      </c>
      <c r="AI21">
        <f t="shared" si="15"/>
        <v>118.13333333333333</v>
      </c>
      <c r="AJ21">
        <v>120.7</v>
      </c>
      <c r="AK21">
        <f t="shared" si="16"/>
        <v>120.10000000000001</v>
      </c>
      <c r="AL21" t="s">
        <v>32</v>
      </c>
      <c r="AN21">
        <v>115.4</v>
      </c>
      <c r="AO21">
        <f t="shared" si="17"/>
        <v>115.03333333333335</v>
      </c>
      <c r="AP21">
        <v>115.9</v>
      </c>
      <c r="AQ21">
        <f t="shared" si="18"/>
        <v>115.40000000000002</v>
      </c>
      <c r="AR21">
        <v>114</v>
      </c>
      <c r="AS21">
        <f t="shared" si="19"/>
        <v>113.39999999999999</v>
      </c>
      <c r="AT21">
        <v>113.2</v>
      </c>
      <c r="AU21">
        <f t="shared" si="20"/>
        <v>112.86666666666667</v>
      </c>
      <c r="AV21">
        <v>112.2</v>
      </c>
      <c r="AW21">
        <f t="shared" si="21"/>
        <v>111.8</v>
      </c>
      <c r="AX21">
        <v>116.2</v>
      </c>
      <c r="AY21">
        <f t="shared" si="22"/>
        <v>115.33333333333333</v>
      </c>
      <c r="AZ21">
        <v>109.4</v>
      </c>
      <c r="BA21">
        <f t="shared" si="23"/>
        <v>108.73333333333335</v>
      </c>
      <c r="BB21">
        <v>113.5</v>
      </c>
      <c r="BC21">
        <f t="shared" si="24"/>
        <v>112.96666666666665</v>
      </c>
      <c r="BD21">
        <v>120.7</v>
      </c>
      <c r="BE21">
        <f t="shared" si="25"/>
        <v>119.06666666666666</v>
      </c>
    </row>
    <row r="22" spans="1:57">
      <c r="A22" t="s">
        <v>30</v>
      </c>
      <c r="B22">
        <v>2014</v>
      </c>
      <c r="C22" t="s">
        <v>42</v>
      </c>
      <c r="D22">
        <v>122.3</v>
      </c>
      <c r="E22">
        <f t="shared" si="0"/>
        <v>121.93333333333334</v>
      </c>
      <c r="F22">
        <v>122.4</v>
      </c>
      <c r="G22">
        <f t="shared" si="1"/>
        <v>122.56666666666668</v>
      </c>
      <c r="H22">
        <v>117.8</v>
      </c>
      <c r="I22">
        <f t="shared" si="2"/>
        <v>117.76666666666667</v>
      </c>
      <c r="J22">
        <v>122.7</v>
      </c>
      <c r="K22">
        <f t="shared" si="3"/>
        <v>121.73333333333333</v>
      </c>
      <c r="L22">
        <v>110.4</v>
      </c>
      <c r="M22">
        <f t="shared" si="4"/>
        <v>110.46666666666665</v>
      </c>
      <c r="N22">
        <v>129.80000000000001</v>
      </c>
      <c r="O22">
        <f t="shared" si="5"/>
        <v>129.53333333333333</v>
      </c>
      <c r="P22">
        <v>158.80000000000001</v>
      </c>
      <c r="Q22">
        <f t="shared" si="6"/>
        <v>156.66666666666666</v>
      </c>
      <c r="R22">
        <v>115</v>
      </c>
      <c r="S22">
        <f t="shared" si="7"/>
        <v>114.10000000000001</v>
      </c>
      <c r="T22">
        <v>104.7</v>
      </c>
      <c r="U22">
        <f t="shared" si="8"/>
        <v>104.86666666666666</v>
      </c>
      <c r="V22">
        <v>114.9</v>
      </c>
      <c r="W22">
        <f t="shared" si="9"/>
        <v>114.26666666666665</v>
      </c>
      <c r="X22">
        <v>116.5</v>
      </c>
      <c r="Y22">
        <f t="shared" si="10"/>
        <v>115.96666666666665</v>
      </c>
      <c r="Z22">
        <v>122.6</v>
      </c>
      <c r="AA22">
        <f t="shared" si="11"/>
        <v>121.73333333333335</v>
      </c>
      <c r="AB22">
        <v>125.3</v>
      </c>
      <c r="AC22">
        <f t="shared" si="12"/>
        <v>124.63333333333333</v>
      </c>
      <c r="AD22">
        <v>119.5</v>
      </c>
      <c r="AE22">
        <f t="shared" si="13"/>
        <v>118.76666666666667</v>
      </c>
      <c r="AF22">
        <v>121.7</v>
      </c>
      <c r="AG22">
        <f t="shared" si="14"/>
        <v>121.10000000000001</v>
      </c>
      <c r="AH22">
        <v>119.2</v>
      </c>
      <c r="AI22">
        <f t="shared" si="15"/>
        <v>118.76666666666667</v>
      </c>
      <c r="AJ22">
        <v>121.3</v>
      </c>
      <c r="AK22">
        <f t="shared" si="16"/>
        <v>120.76666666666667</v>
      </c>
      <c r="AL22" t="s">
        <v>32</v>
      </c>
      <c r="AN22">
        <v>115.8</v>
      </c>
      <c r="AO22">
        <f t="shared" si="17"/>
        <v>115.5</v>
      </c>
      <c r="AP22">
        <v>116.7</v>
      </c>
      <c r="AQ22">
        <f t="shared" si="18"/>
        <v>116</v>
      </c>
      <c r="AR22">
        <v>114.5</v>
      </c>
      <c r="AS22">
        <f t="shared" si="19"/>
        <v>113.96666666666665</v>
      </c>
      <c r="AT22">
        <v>112.8</v>
      </c>
      <c r="AU22">
        <f t="shared" si="20"/>
        <v>113.06666666666666</v>
      </c>
      <c r="AV22">
        <v>112.6</v>
      </c>
      <c r="AW22">
        <f t="shared" si="21"/>
        <v>112.2</v>
      </c>
      <c r="AX22">
        <v>116.6</v>
      </c>
      <c r="AY22">
        <f t="shared" si="22"/>
        <v>116.09999999999998</v>
      </c>
      <c r="AZ22">
        <v>109.1</v>
      </c>
      <c r="BA22">
        <f t="shared" si="23"/>
        <v>109.09999999999998</v>
      </c>
      <c r="BB22">
        <v>113.7</v>
      </c>
      <c r="BC22">
        <f t="shared" si="24"/>
        <v>113.43333333333334</v>
      </c>
      <c r="BD22">
        <v>120.9</v>
      </c>
      <c r="BE22">
        <f t="shared" si="25"/>
        <v>120.36666666666667</v>
      </c>
    </row>
    <row r="23" spans="1:57">
      <c r="A23" t="s">
        <v>30</v>
      </c>
      <c r="B23">
        <v>2014</v>
      </c>
      <c r="C23" t="s">
        <v>43</v>
      </c>
      <c r="D23">
        <v>122.6</v>
      </c>
      <c r="E23">
        <f t="shared" si="0"/>
        <v>122.23333333333333</v>
      </c>
      <c r="F23">
        <v>122.5</v>
      </c>
      <c r="G23">
        <f t="shared" si="1"/>
        <v>122.56666666666666</v>
      </c>
      <c r="H23">
        <v>118.3</v>
      </c>
      <c r="I23">
        <f t="shared" si="2"/>
        <v>117.96666666666665</v>
      </c>
      <c r="J23">
        <v>123.2</v>
      </c>
      <c r="K23">
        <f t="shared" si="3"/>
        <v>122.60000000000001</v>
      </c>
      <c r="L23">
        <v>110.5</v>
      </c>
      <c r="M23">
        <f t="shared" si="4"/>
        <v>110.5</v>
      </c>
      <c r="N23">
        <v>128.9</v>
      </c>
      <c r="O23">
        <f t="shared" si="5"/>
        <v>129.46666666666667</v>
      </c>
      <c r="P23">
        <v>155.30000000000001</v>
      </c>
      <c r="Q23">
        <f t="shared" si="6"/>
        <v>158.4</v>
      </c>
      <c r="R23">
        <v>115.5</v>
      </c>
      <c r="S23">
        <f t="shared" si="7"/>
        <v>114.86666666666667</v>
      </c>
      <c r="T23">
        <v>104</v>
      </c>
      <c r="U23">
        <f t="shared" si="8"/>
        <v>104.60000000000001</v>
      </c>
      <c r="V23">
        <v>115.3</v>
      </c>
      <c r="W23">
        <f t="shared" si="9"/>
        <v>114.93333333333334</v>
      </c>
      <c r="X23">
        <v>116.8</v>
      </c>
      <c r="Y23">
        <f t="shared" si="10"/>
        <v>116.36666666666667</v>
      </c>
      <c r="Z23">
        <v>123.2</v>
      </c>
      <c r="AA23">
        <f t="shared" si="11"/>
        <v>122.5</v>
      </c>
      <c r="AB23">
        <v>125.1</v>
      </c>
      <c r="AC23">
        <f t="shared" si="12"/>
        <v>125.23333333333333</v>
      </c>
      <c r="AD23">
        <v>120</v>
      </c>
      <c r="AE23">
        <f t="shared" si="13"/>
        <v>119.43333333333334</v>
      </c>
      <c r="AF23">
        <v>122.7</v>
      </c>
      <c r="AG23">
        <f t="shared" si="14"/>
        <v>121.76666666666667</v>
      </c>
      <c r="AH23">
        <v>120.3</v>
      </c>
      <c r="AI23">
        <f t="shared" si="15"/>
        <v>119.43333333333334</v>
      </c>
      <c r="AJ23">
        <v>122.3</v>
      </c>
      <c r="AK23">
        <f t="shared" si="16"/>
        <v>121.43333333333334</v>
      </c>
      <c r="AL23" t="s">
        <v>32</v>
      </c>
      <c r="AN23">
        <v>116.4</v>
      </c>
      <c r="AO23">
        <f t="shared" si="17"/>
        <v>115.86666666666667</v>
      </c>
      <c r="AP23">
        <v>117.5</v>
      </c>
      <c r="AQ23">
        <f t="shared" si="18"/>
        <v>116.7</v>
      </c>
      <c r="AR23">
        <v>115.3</v>
      </c>
      <c r="AS23">
        <f t="shared" si="19"/>
        <v>114.60000000000001</v>
      </c>
      <c r="AT23">
        <v>112.6</v>
      </c>
      <c r="AU23">
        <f t="shared" si="20"/>
        <v>112.86666666666667</v>
      </c>
      <c r="AV23">
        <v>113</v>
      </c>
      <c r="AW23">
        <f t="shared" si="21"/>
        <v>112.60000000000001</v>
      </c>
      <c r="AX23">
        <v>116.9</v>
      </c>
      <c r="AY23">
        <f t="shared" si="22"/>
        <v>116.56666666666668</v>
      </c>
      <c r="AZ23">
        <v>109.3</v>
      </c>
      <c r="BA23">
        <f t="shared" si="23"/>
        <v>109.26666666666667</v>
      </c>
      <c r="BB23">
        <v>114</v>
      </c>
      <c r="BC23">
        <f t="shared" si="24"/>
        <v>113.73333333333333</v>
      </c>
      <c r="BD23">
        <v>121</v>
      </c>
      <c r="BE23">
        <f t="shared" si="25"/>
        <v>120.86666666666667</v>
      </c>
    </row>
    <row r="24" spans="1:57">
      <c r="A24" t="s">
        <v>30</v>
      </c>
      <c r="B24">
        <v>2014</v>
      </c>
      <c r="C24" t="s">
        <v>45</v>
      </c>
      <c r="D24">
        <v>122.7</v>
      </c>
      <c r="E24">
        <f t="shared" si="0"/>
        <v>122.53333333333332</v>
      </c>
      <c r="F24">
        <v>122.6</v>
      </c>
      <c r="G24">
        <f t="shared" si="1"/>
        <v>122.5</v>
      </c>
      <c r="H24">
        <v>119.9</v>
      </c>
      <c r="I24">
        <f t="shared" si="2"/>
        <v>118.66666666666667</v>
      </c>
      <c r="J24">
        <v>124</v>
      </c>
      <c r="K24">
        <f t="shared" si="3"/>
        <v>123.3</v>
      </c>
      <c r="L24">
        <v>110.5</v>
      </c>
      <c r="M24">
        <f t="shared" si="4"/>
        <v>110.46666666666665</v>
      </c>
      <c r="N24">
        <v>128.80000000000001</v>
      </c>
      <c r="O24">
        <f t="shared" si="5"/>
        <v>129.16666666666669</v>
      </c>
      <c r="P24">
        <v>152</v>
      </c>
      <c r="Q24">
        <f t="shared" si="6"/>
        <v>155.36666666666667</v>
      </c>
      <c r="R24">
        <v>116.2</v>
      </c>
      <c r="S24">
        <f t="shared" si="7"/>
        <v>115.56666666666666</v>
      </c>
      <c r="T24">
        <v>103.3</v>
      </c>
      <c r="U24">
        <f t="shared" si="8"/>
        <v>104</v>
      </c>
      <c r="V24">
        <v>115.8</v>
      </c>
      <c r="W24">
        <f t="shared" si="9"/>
        <v>115.33333333333333</v>
      </c>
      <c r="X24">
        <v>116.8</v>
      </c>
      <c r="Y24">
        <f t="shared" si="10"/>
        <v>116.7</v>
      </c>
      <c r="Z24">
        <v>124.5</v>
      </c>
      <c r="AA24">
        <f t="shared" si="11"/>
        <v>123.43333333333334</v>
      </c>
      <c r="AB24">
        <v>124.9</v>
      </c>
      <c r="AC24">
        <f t="shared" si="12"/>
        <v>125.09999999999998</v>
      </c>
      <c r="AD24">
        <v>120.8</v>
      </c>
      <c r="AE24">
        <f t="shared" si="13"/>
        <v>120.10000000000001</v>
      </c>
      <c r="AF24">
        <v>123.3</v>
      </c>
      <c r="AG24">
        <f t="shared" si="14"/>
        <v>122.56666666666666</v>
      </c>
      <c r="AH24">
        <v>120.5</v>
      </c>
      <c r="AI24">
        <f t="shared" si="15"/>
        <v>120</v>
      </c>
      <c r="AJ24">
        <v>122.9</v>
      </c>
      <c r="AK24">
        <f t="shared" si="16"/>
        <v>122.16666666666667</v>
      </c>
      <c r="AL24" t="s">
        <v>32</v>
      </c>
      <c r="AN24">
        <v>117.3</v>
      </c>
      <c r="AO24">
        <f t="shared" si="17"/>
        <v>116.5</v>
      </c>
      <c r="AP24">
        <v>118.1</v>
      </c>
      <c r="AQ24">
        <f t="shared" si="18"/>
        <v>117.43333333333332</v>
      </c>
      <c r="AR24">
        <v>115.9</v>
      </c>
      <c r="AS24">
        <f t="shared" si="19"/>
        <v>115.23333333333335</v>
      </c>
      <c r="AT24">
        <v>112</v>
      </c>
      <c r="AU24">
        <f t="shared" si="20"/>
        <v>112.46666666666665</v>
      </c>
      <c r="AV24">
        <v>113.3</v>
      </c>
      <c r="AW24">
        <f t="shared" si="21"/>
        <v>112.96666666666665</v>
      </c>
      <c r="AX24">
        <v>117.2</v>
      </c>
      <c r="AY24">
        <f t="shared" si="22"/>
        <v>116.89999999999999</v>
      </c>
      <c r="AZ24">
        <v>108.8</v>
      </c>
      <c r="BA24">
        <f t="shared" si="23"/>
        <v>109.06666666666666</v>
      </c>
      <c r="BB24">
        <v>114.1</v>
      </c>
      <c r="BC24">
        <f t="shared" si="24"/>
        <v>113.93333333333332</v>
      </c>
      <c r="BD24">
        <v>121.1</v>
      </c>
      <c r="BE24">
        <f t="shared" si="25"/>
        <v>121</v>
      </c>
    </row>
    <row r="25" spans="1:57">
      <c r="A25" t="s">
        <v>30</v>
      </c>
      <c r="B25">
        <v>2014</v>
      </c>
      <c r="C25" t="s">
        <v>46</v>
      </c>
      <c r="D25">
        <v>122.4</v>
      </c>
      <c r="E25">
        <f t="shared" si="0"/>
        <v>122.56666666666668</v>
      </c>
      <c r="F25">
        <v>122.4</v>
      </c>
      <c r="G25">
        <f t="shared" si="1"/>
        <v>122.5</v>
      </c>
      <c r="H25">
        <v>121.8</v>
      </c>
      <c r="I25">
        <f t="shared" si="2"/>
        <v>120</v>
      </c>
      <c r="J25">
        <v>124.2</v>
      </c>
      <c r="K25">
        <f t="shared" si="3"/>
        <v>123.8</v>
      </c>
      <c r="L25">
        <v>110.2</v>
      </c>
      <c r="M25">
        <f t="shared" si="4"/>
        <v>110.39999999999999</v>
      </c>
      <c r="N25">
        <v>128.6</v>
      </c>
      <c r="O25">
        <f t="shared" si="5"/>
        <v>128.76666666666668</v>
      </c>
      <c r="P25">
        <v>140.30000000000001</v>
      </c>
      <c r="Q25">
        <f t="shared" si="6"/>
        <v>149.20000000000002</v>
      </c>
      <c r="R25">
        <v>116.3</v>
      </c>
      <c r="S25">
        <f t="shared" si="7"/>
        <v>116</v>
      </c>
      <c r="T25">
        <v>102</v>
      </c>
      <c r="U25">
        <f t="shared" si="8"/>
        <v>103.10000000000001</v>
      </c>
      <c r="V25">
        <v>116</v>
      </c>
      <c r="W25">
        <f t="shared" si="9"/>
        <v>115.7</v>
      </c>
      <c r="X25">
        <v>117.3</v>
      </c>
      <c r="Y25">
        <f t="shared" si="10"/>
        <v>116.96666666666665</v>
      </c>
      <c r="Z25">
        <v>124.8</v>
      </c>
      <c r="AA25">
        <f t="shared" si="11"/>
        <v>124.16666666666667</v>
      </c>
      <c r="AB25">
        <v>123.3</v>
      </c>
      <c r="AC25">
        <f t="shared" si="12"/>
        <v>124.43333333333334</v>
      </c>
      <c r="AD25">
        <v>121.7</v>
      </c>
      <c r="AE25">
        <f t="shared" si="13"/>
        <v>120.83333333333333</v>
      </c>
      <c r="AF25">
        <v>123.8</v>
      </c>
      <c r="AG25">
        <f t="shared" si="14"/>
        <v>123.26666666666667</v>
      </c>
      <c r="AH25">
        <v>120.6</v>
      </c>
      <c r="AI25">
        <f t="shared" si="15"/>
        <v>120.46666666666665</v>
      </c>
      <c r="AJ25">
        <v>123.3</v>
      </c>
      <c r="AK25">
        <f t="shared" si="16"/>
        <v>122.83333333333333</v>
      </c>
      <c r="AL25" t="s">
        <v>32</v>
      </c>
      <c r="AN25">
        <v>117.4</v>
      </c>
      <c r="AO25">
        <f t="shared" si="17"/>
        <v>117.03333333333335</v>
      </c>
      <c r="AP25">
        <v>118.2</v>
      </c>
      <c r="AQ25">
        <f t="shared" si="18"/>
        <v>117.93333333333334</v>
      </c>
      <c r="AR25">
        <v>116.2</v>
      </c>
      <c r="AS25">
        <f t="shared" si="19"/>
        <v>115.8</v>
      </c>
      <c r="AT25">
        <v>111.5</v>
      </c>
      <c r="AU25">
        <f t="shared" si="20"/>
        <v>112.03333333333335</v>
      </c>
      <c r="AV25">
        <v>113.3</v>
      </c>
      <c r="AW25">
        <f t="shared" si="21"/>
        <v>113.2</v>
      </c>
      <c r="AX25">
        <v>117.7</v>
      </c>
      <c r="AY25">
        <f t="shared" si="22"/>
        <v>117.26666666666667</v>
      </c>
      <c r="AZ25">
        <v>109.4</v>
      </c>
      <c r="BA25">
        <f t="shared" si="23"/>
        <v>109.16666666666667</v>
      </c>
      <c r="BB25">
        <v>114.2</v>
      </c>
      <c r="BC25">
        <f t="shared" si="24"/>
        <v>114.10000000000001</v>
      </c>
      <c r="BD25">
        <v>120.3</v>
      </c>
      <c r="BE25">
        <f t="shared" si="25"/>
        <v>120.8</v>
      </c>
    </row>
    <row r="26" spans="1:57">
      <c r="A26" t="s">
        <v>30</v>
      </c>
      <c r="B26">
        <v>2015</v>
      </c>
      <c r="C26" t="s">
        <v>31</v>
      </c>
      <c r="D26">
        <v>123.1</v>
      </c>
      <c r="E26">
        <f t="shared" si="0"/>
        <v>122.73333333333335</v>
      </c>
      <c r="F26">
        <v>123.1</v>
      </c>
      <c r="G26">
        <f t="shared" si="1"/>
        <v>122.7</v>
      </c>
      <c r="H26">
        <v>122.1</v>
      </c>
      <c r="I26">
        <f t="shared" si="2"/>
        <v>121.26666666666665</v>
      </c>
      <c r="J26">
        <v>124.9</v>
      </c>
      <c r="K26">
        <f t="shared" si="3"/>
        <v>124.36666666666667</v>
      </c>
      <c r="L26">
        <v>111</v>
      </c>
      <c r="M26">
        <f t="shared" si="4"/>
        <v>110.56666666666666</v>
      </c>
      <c r="N26">
        <v>130.4</v>
      </c>
      <c r="O26">
        <f t="shared" si="5"/>
        <v>129.26666666666665</v>
      </c>
      <c r="P26">
        <v>132.30000000000001</v>
      </c>
      <c r="Q26">
        <f t="shared" si="6"/>
        <v>141.53333333333333</v>
      </c>
      <c r="R26">
        <v>117.2</v>
      </c>
      <c r="S26">
        <f t="shared" si="7"/>
        <v>116.56666666666666</v>
      </c>
      <c r="T26">
        <v>100.5</v>
      </c>
      <c r="U26">
        <f t="shared" si="8"/>
        <v>101.93333333333334</v>
      </c>
      <c r="V26">
        <v>117.2</v>
      </c>
      <c r="W26">
        <f t="shared" si="9"/>
        <v>116.33333333333333</v>
      </c>
      <c r="X26">
        <v>117.9</v>
      </c>
      <c r="Y26">
        <f t="shared" si="10"/>
        <v>117.33333333333333</v>
      </c>
      <c r="Z26">
        <v>125.6</v>
      </c>
      <c r="AA26">
        <f t="shared" si="11"/>
        <v>124.96666666666665</v>
      </c>
      <c r="AB26">
        <v>122.8</v>
      </c>
      <c r="AC26">
        <f t="shared" si="12"/>
        <v>123.66666666666667</v>
      </c>
      <c r="AD26">
        <v>122.7</v>
      </c>
      <c r="AE26">
        <f t="shared" si="13"/>
        <v>121.73333333333333</v>
      </c>
      <c r="AF26">
        <v>124.4</v>
      </c>
      <c r="AG26">
        <f t="shared" si="14"/>
        <v>123.83333333333333</v>
      </c>
      <c r="AH26">
        <v>121.6</v>
      </c>
      <c r="AI26">
        <f t="shared" si="15"/>
        <v>120.89999999999999</v>
      </c>
      <c r="AJ26">
        <v>124</v>
      </c>
      <c r="AK26">
        <f t="shared" si="16"/>
        <v>123.39999999999999</v>
      </c>
      <c r="AL26" t="s">
        <v>32</v>
      </c>
      <c r="AN26">
        <v>118.4</v>
      </c>
      <c r="AO26">
        <f t="shared" si="17"/>
        <v>117.7</v>
      </c>
      <c r="AP26">
        <v>118.9</v>
      </c>
      <c r="AQ26">
        <f t="shared" si="18"/>
        <v>118.40000000000002</v>
      </c>
      <c r="AR26">
        <v>116.6</v>
      </c>
      <c r="AS26">
        <f t="shared" si="19"/>
        <v>116.23333333333335</v>
      </c>
      <c r="AT26">
        <v>111</v>
      </c>
      <c r="AU26">
        <f t="shared" si="20"/>
        <v>111.5</v>
      </c>
      <c r="AV26">
        <v>114</v>
      </c>
      <c r="AW26">
        <f t="shared" si="21"/>
        <v>113.53333333333335</v>
      </c>
      <c r="AX26">
        <v>118.2</v>
      </c>
      <c r="AY26">
        <f t="shared" si="22"/>
        <v>117.7</v>
      </c>
      <c r="AZ26">
        <v>110.2</v>
      </c>
      <c r="BA26">
        <f t="shared" si="23"/>
        <v>109.46666666666665</v>
      </c>
      <c r="BB26">
        <v>114.5</v>
      </c>
      <c r="BC26">
        <f t="shared" si="24"/>
        <v>114.26666666666667</v>
      </c>
      <c r="BD26">
        <v>120.3</v>
      </c>
      <c r="BE26">
        <f t="shared" si="25"/>
        <v>120.56666666666666</v>
      </c>
    </row>
    <row r="27" spans="1:57">
      <c r="A27" t="s">
        <v>30</v>
      </c>
      <c r="B27">
        <v>2015</v>
      </c>
      <c r="C27" t="s">
        <v>35</v>
      </c>
      <c r="D27">
        <v>123.4</v>
      </c>
      <c r="E27">
        <f t="shared" si="0"/>
        <v>122.96666666666665</v>
      </c>
      <c r="F27">
        <v>124.4</v>
      </c>
      <c r="G27">
        <f t="shared" si="1"/>
        <v>123.3</v>
      </c>
      <c r="H27">
        <v>122.1</v>
      </c>
      <c r="I27">
        <f t="shared" si="2"/>
        <v>122</v>
      </c>
      <c r="J27">
        <v>125.8</v>
      </c>
      <c r="K27">
        <f t="shared" si="3"/>
        <v>124.96666666666668</v>
      </c>
      <c r="L27">
        <v>111.5</v>
      </c>
      <c r="M27">
        <f t="shared" si="4"/>
        <v>110.89999999999999</v>
      </c>
      <c r="N27">
        <v>129.4</v>
      </c>
      <c r="O27">
        <f t="shared" si="5"/>
        <v>129.46666666666667</v>
      </c>
      <c r="P27">
        <v>128.19999999999999</v>
      </c>
      <c r="Q27">
        <f t="shared" si="6"/>
        <v>133.6</v>
      </c>
      <c r="R27">
        <v>118.8</v>
      </c>
      <c r="S27">
        <f t="shared" si="7"/>
        <v>117.43333333333334</v>
      </c>
      <c r="T27">
        <v>100</v>
      </c>
      <c r="U27">
        <f t="shared" si="8"/>
        <v>100.83333333333333</v>
      </c>
      <c r="V27">
        <v>118.6</v>
      </c>
      <c r="W27">
        <f t="shared" si="9"/>
        <v>117.26666666666665</v>
      </c>
      <c r="X27">
        <v>118.8</v>
      </c>
      <c r="Y27">
        <f t="shared" si="10"/>
        <v>118</v>
      </c>
      <c r="Z27">
        <v>126.8</v>
      </c>
      <c r="AA27">
        <f t="shared" si="11"/>
        <v>125.73333333333333</v>
      </c>
      <c r="AB27">
        <v>122.8</v>
      </c>
      <c r="AC27">
        <f t="shared" si="12"/>
        <v>122.96666666666665</v>
      </c>
      <c r="AD27">
        <v>124.2</v>
      </c>
      <c r="AE27">
        <f t="shared" si="13"/>
        <v>122.86666666666667</v>
      </c>
      <c r="AF27">
        <v>125.4</v>
      </c>
      <c r="AG27">
        <f t="shared" si="14"/>
        <v>124.53333333333335</v>
      </c>
      <c r="AH27">
        <v>122.7</v>
      </c>
      <c r="AI27">
        <f t="shared" si="15"/>
        <v>121.63333333333333</v>
      </c>
      <c r="AJ27">
        <v>125</v>
      </c>
      <c r="AK27">
        <f t="shared" si="16"/>
        <v>124.10000000000001</v>
      </c>
      <c r="AL27" t="s">
        <v>32</v>
      </c>
      <c r="AN27">
        <v>120</v>
      </c>
      <c r="AO27">
        <f t="shared" si="17"/>
        <v>118.60000000000001</v>
      </c>
      <c r="AP27">
        <v>119.6</v>
      </c>
      <c r="AQ27">
        <f t="shared" si="18"/>
        <v>118.90000000000002</v>
      </c>
      <c r="AR27">
        <v>117.7</v>
      </c>
      <c r="AS27">
        <f t="shared" si="19"/>
        <v>116.83333333333333</v>
      </c>
      <c r="AT27">
        <v>110.9</v>
      </c>
      <c r="AU27">
        <f t="shared" si="20"/>
        <v>111.13333333333333</v>
      </c>
      <c r="AV27">
        <v>114.8</v>
      </c>
      <c r="AW27">
        <f t="shared" si="21"/>
        <v>114.03333333333335</v>
      </c>
      <c r="AX27">
        <v>118.7</v>
      </c>
      <c r="AY27">
        <f t="shared" si="22"/>
        <v>118.2</v>
      </c>
      <c r="AZ27">
        <v>110.8</v>
      </c>
      <c r="BA27">
        <f t="shared" si="23"/>
        <v>110.13333333333334</v>
      </c>
      <c r="BB27">
        <v>115</v>
      </c>
      <c r="BC27">
        <f t="shared" si="24"/>
        <v>114.56666666666666</v>
      </c>
      <c r="BD27">
        <v>120.6</v>
      </c>
      <c r="BE27">
        <f t="shared" si="25"/>
        <v>120.39999999999999</v>
      </c>
    </row>
    <row r="28" spans="1:57">
      <c r="A28" t="s">
        <v>30</v>
      </c>
      <c r="B28">
        <v>2015</v>
      </c>
      <c r="C28" t="s">
        <v>36</v>
      </c>
      <c r="D28">
        <v>123.3</v>
      </c>
      <c r="E28">
        <f t="shared" si="0"/>
        <v>123.26666666666667</v>
      </c>
      <c r="F28">
        <v>124.7</v>
      </c>
      <c r="G28">
        <f t="shared" si="1"/>
        <v>124.06666666666666</v>
      </c>
      <c r="H28">
        <v>118.9</v>
      </c>
      <c r="I28">
        <f t="shared" si="2"/>
        <v>121.03333333333335</v>
      </c>
      <c r="J28">
        <v>126</v>
      </c>
      <c r="K28">
        <f t="shared" si="3"/>
        <v>125.56666666666666</v>
      </c>
      <c r="L28">
        <v>111.8</v>
      </c>
      <c r="M28">
        <f t="shared" si="4"/>
        <v>111.43333333333334</v>
      </c>
      <c r="N28">
        <v>130.9</v>
      </c>
      <c r="O28">
        <f t="shared" si="5"/>
        <v>130.23333333333335</v>
      </c>
      <c r="P28">
        <v>128</v>
      </c>
      <c r="Q28">
        <f t="shared" si="6"/>
        <v>129.5</v>
      </c>
      <c r="R28">
        <v>119.9</v>
      </c>
      <c r="S28">
        <f t="shared" si="7"/>
        <v>118.63333333333333</v>
      </c>
      <c r="T28">
        <v>98.9</v>
      </c>
      <c r="U28">
        <f t="shared" si="8"/>
        <v>99.8</v>
      </c>
      <c r="V28">
        <v>119.4</v>
      </c>
      <c r="W28">
        <f t="shared" si="9"/>
        <v>118.40000000000002</v>
      </c>
      <c r="X28">
        <v>118.9</v>
      </c>
      <c r="Y28">
        <f t="shared" si="10"/>
        <v>118.53333333333335</v>
      </c>
      <c r="Z28">
        <v>127.7</v>
      </c>
      <c r="AA28">
        <f t="shared" si="11"/>
        <v>126.69999999999999</v>
      </c>
      <c r="AB28">
        <v>123.1</v>
      </c>
      <c r="AC28">
        <f t="shared" si="12"/>
        <v>122.89999999999999</v>
      </c>
      <c r="AD28">
        <v>124.7</v>
      </c>
      <c r="AE28">
        <f t="shared" si="13"/>
        <v>123.86666666666667</v>
      </c>
      <c r="AF28">
        <v>126</v>
      </c>
      <c r="AG28">
        <f t="shared" si="14"/>
        <v>125.26666666666667</v>
      </c>
      <c r="AH28">
        <v>122.9</v>
      </c>
      <c r="AI28">
        <f t="shared" si="15"/>
        <v>122.40000000000002</v>
      </c>
      <c r="AJ28">
        <v>125.5</v>
      </c>
      <c r="AK28">
        <f t="shared" si="16"/>
        <v>124.83333333333333</v>
      </c>
      <c r="AL28" t="s">
        <v>32</v>
      </c>
      <c r="AN28">
        <v>120.6</v>
      </c>
      <c r="AO28">
        <f t="shared" si="17"/>
        <v>119.66666666666667</v>
      </c>
      <c r="AP28">
        <v>120.2</v>
      </c>
      <c r="AQ28">
        <f t="shared" si="18"/>
        <v>119.56666666666666</v>
      </c>
      <c r="AR28">
        <v>118.2</v>
      </c>
      <c r="AS28">
        <f t="shared" si="19"/>
        <v>117.5</v>
      </c>
      <c r="AT28">
        <v>111.6</v>
      </c>
      <c r="AU28">
        <f t="shared" si="20"/>
        <v>111.16666666666667</v>
      </c>
      <c r="AV28">
        <v>115.5</v>
      </c>
      <c r="AW28">
        <f t="shared" si="21"/>
        <v>114.76666666666667</v>
      </c>
      <c r="AX28">
        <v>119.4</v>
      </c>
      <c r="AY28">
        <f t="shared" si="22"/>
        <v>118.76666666666667</v>
      </c>
      <c r="AZ28">
        <v>110.8</v>
      </c>
      <c r="BA28">
        <f t="shared" si="23"/>
        <v>110.60000000000001</v>
      </c>
      <c r="BB28">
        <v>115.5</v>
      </c>
      <c r="BC28">
        <f t="shared" si="24"/>
        <v>115</v>
      </c>
      <c r="BD28">
        <v>121.1</v>
      </c>
      <c r="BE28">
        <f t="shared" si="25"/>
        <v>120.66666666666667</v>
      </c>
    </row>
    <row r="29" spans="1:57">
      <c r="A29" t="s">
        <v>30</v>
      </c>
      <c r="B29">
        <v>2015</v>
      </c>
      <c r="C29" t="s">
        <v>37</v>
      </c>
      <c r="D29">
        <v>123.3</v>
      </c>
      <c r="E29">
        <f t="shared" si="0"/>
        <v>123.33333333333333</v>
      </c>
      <c r="F29">
        <v>125.5</v>
      </c>
      <c r="G29">
        <f t="shared" si="1"/>
        <v>124.86666666666667</v>
      </c>
      <c r="H29">
        <v>117.2</v>
      </c>
      <c r="I29">
        <f t="shared" si="2"/>
        <v>119.39999999999999</v>
      </c>
      <c r="J29">
        <v>126.8</v>
      </c>
      <c r="K29">
        <f t="shared" si="3"/>
        <v>126.2</v>
      </c>
      <c r="L29">
        <v>111.9</v>
      </c>
      <c r="M29">
        <f t="shared" si="4"/>
        <v>111.73333333333335</v>
      </c>
      <c r="N29">
        <v>134.19999999999999</v>
      </c>
      <c r="O29">
        <f t="shared" si="5"/>
        <v>131.5</v>
      </c>
      <c r="P29">
        <v>127.5</v>
      </c>
      <c r="Q29">
        <f t="shared" si="6"/>
        <v>127.89999999999999</v>
      </c>
      <c r="R29">
        <v>121.5</v>
      </c>
      <c r="S29">
        <f t="shared" si="7"/>
        <v>120.06666666666666</v>
      </c>
      <c r="T29">
        <v>97.8</v>
      </c>
      <c r="U29">
        <f t="shared" si="8"/>
        <v>98.899999999999991</v>
      </c>
      <c r="V29">
        <v>119.8</v>
      </c>
      <c r="W29">
        <f t="shared" si="9"/>
        <v>119.26666666666667</v>
      </c>
      <c r="X29">
        <v>119.4</v>
      </c>
      <c r="Y29">
        <f t="shared" si="10"/>
        <v>119.03333333333335</v>
      </c>
      <c r="Z29">
        <v>128.69999999999999</v>
      </c>
      <c r="AA29">
        <f t="shared" si="11"/>
        <v>127.73333333333333</v>
      </c>
      <c r="AB29">
        <v>123.6</v>
      </c>
      <c r="AC29">
        <f t="shared" si="12"/>
        <v>123.16666666666667</v>
      </c>
      <c r="AD29">
        <v>125.7</v>
      </c>
      <c r="AE29">
        <f t="shared" si="13"/>
        <v>124.86666666666667</v>
      </c>
      <c r="AF29">
        <v>126.4</v>
      </c>
      <c r="AG29">
        <f t="shared" si="14"/>
        <v>125.93333333333334</v>
      </c>
      <c r="AH29">
        <v>123.3</v>
      </c>
      <c r="AI29">
        <f t="shared" si="15"/>
        <v>122.96666666666668</v>
      </c>
      <c r="AJ29">
        <v>126</v>
      </c>
      <c r="AK29">
        <f t="shared" si="16"/>
        <v>125.5</v>
      </c>
      <c r="AL29" t="s">
        <v>32</v>
      </c>
      <c r="AN29">
        <v>121.2</v>
      </c>
      <c r="AO29">
        <f t="shared" si="17"/>
        <v>120.60000000000001</v>
      </c>
      <c r="AP29">
        <v>120.9</v>
      </c>
      <c r="AQ29">
        <f t="shared" si="18"/>
        <v>120.23333333333335</v>
      </c>
      <c r="AR29">
        <v>118.6</v>
      </c>
      <c r="AS29">
        <f t="shared" si="19"/>
        <v>118.16666666666667</v>
      </c>
      <c r="AT29">
        <v>111.9</v>
      </c>
      <c r="AU29">
        <f t="shared" si="20"/>
        <v>111.46666666666665</v>
      </c>
      <c r="AV29">
        <v>116.2</v>
      </c>
      <c r="AW29">
        <f t="shared" si="21"/>
        <v>115.5</v>
      </c>
      <c r="AX29">
        <v>119.9</v>
      </c>
      <c r="AY29">
        <f t="shared" si="22"/>
        <v>119.33333333333333</v>
      </c>
      <c r="AZ29">
        <v>111.6</v>
      </c>
      <c r="BA29">
        <f t="shared" si="23"/>
        <v>111.06666666666666</v>
      </c>
      <c r="BB29">
        <v>116</v>
      </c>
      <c r="BC29">
        <f t="shared" si="24"/>
        <v>115.5</v>
      </c>
      <c r="BD29">
        <v>121.5</v>
      </c>
      <c r="BE29">
        <f t="shared" si="25"/>
        <v>121.06666666666666</v>
      </c>
    </row>
    <row r="30" spans="1:57">
      <c r="A30" t="s">
        <v>30</v>
      </c>
      <c r="B30">
        <v>2015</v>
      </c>
      <c r="C30" t="s">
        <v>38</v>
      </c>
      <c r="D30">
        <v>123.5</v>
      </c>
      <c r="E30">
        <f t="shared" si="0"/>
        <v>123.36666666666667</v>
      </c>
      <c r="F30">
        <v>127.1</v>
      </c>
      <c r="G30">
        <f t="shared" si="1"/>
        <v>125.76666666666665</v>
      </c>
      <c r="H30">
        <v>117.3</v>
      </c>
      <c r="I30">
        <f t="shared" si="2"/>
        <v>117.80000000000001</v>
      </c>
      <c r="J30">
        <v>127.7</v>
      </c>
      <c r="K30">
        <f t="shared" si="3"/>
        <v>126.83333333333333</v>
      </c>
      <c r="L30">
        <v>112.5</v>
      </c>
      <c r="M30">
        <f t="shared" si="4"/>
        <v>112.06666666666666</v>
      </c>
      <c r="N30">
        <v>134.1</v>
      </c>
      <c r="O30">
        <f t="shared" si="5"/>
        <v>133.06666666666669</v>
      </c>
      <c r="P30">
        <v>128.5</v>
      </c>
      <c r="Q30">
        <f t="shared" si="6"/>
        <v>128</v>
      </c>
      <c r="R30">
        <v>124.3</v>
      </c>
      <c r="S30">
        <f t="shared" si="7"/>
        <v>121.89999999999999</v>
      </c>
      <c r="T30">
        <v>97.6</v>
      </c>
      <c r="U30">
        <f t="shared" si="8"/>
        <v>98.09999999999998</v>
      </c>
      <c r="V30">
        <v>120.7</v>
      </c>
      <c r="W30">
        <f t="shared" si="9"/>
        <v>119.96666666666665</v>
      </c>
      <c r="X30">
        <v>120.2</v>
      </c>
      <c r="Y30">
        <f t="shared" si="10"/>
        <v>119.5</v>
      </c>
      <c r="Z30">
        <v>129.80000000000001</v>
      </c>
      <c r="AA30">
        <f t="shared" si="11"/>
        <v>128.73333333333332</v>
      </c>
      <c r="AB30">
        <v>124.4</v>
      </c>
      <c r="AC30">
        <f t="shared" si="12"/>
        <v>123.7</v>
      </c>
      <c r="AD30">
        <v>126.7</v>
      </c>
      <c r="AE30">
        <f t="shared" si="13"/>
        <v>125.7</v>
      </c>
      <c r="AF30">
        <v>127.3</v>
      </c>
      <c r="AG30">
        <f t="shared" si="14"/>
        <v>126.56666666666666</v>
      </c>
      <c r="AH30">
        <v>124.1</v>
      </c>
      <c r="AI30">
        <f t="shared" si="15"/>
        <v>123.43333333333332</v>
      </c>
      <c r="AJ30">
        <v>126.8</v>
      </c>
      <c r="AK30">
        <f t="shared" si="16"/>
        <v>126.10000000000001</v>
      </c>
      <c r="AL30" t="s">
        <v>32</v>
      </c>
      <c r="AN30">
        <v>121.9</v>
      </c>
      <c r="AO30">
        <f t="shared" si="17"/>
        <v>121.23333333333335</v>
      </c>
      <c r="AP30">
        <v>121.5</v>
      </c>
      <c r="AQ30">
        <f t="shared" si="18"/>
        <v>120.86666666666667</v>
      </c>
      <c r="AR30">
        <v>119.4</v>
      </c>
      <c r="AS30">
        <f t="shared" si="19"/>
        <v>118.73333333333335</v>
      </c>
      <c r="AT30">
        <v>113.3</v>
      </c>
      <c r="AU30">
        <f t="shared" si="20"/>
        <v>112.26666666666667</v>
      </c>
      <c r="AV30">
        <v>116.7</v>
      </c>
      <c r="AW30">
        <f t="shared" si="21"/>
        <v>116.13333333333333</v>
      </c>
      <c r="AX30">
        <v>120.5</v>
      </c>
      <c r="AY30">
        <f t="shared" si="22"/>
        <v>119.93333333333334</v>
      </c>
      <c r="AZ30">
        <v>112.3</v>
      </c>
      <c r="BA30">
        <f t="shared" si="23"/>
        <v>111.56666666666666</v>
      </c>
      <c r="BB30">
        <v>116.9</v>
      </c>
      <c r="BC30">
        <f t="shared" si="24"/>
        <v>116.13333333333333</v>
      </c>
      <c r="BD30">
        <v>122.4</v>
      </c>
      <c r="BE30">
        <f t="shared" si="25"/>
        <v>121.66666666666667</v>
      </c>
    </row>
    <row r="31" spans="1:57">
      <c r="A31" t="s">
        <v>30</v>
      </c>
      <c r="B31">
        <v>2015</v>
      </c>
      <c r="C31" t="s">
        <v>39</v>
      </c>
      <c r="D31">
        <v>124.1</v>
      </c>
      <c r="E31">
        <f t="shared" si="0"/>
        <v>123.63333333333333</v>
      </c>
      <c r="F31">
        <v>130.4</v>
      </c>
      <c r="G31">
        <f t="shared" si="1"/>
        <v>127.66666666666667</v>
      </c>
      <c r="H31">
        <v>122.1</v>
      </c>
      <c r="I31">
        <f t="shared" si="2"/>
        <v>118.86666666666667</v>
      </c>
      <c r="J31">
        <v>128.69999999999999</v>
      </c>
      <c r="K31">
        <f t="shared" si="3"/>
        <v>127.73333333333333</v>
      </c>
      <c r="L31">
        <v>114.1</v>
      </c>
      <c r="M31">
        <f t="shared" si="4"/>
        <v>112.83333333333333</v>
      </c>
      <c r="N31">
        <v>133.19999999999999</v>
      </c>
      <c r="O31">
        <f t="shared" si="5"/>
        <v>133.83333333333331</v>
      </c>
      <c r="P31">
        <v>135.19999999999999</v>
      </c>
      <c r="Q31">
        <f t="shared" si="6"/>
        <v>130.4</v>
      </c>
      <c r="R31">
        <v>131.9</v>
      </c>
      <c r="S31">
        <f t="shared" si="7"/>
        <v>125.90000000000002</v>
      </c>
      <c r="T31">
        <v>96.3</v>
      </c>
      <c r="U31">
        <f t="shared" si="8"/>
        <v>97.233333333333334</v>
      </c>
      <c r="V31">
        <v>123</v>
      </c>
      <c r="W31">
        <f t="shared" si="9"/>
        <v>121.16666666666667</v>
      </c>
      <c r="X31">
        <v>121.1</v>
      </c>
      <c r="Y31">
        <f t="shared" si="10"/>
        <v>120.23333333333335</v>
      </c>
      <c r="Z31">
        <v>131.19999999999999</v>
      </c>
      <c r="AA31">
        <f t="shared" si="11"/>
        <v>129.9</v>
      </c>
      <c r="AB31">
        <v>126.6</v>
      </c>
      <c r="AC31">
        <f t="shared" si="12"/>
        <v>124.86666666666667</v>
      </c>
      <c r="AD31">
        <v>128.19999999999999</v>
      </c>
      <c r="AE31">
        <f t="shared" si="13"/>
        <v>126.86666666666667</v>
      </c>
      <c r="AF31">
        <v>128.4</v>
      </c>
      <c r="AG31">
        <f t="shared" si="14"/>
        <v>127.36666666666667</v>
      </c>
      <c r="AH31">
        <v>125.1</v>
      </c>
      <c r="AI31">
        <f t="shared" si="15"/>
        <v>124.16666666666667</v>
      </c>
      <c r="AJ31">
        <v>128</v>
      </c>
      <c r="AK31">
        <f t="shared" si="16"/>
        <v>126.93333333333334</v>
      </c>
      <c r="AL31" t="s">
        <v>32</v>
      </c>
      <c r="AN31">
        <v>122.6</v>
      </c>
      <c r="AO31">
        <f t="shared" si="17"/>
        <v>121.90000000000002</v>
      </c>
      <c r="AP31">
        <v>122.8</v>
      </c>
      <c r="AQ31">
        <f t="shared" si="18"/>
        <v>121.73333333333333</v>
      </c>
      <c r="AR31">
        <v>120.4</v>
      </c>
      <c r="AS31">
        <f t="shared" si="19"/>
        <v>119.46666666666665</v>
      </c>
      <c r="AT31">
        <v>114.2</v>
      </c>
      <c r="AU31">
        <f t="shared" si="20"/>
        <v>113.13333333333333</v>
      </c>
      <c r="AV31">
        <v>117.9</v>
      </c>
      <c r="AW31">
        <f t="shared" si="21"/>
        <v>116.93333333333334</v>
      </c>
      <c r="AX31">
        <v>122</v>
      </c>
      <c r="AY31">
        <f t="shared" si="22"/>
        <v>120.8</v>
      </c>
      <c r="AZ31">
        <v>113</v>
      </c>
      <c r="BA31">
        <f t="shared" si="23"/>
        <v>112.3</v>
      </c>
      <c r="BB31">
        <v>117.9</v>
      </c>
      <c r="BC31">
        <f t="shared" si="24"/>
        <v>116.93333333333334</v>
      </c>
      <c r="BD31">
        <v>124.1</v>
      </c>
      <c r="BE31">
        <f t="shared" si="25"/>
        <v>122.66666666666667</v>
      </c>
    </row>
    <row r="32" spans="1:57">
      <c r="A32" t="s">
        <v>30</v>
      </c>
      <c r="B32">
        <v>2015</v>
      </c>
      <c r="C32" t="s">
        <v>40</v>
      </c>
      <c r="D32">
        <v>124</v>
      </c>
      <c r="E32">
        <f t="shared" si="0"/>
        <v>123.86666666666667</v>
      </c>
      <c r="F32">
        <v>131.5</v>
      </c>
      <c r="G32">
        <f t="shared" si="1"/>
        <v>129.66666666666666</v>
      </c>
      <c r="H32">
        <v>122</v>
      </c>
      <c r="I32">
        <f t="shared" si="2"/>
        <v>120.46666666666665</v>
      </c>
      <c r="J32">
        <v>128.69999999999999</v>
      </c>
      <c r="K32">
        <f t="shared" si="3"/>
        <v>128.36666666666665</v>
      </c>
      <c r="L32">
        <v>113.5</v>
      </c>
      <c r="M32">
        <f t="shared" si="4"/>
        <v>113.36666666666667</v>
      </c>
      <c r="N32">
        <v>133.30000000000001</v>
      </c>
      <c r="O32">
        <f t="shared" si="5"/>
        <v>133.53333333333333</v>
      </c>
      <c r="P32">
        <v>140.80000000000001</v>
      </c>
      <c r="Q32">
        <f t="shared" si="6"/>
        <v>134.83333333333334</v>
      </c>
      <c r="R32">
        <v>133.80000000000001</v>
      </c>
      <c r="S32">
        <f t="shared" si="7"/>
        <v>130</v>
      </c>
      <c r="T32">
        <v>94.1</v>
      </c>
      <c r="U32">
        <f t="shared" si="8"/>
        <v>96</v>
      </c>
      <c r="V32">
        <v>123.4</v>
      </c>
      <c r="W32">
        <f t="shared" si="9"/>
        <v>122.36666666666667</v>
      </c>
      <c r="X32">
        <v>121</v>
      </c>
      <c r="Y32">
        <f t="shared" si="10"/>
        <v>120.76666666666667</v>
      </c>
      <c r="Z32">
        <v>131.69999999999999</v>
      </c>
      <c r="AA32">
        <f t="shared" si="11"/>
        <v>130.9</v>
      </c>
      <c r="AB32">
        <v>127.5</v>
      </c>
      <c r="AC32">
        <f t="shared" si="12"/>
        <v>126.16666666666667</v>
      </c>
      <c r="AD32">
        <v>129.4</v>
      </c>
      <c r="AE32">
        <f t="shared" si="13"/>
        <v>128.1</v>
      </c>
      <c r="AF32">
        <v>128.80000000000001</v>
      </c>
      <c r="AG32">
        <f t="shared" si="14"/>
        <v>128.16666666666666</v>
      </c>
      <c r="AH32">
        <v>125.5</v>
      </c>
      <c r="AI32">
        <f t="shared" si="15"/>
        <v>124.89999999999999</v>
      </c>
      <c r="AJ32">
        <v>128.30000000000001</v>
      </c>
      <c r="AK32">
        <f t="shared" si="16"/>
        <v>127.7</v>
      </c>
      <c r="AL32" t="s">
        <v>32</v>
      </c>
      <c r="AN32">
        <v>123</v>
      </c>
      <c r="AO32">
        <f t="shared" si="17"/>
        <v>122.5</v>
      </c>
      <c r="AP32">
        <v>123</v>
      </c>
      <c r="AQ32">
        <f t="shared" si="18"/>
        <v>122.43333333333334</v>
      </c>
      <c r="AR32">
        <v>120.8</v>
      </c>
      <c r="AS32">
        <f t="shared" si="19"/>
        <v>120.2</v>
      </c>
      <c r="AT32">
        <v>114.1</v>
      </c>
      <c r="AU32">
        <f t="shared" si="20"/>
        <v>113.86666666666667</v>
      </c>
      <c r="AV32">
        <v>118</v>
      </c>
      <c r="AW32">
        <f t="shared" si="21"/>
        <v>117.53333333333335</v>
      </c>
      <c r="AX32">
        <v>122.9</v>
      </c>
      <c r="AY32">
        <f t="shared" si="22"/>
        <v>121.8</v>
      </c>
      <c r="AZ32">
        <v>112.7</v>
      </c>
      <c r="BA32">
        <f t="shared" si="23"/>
        <v>112.66666666666667</v>
      </c>
      <c r="BB32">
        <v>118.1</v>
      </c>
      <c r="BC32">
        <f t="shared" si="24"/>
        <v>117.63333333333333</v>
      </c>
      <c r="BD32">
        <v>124.7</v>
      </c>
      <c r="BE32">
        <f t="shared" si="25"/>
        <v>123.73333333333333</v>
      </c>
    </row>
    <row r="33" spans="1:57">
      <c r="A33" t="s">
        <v>30</v>
      </c>
      <c r="B33">
        <v>2015</v>
      </c>
      <c r="C33" t="s">
        <v>41</v>
      </c>
      <c r="D33">
        <v>124.7</v>
      </c>
      <c r="E33">
        <f t="shared" si="0"/>
        <v>124.26666666666667</v>
      </c>
      <c r="F33">
        <v>131.30000000000001</v>
      </c>
      <c r="G33">
        <f t="shared" si="1"/>
        <v>131.06666666666666</v>
      </c>
      <c r="H33">
        <v>121.3</v>
      </c>
      <c r="I33">
        <f t="shared" si="2"/>
        <v>121.8</v>
      </c>
      <c r="J33">
        <v>128.80000000000001</v>
      </c>
      <c r="K33">
        <f t="shared" si="3"/>
        <v>128.73333333333332</v>
      </c>
      <c r="L33">
        <v>114</v>
      </c>
      <c r="M33">
        <f t="shared" si="4"/>
        <v>113.86666666666667</v>
      </c>
      <c r="N33">
        <v>134.19999999999999</v>
      </c>
      <c r="O33">
        <f t="shared" si="5"/>
        <v>133.56666666666666</v>
      </c>
      <c r="P33">
        <v>153.6</v>
      </c>
      <c r="Q33">
        <f t="shared" si="6"/>
        <v>143.20000000000002</v>
      </c>
      <c r="R33">
        <v>137.9</v>
      </c>
      <c r="S33">
        <f t="shared" si="7"/>
        <v>134.53333333333333</v>
      </c>
      <c r="T33">
        <v>93.1</v>
      </c>
      <c r="U33">
        <f t="shared" si="8"/>
        <v>94.5</v>
      </c>
      <c r="V33">
        <v>123.9</v>
      </c>
      <c r="W33">
        <f t="shared" si="9"/>
        <v>123.43333333333334</v>
      </c>
      <c r="X33">
        <v>121.5</v>
      </c>
      <c r="Y33">
        <f t="shared" si="10"/>
        <v>121.2</v>
      </c>
      <c r="Z33">
        <v>132.5</v>
      </c>
      <c r="AA33">
        <f t="shared" si="11"/>
        <v>131.79999999999998</v>
      </c>
      <c r="AB33">
        <v>129.80000000000001</v>
      </c>
      <c r="AC33">
        <f t="shared" si="12"/>
        <v>127.96666666666665</v>
      </c>
      <c r="AD33">
        <v>130.1</v>
      </c>
      <c r="AE33">
        <f t="shared" si="13"/>
        <v>129.23333333333335</v>
      </c>
      <c r="AF33">
        <v>129.5</v>
      </c>
      <c r="AG33">
        <f t="shared" si="14"/>
        <v>128.9</v>
      </c>
      <c r="AH33">
        <v>126.3</v>
      </c>
      <c r="AI33">
        <f t="shared" si="15"/>
        <v>125.63333333333333</v>
      </c>
      <c r="AJ33">
        <v>129</v>
      </c>
      <c r="AK33">
        <f t="shared" si="16"/>
        <v>128.43333333333334</v>
      </c>
      <c r="AL33" t="s">
        <v>32</v>
      </c>
      <c r="AN33">
        <v>123.8</v>
      </c>
      <c r="AO33">
        <f t="shared" si="17"/>
        <v>123.13333333333333</v>
      </c>
      <c r="AP33">
        <v>123.7</v>
      </c>
      <c r="AQ33">
        <f t="shared" si="18"/>
        <v>123.16666666666667</v>
      </c>
      <c r="AR33">
        <v>121.1</v>
      </c>
      <c r="AS33">
        <f t="shared" si="19"/>
        <v>120.76666666666665</v>
      </c>
      <c r="AT33">
        <v>113.6</v>
      </c>
      <c r="AU33">
        <f t="shared" si="20"/>
        <v>113.96666666666665</v>
      </c>
      <c r="AV33">
        <v>118.5</v>
      </c>
      <c r="AW33">
        <f t="shared" si="21"/>
        <v>118.13333333333333</v>
      </c>
      <c r="AX33">
        <v>123.6</v>
      </c>
      <c r="AY33">
        <f t="shared" si="22"/>
        <v>122.83333333333333</v>
      </c>
      <c r="AZ33">
        <v>112.5</v>
      </c>
      <c r="BA33">
        <f t="shared" si="23"/>
        <v>112.73333333333333</v>
      </c>
      <c r="BB33">
        <v>118.2</v>
      </c>
      <c r="BC33">
        <f t="shared" si="24"/>
        <v>118.06666666666666</v>
      </c>
      <c r="BD33">
        <v>126.1</v>
      </c>
      <c r="BE33">
        <f t="shared" si="25"/>
        <v>124.96666666666665</v>
      </c>
    </row>
    <row r="34" spans="1:57">
      <c r="A34" t="s">
        <v>30</v>
      </c>
      <c r="B34">
        <v>2015</v>
      </c>
      <c r="C34" t="s">
        <v>42</v>
      </c>
      <c r="D34">
        <v>125.1</v>
      </c>
      <c r="E34">
        <f t="shared" si="0"/>
        <v>124.59999999999998</v>
      </c>
      <c r="F34">
        <v>131.1</v>
      </c>
      <c r="G34">
        <f t="shared" si="1"/>
        <v>131.29999999999998</v>
      </c>
      <c r="H34">
        <v>120.7</v>
      </c>
      <c r="I34">
        <f t="shared" si="2"/>
        <v>121.33333333333333</v>
      </c>
      <c r="J34">
        <v>129.19999999999999</v>
      </c>
      <c r="K34">
        <f t="shared" si="3"/>
        <v>128.9</v>
      </c>
      <c r="L34">
        <v>114.7</v>
      </c>
      <c r="M34">
        <f t="shared" si="4"/>
        <v>114.06666666666666</v>
      </c>
      <c r="N34">
        <v>132.30000000000001</v>
      </c>
      <c r="O34">
        <f t="shared" si="5"/>
        <v>133.26666666666668</v>
      </c>
      <c r="P34">
        <v>158.9</v>
      </c>
      <c r="Q34">
        <f t="shared" si="6"/>
        <v>151.1</v>
      </c>
      <c r="R34">
        <v>142.1</v>
      </c>
      <c r="S34">
        <f t="shared" si="7"/>
        <v>137.93333333333337</v>
      </c>
      <c r="T34">
        <v>92.5</v>
      </c>
      <c r="U34">
        <f t="shared" si="8"/>
        <v>93.233333333333334</v>
      </c>
      <c r="V34">
        <v>125.4</v>
      </c>
      <c r="W34">
        <f t="shared" si="9"/>
        <v>124.23333333333335</v>
      </c>
      <c r="X34">
        <v>121.9</v>
      </c>
      <c r="Y34">
        <f t="shared" si="10"/>
        <v>121.46666666666665</v>
      </c>
      <c r="Z34">
        <v>132.69999999999999</v>
      </c>
      <c r="AA34">
        <f t="shared" si="11"/>
        <v>132.29999999999998</v>
      </c>
      <c r="AB34">
        <v>131</v>
      </c>
      <c r="AC34">
        <f t="shared" si="12"/>
        <v>129.43333333333334</v>
      </c>
      <c r="AD34">
        <v>131</v>
      </c>
      <c r="AE34">
        <f t="shared" si="13"/>
        <v>130.16666666666666</v>
      </c>
      <c r="AF34">
        <v>130.4</v>
      </c>
      <c r="AG34">
        <f t="shared" si="14"/>
        <v>129.56666666666669</v>
      </c>
      <c r="AH34">
        <v>126.8</v>
      </c>
      <c r="AI34">
        <f t="shared" si="15"/>
        <v>126.2</v>
      </c>
      <c r="AJ34">
        <v>129.9</v>
      </c>
      <c r="AK34">
        <f t="shared" si="16"/>
        <v>129.06666666666669</v>
      </c>
      <c r="AL34" t="s">
        <v>32</v>
      </c>
      <c r="AN34">
        <v>123.7</v>
      </c>
      <c r="AO34">
        <f t="shared" si="17"/>
        <v>123.5</v>
      </c>
      <c r="AP34">
        <v>124.5</v>
      </c>
      <c r="AQ34">
        <f t="shared" si="18"/>
        <v>123.73333333333333</v>
      </c>
      <c r="AR34">
        <v>121.4</v>
      </c>
      <c r="AS34">
        <f t="shared" si="19"/>
        <v>121.09999999999998</v>
      </c>
      <c r="AT34">
        <v>113.8</v>
      </c>
      <c r="AU34">
        <f t="shared" si="20"/>
        <v>113.83333333333333</v>
      </c>
      <c r="AV34">
        <v>119.6</v>
      </c>
      <c r="AW34">
        <f t="shared" si="21"/>
        <v>118.7</v>
      </c>
      <c r="AX34">
        <v>124.5</v>
      </c>
      <c r="AY34">
        <f t="shared" si="22"/>
        <v>123.66666666666667</v>
      </c>
      <c r="AZ34">
        <v>113.7</v>
      </c>
      <c r="BA34">
        <f t="shared" si="23"/>
        <v>112.96666666666665</v>
      </c>
      <c r="BB34">
        <v>118.8</v>
      </c>
      <c r="BC34">
        <f t="shared" si="24"/>
        <v>118.36666666666667</v>
      </c>
      <c r="BD34">
        <v>127</v>
      </c>
      <c r="BE34">
        <f t="shared" si="25"/>
        <v>125.93333333333334</v>
      </c>
    </row>
    <row r="35" spans="1:57">
      <c r="A35" t="s">
        <v>30</v>
      </c>
      <c r="B35">
        <v>2015</v>
      </c>
      <c r="C35" t="s">
        <v>43</v>
      </c>
      <c r="D35">
        <v>125.6</v>
      </c>
      <c r="E35">
        <f t="shared" si="0"/>
        <v>125.13333333333333</v>
      </c>
      <c r="F35">
        <v>130.4</v>
      </c>
      <c r="G35">
        <f t="shared" si="1"/>
        <v>130.93333333333331</v>
      </c>
      <c r="H35">
        <v>120.8</v>
      </c>
      <c r="I35">
        <f t="shared" si="2"/>
        <v>120.93333333333334</v>
      </c>
      <c r="J35">
        <v>129.4</v>
      </c>
      <c r="K35">
        <f t="shared" si="3"/>
        <v>129.13333333333333</v>
      </c>
      <c r="L35">
        <v>115.8</v>
      </c>
      <c r="M35">
        <f t="shared" si="4"/>
        <v>114.83333333333333</v>
      </c>
      <c r="N35">
        <v>133.19999999999999</v>
      </c>
      <c r="O35">
        <f t="shared" si="5"/>
        <v>133.23333333333332</v>
      </c>
      <c r="P35">
        <v>157.69999999999999</v>
      </c>
      <c r="Q35">
        <f t="shared" si="6"/>
        <v>156.73333333333332</v>
      </c>
      <c r="R35">
        <v>154.19999999999999</v>
      </c>
      <c r="S35">
        <f t="shared" si="7"/>
        <v>144.73333333333332</v>
      </c>
      <c r="T35">
        <v>93.7</v>
      </c>
      <c r="U35">
        <f t="shared" si="8"/>
        <v>93.100000000000009</v>
      </c>
      <c r="V35">
        <v>126.6</v>
      </c>
      <c r="W35">
        <f t="shared" si="9"/>
        <v>125.3</v>
      </c>
      <c r="X35">
        <v>122.3</v>
      </c>
      <c r="Y35">
        <f t="shared" si="10"/>
        <v>121.89999999999999</v>
      </c>
      <c r="Z35">
        <v>133.1</v>
      </c>
      <c r="AA35">
        <f t="shared" si="11"/>
        <v>132.76666666666665</v>
      </c>
      <c r="AB35">
        <v>131.80000000000001</v>
      </c>
      <c r="AC35">
        <f t="shared" si="12"/>
        <v>130.86666666666667</v>
      </c>
      <c r="AD35">
        <v>131.5</v>
      </c>
      <c r="AE35">
        <f t="shared" si="13"/>
        <v>130.86666666666667</v>
      </c>
      <c r="AF35">
        <v>131.1</v>
      </c>
      <c r="AG35">
        <f t="shared" si="14"/>
        <v>130.33333333333334</v>
      </c>
      <c r="AH35">
        <v>127.3</v>
      </c>
      <c r="AI35">
        <f t="shared" si="15"/>
        <v>126.8</v>
      </c>
      <c r="AJ35">
        <v>130.6</v>
      </c>
      <c r="AK35">
        <f t="shared" si="16"/>
        <v>129.83333333333334</v>
      </c>
      <c r="AL35" t="s">
        <v>32</v>
      </c>
      <c r="AN35">
        <v>124.4</v>
      </c>
      <c r="AO35">
        <f t="shared" si="17"/>
        <v>123.96666666666665</v>
      </c>
      <c r="AP35">
        <v>125.1</v>
      </c>
      <c r="AQ35">
        <f t="shared" si="18"/>
        <v>124.43333333333332</v>
      </c>
      <c r="AR35">
        <v>122</v>
      </c>
      <c r="AS35">
        <f t="shared" si="19"/>
        <v>121.5</v>
      </c>
      <c r="AT35">
        <v>113.8</v>
      </c>
      <c r="AU35">
        <f t="shared" si="20"/>
        <v>113.73333333333333</v>
      </c>
      <c r="AV35">
        <v>120.1</v>
      </c>
      <c r="AW35">
        <f t="shared" si="21"/>
        <v>119.39999999999999</v>
      </c>
      <c r="AX35">
        <v>125.1</v>
      </c>
      <c r="AY35">
        <f t="shared" si="22"/>
        <v>124.39999999999999</v>
      </c>
      <c r="AZ35">
        <v>114.2</v>
      </c>
      <c r="BA35">
        <f t="shared" si="23"/>
        <v>113.46666666666665</v>
      </c>
      <c r="BB35">
        <v>119.2</v>
      </c>
      <c r="BC35">
        <f t="shared" si="24"/>
        <v>118.73333333333333</v>
      </c>
      <c r="BD35">
        <v>127.7</v>
      </c>
      <c r="BE35">
        <f t="shared" si="25"/>
        <v>126.93333333333334</v>
      </c>
    </row>
    <row r="36" spans="1:57">
      <c r="A36" t="s">
        <v>30</v>
      </c>
      <c r="B36">
        <v>2015</v>
      </c>
      <c r="C36" t="s">
        <v>45</v>
      </c>
      <c r="D36">
        <v>126.1</v>
      </c>
      <c r="E36">
        <f t="shared" si="0"/>
        <v>125.59999999999998</v>
      </c>
      <c r="F36">
        <v>130.6</v>
      </c>
      <c r="G36">
        <f t="shared" si="1"/>
        <v>130.70000000000002</v>
      </c>
      <c r="H36">
        <v>121.7</v>
      </c>
      <c r="I36">
        <f t="shared" si="2"/>
        <v>121.06666666666666</v>
      </c>
      <c r="J36">
        <v>129.5</v>
      </c>
      <c r="K36">
        <f t="shared" si="3"/>
        <v>129.36666666666667</v>
      </c>
      <c r="L36">
        <v>117.8</v>
      </c>
      <c r="M36">
        <f t="shared" si="4"/>
        <v>116.10000000000001</v>
      </c>
      <c r="N36">
        <v>132.1</v>
      </c>
      <c r="O36">
        <f t="shared" si="5"/>
        <v>132.53333333333333</v>
      </c>
      <c r="P36">
        <v>155.19999999999999</v>
      </c>
      <c r="Q36">
        <f t="shared" si="6"/>
        <v>157.26666666666668</v>
      </c>
      <c r="R36">
        <v>160.80000000000001</v>
      </c>
      <c r="S36">
        <f t="shared" si="7"/>
        <v>152.36666666666665</v>
      </c>
      <c r="T36">
        <v>94.5</v>
      </c>
      <c r="U36">
        <f t="shared" si="8"/>
        <v>93.566666666666663</v>
      </c>
      <c r="V36">
        <v>128.30000000000001</v>
      </c>
      <c r="W36">
        <f t="shared" si="9"/>
        <v>126.76666666666667</v>
      </c>
      <c r="X36">
        <v>123.1</v>
      </c>
      <c r="Y36">
        <f t="shared" si="10"/>
        <v>122.43333333333332</v>
      </c>
      <c r="Z36">
        <v>134.19999999999999</v>
      </c>
      <c r="AA36">
        <f t="shared" si="11"/>
        <v>133.33333333333331</v>
      </c>
      <c r="AB36">
        <v>132.4</v>
      </c>
      <c r="AC36">
        <f t="shared" si="12"/>
        <v>131.73333333333335</v>
      </c>
      <c r="AD36">
        <v>132.19999999999999</v>
      </c>
      <c r="AE36">
        <f t="shared" si="13"/>
        <v>131.56666666666666</v>
      </c>
      <c r="AF36">
        <v>132.1</v>
      </c>
      <c r="AG36">
        <f t="shared" si="14"/>
        <v>131.20000000000002</v>
      </c>
      <c r="AH36">
        <v>128.19999999999999</v>
      </c>
      <c r="AI36">
        <f t="shared" si="15"/>
        <v>127.43333333333332</v>
      </c>
      <c r="AJ36">
        <v>131.5</v>
      </c>
      <c r="AK36">
        <f t="shared" si="16"/>
        <v>130.66666666666666</v>
      </c>
      <c r="AL36" t="s">
        <v>32</v>
      </c>
      <c r="AN36">
        <v>125.6</v>
      </c>
      <c r="AO36">
        <f t="shared" si="17"/>
        <v>124.56666666666668</v>
      </c>
      <c r="AP36">
        <v>125.6</v>
      </c>
      <c r="AQ36">
        <f t="shared" si="18"/>
        <v>125.06666666666666</v>
      </c>
      <c r="AR36">
        <v>122.6</v>
      </c>
      <c r="AS36">
        <f t="shared" si="19"/>
        <v>122</v>
      </c>
      <c r="AT36">
        <v>114</v>
      </c>
      <c r="AU36">
        <f t="shared" si="20"/>
        <v>113.86666666666667</v>
      </c>
      <c r="AV36">
        <v>120.9</v>
      </c>
      <c r="AW36">
        <f t="shared" si="21"/>
        <v>120.2</v>
      </c>
      <c r="AX36">
        <v>125.8</v>
      </c>
      <c r="AY36">
        <f t="shared" si="22"/>
        <v>125.13333333333333</v>
      </c>
      <c r="AZ36">
        <v>114.2</v>
      </c>
      <c r="BA36">
        <f t="shared" si="23"/>
        <v>114.03333333333335</v>
      </c>
      <c r="BB36">
        <v>119.6</v>
      </c>
      <c r="BC36">
        <f t="shared" si="24"/>
        <v>119.2</v>
      </c>
      <c r="BD36">
        <v>128.30000000000001</v>
      </c>
      <c r="BE36">
        <f t="shared" si="25"/>
        <v>127.66666666666667</v>
      </c>
    </row>
    <row r="37" spans="1:57">
      <c r="A37" t="s">
        <v>30</v>
      </c>
      <c r="B37">
        <v>2015</v>
      </c>
      <c r="C37" t="s">
        <v>46</v>
      </c>
      <c r="D37">
        <v>126.3</v>
      </c>
      <c r="E37">
        <f t="shared" si="0"/>
        <v>126</v>
      </c>
      <c r="F37">
        <v>131.30000000000001</v>
      </c>
      <c r="G37">
        <f t="shared" si="1"/>
        <v>130.76666666666668</v>
      </c>
      <c r="H37">
        <v>123.3</v>
      </c>
      <c r="I37">
        <f t="shared" si="2"/>
        <v>121.93333333333334</v>
      </c>
      <c r="J37">
        <v>129.80000000000001</v>
      </c>
      <c r="K37">
        <f t="shared" si="3"/>
        <v>129.56666666666666</v>
      </c>
      <c r="L37">
        <v>118.3</v>
      </c>
      <c r="M37">
        <f t="shared" si="4"/>
        <v>117.3</v>
      </c>
      <c r="N37">
        <v>131.6</v>
      </c>
      <c r="O37">
        <f t="shared" si="5"/>
        <v>132.29999999999998</v>
      </c>
      <c r="P37">
        <v>145.5</v>
      </c>
      <c r="Q37">
        <f t="shared" si="6"/>
        <v>152.79999999999998</v>
      </c>
      <c r="R37">
        <v>162.1</v>
      </c>
      <c r="S37">
        <f t="shared" si="7"/>
        <v>159.03333333333333</v>
      </c>
      <c r="T37">
        <v>95.4</v>
      </c>
      <c r="U37">
        <f t="shared" si="8"/>
        <v>94.533333333333346</v>
      </c>
      <c r="V37">
        <v>128.9</v>
      </c>
      <c r="W37">
        <f t="shared" si="9"/>
        <v>127.93333333333334</v>
      </c>
      <c r="X37">
        <v>123.3</v>
      </c>
      <c r="Y37">
        <f t="shared" si="10"/>
        <v>122.89999999999999</v>
      </c>
      <c r="Z37">
        <v>135.1</v>
      </c>
      <c r="AA37">
        <f t="shared" si="11"/>
        <v>134.13333333333333</v>
      </c>
      <c r="AB37">
        <v>131.4</v>
      </c>
      <c r="AC37">
        <f t="shared" si="12"/>
        <v>131.86666666666667</v>
      </c>
      <c r="AD37">
        <v>133.1</v>
      </c>
      <c r="AE37">
        <f t="shared" si="13"/>
        <v>132.26666666666665</v>
      </c>
      <c r="AF37">
        <v>132.5</v>
      </c>
      <c r="AG37">
        <f t="shared" si="14"/>
        <v>131.9</v>
      </c>
      <c r="AH37">
        <v>128.5</v>
      </c>
      <c r="AI37">
        <f t="shared" si="15"/>
        <v>128</v>
      </c>
      <c r="AJ37">
        <v>131.9</v>
      </c>
      <c r="AK37">
        <f t="shared" si="16"/>
        <v>131.33333333333334</v>
      </c>
      <c r="AL37" t="s">
        <v>32</v>
      </c>
      <c r="AN37">
        <v>125.7</v>
      </c>
      <c r="AO37">
        <f t="shared" si="17"/>
        <v>125.23333333333333</v>
      </c>
      <c r="AP37">
        <v>126</v>
      </c>
      <c r="AQ37">
        <f t="shared" si="18"/>
        <v>125.56666666666666</v>
      </c>
      <c r="AR37">
        <v>123.1</v>
      </c>
      <c r="AS37">
        <f t="shared" si="19"/>
        <v>122.56666666666666</v>
      </c>
      <c r="AT37">
        <v>114</v>
      </c>
      <c r="AU37">
        <f t="shared" si="20"/>
        <v>113.93333333333334</v>
      </c>
      <c r="AV37">
        <v>121.6</v>
      </c>
      <c r="AW37">
        <f t="shared" si="21"/>
        <v>120.86666666666667</v>
      </c>
      <c r="AX37">
        <v>125.6</v>
      </c>
      <c r="AY37">
        <f t="shared" si="22"/>
        <v>125.5</v>
      </c>
      <c r="AZ37">
        <v>114.1</v>
      </c>
      <c r="BA37">
        <f t="shared" si="23"/>
        <v>114.16666666666667</v>
      </c>
      <c r="BB37">
        <v>119.8</v>
      </c>
      <c r="BC37">
        <f t="shared" si="24"/>
        <v>119.53333333333335</v>
      </c>
      <c r="BD37">
        <v>127.9</v>
      </c>
      <c r="BE37">
        <f t="shared" si="25"/>
        <v>127.96666666666665</v>
      </c>
    </row>
    <row r="38" spans="1:57">
      <c r="A38" t="s">
        <v>30</v>
      </c>
      <c r="B38">
        <v>2016</v>
      </c>
      <c r="C38" t="s">
        <v>31</v>
      </c>
      <c r="D38">
        <v>126.8</v>
      </c>
      <c r="E38">
        <f t="shared" si="0"/>
        <v>126.39999999999999</v>
      </c>
      <c r="F38">
        <v>133.19999999999999</v>
      </c>
      <c r="G38">
        <f t="shared" si="1"/>
        <v>131.69999999999999</v>
      </c>
      <c r="H38">
        <v>126.5</v>
      </c>
      <c r="I38">
        <f t="shared" si="2"/>
        <v>123.83333333333333</v>
      </c>
      <c r="J38">
        <v>130.30000000000001</v>
      </c>
      <c r="K38">
        <f t="shared" si="3"/>
        <v>129.86666666666667</v>
      </c>
      <c r="L38">
        <v>118.9</v>
      </c>
      <c r="M38">
        <f t="shared" si="4"/>
        <v>118.33333333333333</v>
      </c>
      <c r="N38">
        <v>131.6</v>
      </c>
      <c r="O38">
        <f t="shared" si="5"/>
        <v>131.76666666666665</v>
      </c>
      <c r="P38">
        <v>140.1</v>
      </c>
      <c r="Q38">
        <f t="shared" si="6"/>
        <v>146.93333333333331</v>
      </c>
      <c r="R38">
        <v>163.80000000000001</v>
      </c>
      <c r="S38">
        <f t="shared" si="7"/>
        <v>162.23333333333332</v>
      </c>
      <c r="T38">
        <v>97.7</v>
      </c>
      <c r="U38">
        <f t="shared" si="8"/>
        <v>95.866666666666674</v>
      </c>
      <c r="V38">
        <v>129.6</v>
      </c>
      <c r="W38">
        <f t="shared" si="9"/>
        <v>128.93333333333337</v>
      </c>
      <c r="X38">
        <v>124.3</v>
      </c>
      <c r="Y38">
        <f t="shared" si="10"/>
        <v>123.56666666666666</v>
      </c>
      <c r="Z38">
        <v>135.9</v>
      </c>
      <c r="AA38">
        <f t="shared" si="11"/>
        <v>135.06666666666663</v>
      </c>
      <c r="AB38">
        <v>131.4</v>
      </c>
      <c r="AC38">
        <f t="shared" si="12"/>
        <v>131.73333333333335</v>
      </c>
      <c r="AD38">
        <v>133.6</v>
      </c>
      <c r="AE38">
        <f t="shared" si="13"/>
        <v>132.96666666666667</v>
      </c>
      <c r="AF38">
        <v>133.19999999999999</v>
      </c>
      <c r="AG38">
        <f t="shared" si="14"/>
        <v>132.6</v>
      </c>
      <c r="AH38">
        <v>128.9</v>
      </c>
      <c r="AI38">
        <f t="shared" si="15"/>
        <v>128.53333333333333</v>
      </c>
      <c r="AJ38">
        <v>132.6</v>
      </c>
      <c r="AK38">
        <f t="shared" si="16"/>
        <v>132</v>
      </c>
      <c r="AL38" t="s">
        <v>32</v>
      </c>
      <c r="AN38">
        <v>126.2</v>
      </c>
      <c r="AO38">
        <f t="shared" si="17"/>
        <v>125.83333333333333</v>
      </c>
      <c r="AP38">
        <v>126.6</v>
      </c>
      <c r="AQ38">
        <f t="shared" si="18"/>
        <v>126.06666666666666</v>
      </c>
      <c r="AR38">
        <v>123.7</v>
      </c>
      <c r="AS38">
        <f t="shared" si="19"/>
        <v>123.13333333333333</v>
      </c>
      <c r="AT38">
        <v>113.6</v>
      </c>
      <c r="AU38">
        <f t="shared" si="20"/>
        <v>113.86666666666667</v>
      </c>
      <c r="AV38">
        <v>121.4</v>
      </c>
      <c r="AW38">
        <f t="shared" si="21"/>
        <v>121.3</v>
      </c>
      <c r="AX38">
        <v>126.2</v>
      </c>
      <c r="AY38">
        <f t="shared" si="22"/>
        <v>125.86666666666666</v>
      </c>
      <c r="AZ38">
        <v>114.9</v>
      </c>
      <c r="BA38">
        <f t="shared" si="23"/>
        <v>114.40000000000002</v>
      </c>
      <c r="BB38">
        <v>120.1</v>
      </c>
      <c r="BC38">
        <f t="shared" si="24"/>
        <v>119.83333333333333</v>
      </c>
      <c r="BD38">
        <v>128.1</v>
      </c>
      <c r="BE38">
        <f t="shared" si="25"/>
        <v>128.10000000000002</v>
      </c>
    </row>
    <row r="39" spans="1:57">
      <c r="A39" t="s">
        <v>30</v>
      </c>
      <c r="B39">
        <v>2016</v>
      </c>
      <c r="C39" t="s">
        <v>35</v>
      </c>
      <c r="D39">
        <v>127.1</v>
      </c>
      <c r="E39">
        <f t="shared" si="0"/>
        <v>126.73333333333333</v>
      </c>
      <c r="F39">
        <v>133.69999999999999</v>
      </c>
      <c r="G39">
        <f t="shared" si="1"/>
        <v>132.73333333333332</v>
      </c>
      <c r="H39">
        <v>127.7</v>
      </c>
      <c r="I39">
        <f t="shared" si="2"/>
        <v>125.83333333333333</v>
      </c>
      <c r="J39">
        <v>130.69999999999999</v>
      </c>
      <c r="K39">
        <f t="shared" si="3"/>
        <v>130.26666666666668</v>
      </c>
      <c r="L39">
        <v>118.5</v>
      </c>
      <c r="M39">
        <f t="shared" si="4"/>
        <v>118.56666666666666</v>
      </c>
      <c r="N39">
        <v>130.4</v>
      </c>
      <c r="O39">
        <f t="shared" si="5"/>
        <v>131.20000000000002</v>
      </c>
      <c r="P39">
        <v>130.9</v>
      </c>
      <c r="Q39">
        <f t="shared" si="6"/>
        <v>138.83333333333334</v>
      </c>
      <c r="R39">
        <v>162.80000000000001</v>
      </c>
      <c r="S39">
        <f t="shared" si="7"/>
        <v>162.9</v>
      </c>
      <c r="T39">
        <v>98.7</v>
      </c>
      <c r="U39">
        <f t="shared" si="8"/>
        <v>97.266666666666666</v>
      </c>
      <c r="V39">
        <v>130.6</v>
      </c>
      <c r="W39">
        <f t="shared" si="9"/>
        <v>129.70000000000002</v>
      </c>
      <c r="X39">
        <v>124.8</v>
      </c>
      <c r="Y39">
        <f t="shared" si="10"/>
        <v>124.13333333333333</v>
      </c>
      <c r="Z39">
        <v>136.4</v>
      </c>
      <c r="AA39">
        <f t="shared" si="11"/>
        <v>135.79999999999998</v>
      </c>
      <c r="AB39">
        <v>130.30000000000001</v>
      </c>
      <c r="AC39">
        <f t="shared" si="12"/>
        <v>131.03333333333333</v>
      </c>
      <c r="AD39">
        <v>134.4</v>
      </c>
      <c r="AE39">
        <f t="shared" si="13"/>
        <v>133.70000000000002</v>
      </c>
      <c r="AF39">
        <v>133.9</v>
      </c>
      <c r="AG39">
        <f t="shared" si="14"/>
        <v>133.20000000000002</v>
      </c>
      <c r="AH39">
        <v>129.80000000000001</v>
      </c>
      <c r="AI39">
        <f t="shared" si="15"/>
        <v>129.06666666666666</v>
      </c>
      <c r="AJ39">
        <v>133.4</v>
      </c>
      <c r="AK39">
        <f t="shared" si="16"/>
        <v>132.63333333333333</v>
      </c>
      <c r="AL39" t="s">
        <v>32</v>
      </c>
      <c r="AN39">
        <v>127.5</v>
      </c>
      <c r="AO39">
        <f t="shared" si="17"/>
        <v>126.46666666666665</v>
      </c>
      <c r="AP39">
        <v>127.1</v>
      </c>
      <c r="AQ39">
        <f t="shared" si="18"/>
        <v>126.56666666666666</v>
      </c>
      <c r="AR39">
        <v>124.3</v>
      </c>
      <c r="AS39">
        <f t="shared" si="19"/>
        <v>123.7</v>
      </c>
      <c r="AT39">
        <v>113.9</v>
      </c>
      <c r="AU39">
        <f t="shared" si="20"/>
        <v>113.83333333333333</v>
      </c>
      <c r="AV39">
        <v>122.3</v>
      </c>
      <c r="AW39">
        <f t="shared" si="21"/>
        <v>121.76666666666667</v>
      </c>
      <c r="AX39">
        <v>127.1</v>
      </c>
      <c r="AY39">
        <f t="shared" si="22"/>
        <v>126.3</v>
      </c>
      <c r="AZ39">
        <v>116.8</v>
      </c>
      <c r="BA39">
        <f t="shared" si="23"/>
        <v>115.26666666666667</v>
      </c>
      <c r="BB39">
        <v>120.9</v>
      </c>
      <c r="BC39">
        <f t="shared" si="24"/>
        <v>120.26666666666665</v>
      </c>
      <c r="BD39">
        <v>127.9</v>
      </c>
      <c r="BE39">
        <f t="shared" si="25"/>
        <v>127.96666666666665</v>
      </c>
    </row>
    <row r="40" spans="1:57">
      <c r="A40" t="s">
        <v>30</v>
      </c>
      <c r="B40">
        <v>2016</v>
      </c>
      <c r="C40" t="s">
        <v>36</v>
      </c>
      <c r="D40">
        <v>127.3</v>
      </c>
      <c r="E40">
        <f t="shared" si="0"/>
        <v>127.06666666666666</v>
      </c>
      <c r="F40">
        <v>134.4</v>
      </c>
      <c r="G40">
        <f t="shared" si="1"/>
        <v>133.76666666666665</v>
      </c>
      <c r="H40">
        <v>125.1</v>
      </c>
      <c r="I40">
        <f t="shared" si="2"/>
        <v>126.43333333333332</v>
      </c>
      <c r="J40">
        <v>130.5</v>
      </c>
      <c r="K40">
        <f t="shared" si="3"/>
        <v>130.5</v>
      </c>
      <c r="L40">
        <v>118.3</v>
      </c>
      <c r="M40">
        <f t="shared" si="4"/>
        <v>118.56666666666666</v>
      </c>
      <c r="N40">
        <v>131.69999999999999</v>
      </c>
      <c r="O40">
        <f t="shared" si="5"/>
        <v>131.23333333333332</v>
      </c>
      <c r="P40">
        <v>130.69999999999999</v>
      </c>
      <c r="Q40">
        <f t="shared" si="6"/>
        <v>133.9</v>
      </c>
      <c r="R40">
        <v>161.19999999999999</v>
      </c>
      <c r="S40">
        <f t="shared" si="7"/>
        <v>162.6</v>
      </c>
      <c r="T40">
        <v>100.4</v>
      </c>
      <c r="U40">
        <f t="shared" si="8"/>
        <v>98.933333333333337</v>
      </c>
      <c r="V40">
        <v>130.80000000000001</v>
      </c>
      <c r="W40">
        <f t="shared" si="9"/>
        <v>130.33333333333334</v>
      </c>
      <c r="X40">
        <v>124.9</v>
      </c>
      <c r="Y40">
        <f t="shared" si="10"/>
        <v>124.66666666666667</v>
      </c>
      <c r="Z40">
        <v>137</v>
      </c>
      <c r="AA40">
        <f t="shared" si="11"/>
        <v>136.43333333333334</v>
      </c>
      <c r="AB40">
        <v>130.4</v>
      </c>
      <c r="AC40">
        <f t="shared" si="12"/>
        <v>130.70000000000002</v>
      </c>
      <c r="AD40">
        <v>135</v>
      </c>
      <c r="AE40">
        <f t="shared" si="13"/>
        <v>134.33333333333334</v>
      </c>
      <c r="AF40">
        <v>134.4</v>
      </c>
      <c r="AG40">
        <f t="shared" si="14"/>
        <v>133.83333333333334</v>
      </c>
      <c r="AH40">
        <v>130.19999999999999</v>
      </c>
      <c r="AI40">
        <f t="shared" si="15"/>
        <v>129.63333333333335</v>
      </c>
      <c r="AJ40">
        <v>133.80000000000001</v>
      </c>
      <c r="AK40">
        <f t="shared" si="16"/>
        <v>133.26666666666668</v>
      </c>
      <c r="AL40" t="s">
        <v>32</v>
      </c>
      <c r="AN40">
        <v>127</v>
      </c>
      <c r="AO40">
        <f t="shared" si="17"/>
        <v>126.89999999999999</v>
      </c>
      <c r="AP40">
        <v>127.7</v>
      </c>
      <c r="AQ40">
        <f t="shared" si="18"/>
        <v>127.13333333333333</v>
      </c>
      <c r="AR40">
        <v>124.8</v>
      </c>
      <c r="AS40">
        <f t="shared" si="19"/>
        <v>124.26666666666667</v>
      </c>
      <c r="AT40">
        <v>113.6</v>
      </c>
      <c r="AU40">
        <f t="shared" si="20"/>
        <v>113.7</v>
      </c>
      <c r="AV40">
        <v>122.5</v>
      </c>
      <c r="AW40">
        <f t="shared" si="21"/>
        <v>122.06666666666666</v>
      </c>
      <c r="AX40">
        <v>127.5</v>
      </c>
      <c r="AY40">
        <f t="shared" si="22"/>
        <v>126.93333333333334</v>
      </c>
      <c r="AZ40">
        <v>117.4</v>
      </c>
      <c r="BA40">
        <f t="shared" si="23"/>
        <v>116.36666666666667</v>
      </c>
      <c r="BB40">
        <v>121.1</v>
      </c>
      <c r="BC40">
        <f t="shared" si="24"/>
        <v>120.7</v>
      </c>
      <c r="BD40">
        <v>128</v>
      </c>
      <c r="BE40">
        <f t="shared" si="25"/>
        <v>128</v>
      </c>
    </row>
    <row r="41" spans="1:57">
      <c r="A41" t="s">
        <v>30</v>
      </c>
      <c r="B41">
        <v>2016</v>
      </c>
      <c r="C41" t="s">
        <v>37</v>
      </c>
      <c r="D41">
        <v>127.4</v>
      </c>
      <c r="E41">
        <f t="shared" si="0"/>
        <v>127.26666666666665</v>
      </c>
      <c r="F41">
        <v>135.4</v>
      </c>
      <c r="G41">
        <f t="shared" si="1"/>
        <v>134.5</v>
      </c>
      <c r="H41">
        <v>123.4</v>
      </c>
      <c r="I41">
        <f t="shared" si="2"/>
        <v>125.40000000000002</v>
      </c>
      <c r="J41">
        <v>131.30000000000001</v>
      </c>
      <c r="K41">
        <f t="shared" si="3"/>
        <v>130.83333333333334</v>
      </c>
      <c r="L41">
        <v>118.2</v>
      </c>
      <c r="M41">
        <f t="shared" si="4"/>
        <v>118.33333333333333</v>
      </c>
      <c r="N41">
        <v>138.1</v>
      </c>
      <c r="O41">
        <f t="shared" si="5"/>
        <v>133.4</v>
      </c>
      <c r="P41">
        <v>134.1</v>
      </c>
      <c r="Q41">
        <f t="shared" si="6"/>
        <v>131.9</v>
      </c>
      <c r="R41">
        <v>162.69999999999999</v>
      </c>
      <c r="S41">
        <f t="shared" si="7"/>
        <v>162.23333333333332</v>
      </c>
      <c r="T41">
        <v>105</v>
      </c>
      <c r="U41">
        <f t="shared" si="8"/>
        <v>101.36666666666667</v>
      </c>
      <c r="V41">
        <v>131.4</v>
      </c>
      <c r="W41">
        <f t="shared" si="9"/>
        <v>130.93333333333331</v>
      </c>
      <c r="X41">
        <v>125.4</v>
      </c>
      <c r="Y41">
        <f t="shared" si="10"/>
        <v>125.03333333333335</v>
      </c>
      <c r="Z41">
        <v>137.4</v>
      </c>
      <c r="AA41">
        <f t="shared" si="11"/>
        <v>136.93333333333331</v>
      </c>
      <c r="AB41">
        <v>131.80000000000001</v>
      </c>
      <c r="AC41">
        <f t="shared" si="12"/>
        <v>130.83333333333334</v>
      </c>
      <c r="AD41">
        <v>135.5</v>
      </c>
      <c r="AE41">
        <f t="shared" si="13"/>
        <v>134.96666666666667</v>
      </c>
      <c r="AF41">
        <v>135</v>
      </c>
      <c r="AG41">
        <f t="shared" si="14"/>
        <v>134.43333333333334</v>
      </c>
      <c r="AH41">
        <v>130.6</v>
      </c>
      <c r="AI41">
        <f t="shared" si="15"/>
        <v>130.20000000000002</v>
      </c>
      <c r="AJ41">
        <v>134.4</v>
      </c>
      <c r="AK41">
        <f t="shared" si="16"/>
        <v>133.86666666666667</v>
      </c>
      <c r="AL41" t="s">
        <v>32</v>
      </c>
      <c r="AN41">
        <v>127</v>
      </c>
      <c r="AO41">
        <f t="shared" si="17"/>
        <v>127.16666666666667</v>
      </c>
      <c r="AP41">
        <v>128</v>
      </c>
      <c r="AQ41">
        <f t="shared" si="18"/>
        <v>127.60000000000001</v>
      </c>
      <c r="AR41">
        <v>125.2</v>
      </c>
      <c r="AS41">
        <f t="shared" si="19"/>
        <v>124.76666666666667</v>
      </c>
      <c r="AT41">
        <v>114.4</v>
      </c>
      <c r="AU41">
        <f t="shared" si="20"/>
        <v>113.96666666666665</v>
      </c>
      <c r="AV41">
        <v>123.2</v>
      </c>
      <c r="AW41">
        <f t="shared" si="21"/>
        <v>122.66666666666667</v>
      </c>
      <c r="AX41">
        <v>127.9</v>
      </c>
      <c r="AY41">
        <f t="shared" si="22"/>
        <v>127.5</v>
      </c>
      <c r="AZ41">
        <v>118.4</v>
      </c>
      <c r="BA41">
        <f t="shared" si="23"/>
        <v>117.53333333333335</v>
      </c>
      <c r="BB41">
        <v>121.7</v>
      </c>
      <c r="BC41">
        <f t="shared" si="24"/>
        <v>121.23333333333333</v>
      </c>
      <c r="BD41">
        <v>129</v>
      </c>
      <c r="BE41">
        <f t="shared" si="25"/>
        <v>128.29999999999998</v>
      </c>
    </row>
    <row r="42" spans="1:57">
      <c r="A42" t="s">
        <v>30</v>
      </c>
      <c r="B42">
        <v>2016</v>
      </c>
      <c r="C42" t="s">
        <v>38</v>
      </c>
      <c r="D42">
        <v>127.6</v>
      </c>
      <c r="E42">
        <f t="shared" si="0"/>
        <v>127.43333333333332</v>
      </c>
      <c r="F42">
        <v>137.5</v>
      </c>
      <c r="G42">
        <f t="shared" si="1"/>
        <v>135.76666666666668</v>
      </c>
      <c r="H42">
        <v>124.4</v>
      </c>
      <c r="I42">
        <f t="shared" si="2"/>
        <v>124.3</v>
      </c>
      <c r="J42">
        <v>132.4</v>
      </c>
      <c r="K42">
        <f t="shared" si="3"/>
        <v>131.4</v>
      </c>
      <c r="L42">
        <v>118.2</v>
      </c>
      <c r="M42">
        <f t="shared" si="4"/>
        <v>118.23333333333333</v>
      </c>
      <c r="N42">
        <v>138.1</v>
      </c>
      <c r="O42">
        <f t="shared" si="5"/>
        <v>135.96666666666667</v>
      </c>
      <c r="P42">
        <v>141.80000000000001</v>
      </c>
      <c r="Q42">
        <f t="shared" si="6"/>
        <v>135.53333333333333</v>
      </c>
      <c r="R42">
        <v>166</v>
      </c>
      <c r="S42">
        <f t="shared" si="7"/>
        <v>163.29999999999998</v>
      </c>
      <c r="T42">
        <v>107.5</v>
      </c>
      <c r="U42">
        <f t="shared" si="8"/>
        <v>104.3</v>
      </c>
      <c r="V42">
        <v>132.19999999999999</v>
      </c>
      <c r="W42">
        <f t="shared" si="9"/>
        <v>131.46666666666667</v>
      </c>
      <c r="X42">
        <v>126.1</v>
      </c>
      <c r="Y42">
        <f t="shared" si="10"/>
        <v>125.46666666666665</v>
      </c>
      <c r="Z42">
        <v>138.30000000000001</v>
      </c>
      <c r="AA42">
        <f t="shared" si="11"/>
        <v>137.56666666666666</v>
      </c>
      <c r="AB42">
        <v>133.6</v>
      </c>
      <c r="AC42">
        <f t="shared" si="12"/>
        <v>131.93333333333337</v>
      </c>
      <c r="AD42">
        <v>136</v>
      </c>
      <c r="AE42">
        <f t="shared" si="13"/>
        <v>135.5</v>
      </c>
      <c r="AF42">
        <v>135.4</v>
      </c>
      <c r="AG42">
        <f t="shared" si="14"/>
        <v>134.93333333333331</v>
      </c>
      <c r="AH42">
        <v>131.1</v>
      </c>
      <c r="AI42">
        <f t="shared" si="15"/>
        <v>130.63333333333333</v>
      </c>
      <c r="AJ42">
        <v>134.80000000000001</v>
      </c>
      <c r="AK42">
        <f t="shared" si="16"/>
        <v>134.33333333333334</v>
      </c>
      <c r="AL42" t="s">
        <v>32</v>
      </c>
      <c r="AN42">
        <v>127.4</v>
      </c>
      <c r="AO42">
        <f t="shared" si="17"/>
        <v>127.13333333333333</v>
      </c>
      <c r="AP42">
        <v>128.5</v>
      </c>
      <c r="AQ42">
        <f t="shared" si="18"/>
        <v>128.06666666666666</v>
      </c>
      <c r="AR42">
        <v>125.8</v>
      </c>
      <c r="AS42">
        <f t="shared" si="19"/>
        <v>125.26666666666667</v>
      </c>
      <c r="AT42">
        <v>115.1</v>
      </c>
      <c r="AU42">
        <f t="shared" si="20"/>
        <v>114.36666666666667</v>
      </c>
      <c r="AV42">
        <v>123.6</v>
      </c>
      <c r="AW42">
        <f t="shared" si="21"/>
        <v>123.09999999999998</v>
      </c>
      <c r="AX42">
        <v>129.1</v>
      </c>
      <c r="AY42">
        <f t="shared" si="22"/>
        <v>128.16666666666666</v>
      </c>
      <c r="AZ42">
        <v>119.7</v>
      </c>
      <c r="BA42">
        <f t="shared" si="23"/>
        <v>118.5</v>
      </c>
      <c r="BB42">
        <v>122.5</v>
      </c>
      <c r="BC42">
        <f t="shared" si="24"/>
        <v>121.76666666666667</v>
      </c>
      <c r="BD42">
        <v>130.30000000000001</v>
      </c>
      <c r="BE42">
        <f t="shared" si="25"/>
        <v>129.1</v>
      </c>
    </row>
    <row r="43" spans="1:57">
      <c r="A43" t="s">
        <v>30</v>
      </c>
      <c r="B43">
        <v>2016</v>
      </c>
      <c r="C43" t="s">
        <v>39</v>
      </c>
      <c r="D43">
        <v>128.6</v>
      </c>
      <c r="E43">
        <f t="shared" si="0"/>
        <v>127.86666666666667</v>
      </c>
      <c r="F43">
        <v>138.6</v>
      </c>
      <c r="G43">
        <f t="shared" si="1"/>
        <v>137.16666666666666</v>
      </c>
      <c r="H43">
        <v>126.6</v>
      </c>
      <c r="I43">
        <f t="shared" si="2"/>
        <v>124.8</v>
      </c>
      <c r="J43">
        <v>133.6</v>
      </c>
      <c r="K43">
        <f t="shared" si="3"/>
        <v>132.43333333333337</v>
      </c>
      <c r="L43">
        <v>118.6</v>
      </c>
      <c r="M43">
        <f t="shared" si="4"/>
        <v>118.33333333333333</v>
      </c>
      <c r="N43">
        <v>137.4</v>
      </c>
      <c r="O43">
        <f t="shared" si="5"/>
        <v>137.86666666666667</v>
      </c>
      <c r="P43">
        <v>152.5</v>
      </c>
      <c r="Q43">
        <f t="shared" si="6"/>
        <v>142.79999999999998</v>
      </c>
      <c r="R43">
        <v>169.2</v>
      </c>
      <c r="S43">
        <f t="shared" si="7"/>
        <v>165.96666666666667</v>
      </c>
      <c r="T43">
        <v>108.8</v>
      </c>
      <c r="U43">
        <f t="shared" si="8"/>
        <v>107.10000000000001</v>
      </c>
      <c r="V43">
        <v>133.1</v>
      </c>
      <c r="W43">
        <f t="shared" si="9"/>
        <v>132.23333333333335</v>
      </c>
      <c r="X43">
        <v>126.4</v>
      </c>
      <c r="Y43">
        <f t="shared" si="10"/>
        <v>125.96666666666665</v>
      </c>
      <c r="Z43">
        <v>139.19999999999999</v>
      </c>
      <c r="AA43">
        <f t="shared" si="11"/>
        <v>138.30000000000001</v>
      </c>
      <c r="AB43">
        <v>136</v>
      </c>
      <c r="AC43">
        <f t="shared" si="12"/>
        <v>133.79999999999998</v>
      </c>
      <c r="AD43">
        <v>137.19999999999999</v>
      </c>
      <c r="AE43">
        <f t="shared" si="13"/>
        <v>136.23333333333332</v>
      </c>
      <c r="AF43">
        <v>136.30000000000001</v>
      </c>
      <c r="AG43">
        <f t="shared" si="14"/>
        <v>135.56666666666666</v>
      </c>
      <c r="AH43">
        <v>131.6</v>
      </c>
      <c r="AI43">
        <f t="shared" si="15"/>
        <v>131.1</v>
      </c>
      <c r="AJ43">
        <v>135.6</v>
      </c>
      <c r="AK43">
        <f t="shared" si="16"/>
        <v>134.93333333333337</v>
      </c>
      <c r="AL43" t="s">
        <v>32</v>
      </c>
      <c r="AN43">
        <v>128</v>
      </c>
      <c r="AO43">
        <f t="shared" si="17"/>
        <v>127.46666666666665</v>
      </c>
      <c r="AP43">
        <v>129.30000000000001</v>
      </c>
      <c r="AQ43">
        <f t="shared" si="18"/>
        <v>128.6</v>
      </c>
      <c r="AR43">
        <v>126.2</v>
      </c>
      <c r="AS43">
        <f t="shared" si="19"/>
        <v>125.73333333333333</v>
      </c>
      <c r="AT43">
        <v>116.3</v>
      </c>
      <c r="AU43">
        <f t="shared" si="20"/>
        <v>115.26666666666667</v>
      </c>
      <c r="AV43">
        <v>124.1</v>
      </c>
      <c r="AW43">
        <f t="shared" si="21"/>
        <v>123.63333333333333</v>
      </c>
      <c r="AX43">
        <v>130.19999999999999</v>
      </c>
      <c r="AY43">
        <f t="shared" si="22"/>
        <v>129.06666666666666</v>
      </c>
      <c r="AZ43">
        <v>119.9</v>
      </c>
      <c r="BA43">
        <f t="shared" si="23"/>
        <v>119.33333333333333</v>
      </c>
      <c r="BB43">
        <v>123.3</v>
      </c>
      <c r="BC43">
        <f t="shared" si="24"/>
        <v>122.5</v>
      </c>
      <c r="BD43">
        <v>131.9</v>
      </c>
      <c r="BE43">
        <f t="shared" si="25"/>
        <v>130.4</v>
      </c>
    </row>
    <row r="44" spans="1:57">
      <c r="A44" t="s">
        <v>30</v>
      </c>
      <c r="B44">
        <v>2016</v>
      </c>
      <c r="C44" t="s">
        <v>40</v>
      </c>
      <c r="D44">
        <v>129.30000000000001</v>
      </c>
      <c r="E44">
        <f t="shared" si="0"/>
        <v>128.5</v>
      </c>
      <c r="F44">
        <v>139.5</v>
      </c>
      <c r="G44">
        <f t="shared" si="1"/>
        <v>138.53333333333333</v>
      </c>
      <c r="H44">
        <v>129.6</v>
      </c>
      <c r="I44">
        <f t="shared" si="2"/>
        <v>126.86666666666667</v>
      </c>
      <c r="J44">
        <v>134.5</v>
      </c>
      <c r="K44">
        <f t="shared" si="3"/>
        <v>133.5</v>
      </c>
      <c r="L44">
        <v>119.5</v>
      </c>
      <c r="M44">
        <f t="shared" si="4"/>
        <v>118.76666666666667</v>
      </c>
      <c r="N44">
        <v>138.5</v>
      </c>
      <c r="O44">
        <f t="shared" si="5"/>
        <v>138</v>
      </c>
      <c r="P44">
        <v>158.19999999999999</v>
      </c>
      <c r="Q44">
        <f t="shared" si="6"/>
        <v>150.83333333333334</v>
      </c>
      <c r="R44">
        <v>171.8</v>
      </c>
      <c r="S44">
        <f t="shared" si="7"/>
        <v>169</v>
      </c>
      <c r="T44">
        <v>110.3</v>
      </c>
      <c r="U44">
        <f t="shared" si="8"/>
        <v>108.86666666666667</v>
      </c>
      <c r="V44">
        <v>134.30000000000001</v>
      </c>
      <c r="W44">
        <f t="shared" si="9"/>
        <v>133.19999999999999</v>
      </c>
      <c r="X44">
        <v>127.3</v>
      </c>
      <c r="Y44">
        <f t="shared" si="10"/>
        <v>126.60000000000001</v>
      </c>
      <c r="Z44">
        <v>139.9</v>
      </c>
      <c r="AA44">
        <f t="shared" si="11"/>
        <v>139.13333333333333</v>
      </c>
      <c r="AB44">
        <v>137.6</v>
      </c>
      <c r="AC44">
        <f t="shared" si="12"/>
        <v>135.73333333333335</v>
      </c>
      <c r="AD44">
        <v>138</v>
      </c>
      <c r="AE44">
        <f t="shared" si="13"/>
        <v>137.06666666666666</v>
      </c>
      <c r="AF44">
        <v>137.19999999999999</v>
      </c>
      <c r="AG44">
        <f t="shared" si="14"/>
        <v>136.30000000000001</v>
      </c>
      <c r="AH44">
        <v>132.19999999999999</v>
      </c>
      <c r="AI44">
        <f t="shared" si="15"/>
        <v>131.63333333333333</v>
      </c>
      <c r="AJ44">
        <v>136.5</v>
      </c>
      <c r="AK44">
        <f t="shared" si="16"/>
        <v>135.63333333333333</v>
      </c>
      <c r="AL44" t="s">
        <v>32</v>
      </c>
      <c r="AN44">
        <v>128.19999999999999</v>
      </c>
      <c r="AO44">
        <f t="shared" si="17"/>
        <v>127.86666666666667</v>
      </c>
      <c r="AP44">
        <v>130</v>
      </c>
      <c r="AQ44">
        <f t="shared" si="18"/>
        <v>129.26666666666668</v>
      </c>
      <c r="AR44">
        <v>126.7</v>
      </c>
      <c r="AS44">
        <f t="shared" si="19"/>
        <v>126.23333333333333</v>
      </c>
      <c r="AT44">
        <v>116.4</v>
      </c>
      <c r="AU44">
        <f t="shared" si="20"/>
        <v>115.93333333333332</v>
      </c>
      <c r="AV44">
        <v>125.2</v>
      </c>
      <c r="AW44">
        <f t="shared" si="21"/>
        <v>124.3</v>
      </c>
      <c r="AX44">
        <v>130.80000000000001</v>
      </c>
      <c r="AY44">
        <f t="shared" si="22"/>
        <v>130.03333333333333</v>
      </c>
      <c r="AZ44">
        <v>120.9</v>
      </c>
      <c r="BA44">
        <f t="shared" si="23"/>
        <v>120.16666666666667</v>
      </c>
      <c r="BB44">
        <v>123.8</v>
      </c>
      <c r="BC44">
        <f t="shared" si="24"/>
        <v>123.2</v>
      </c>
      <c r="BD44">
        <v>133</v>
      </c>
      <c r="BE44">
        <f t="shared" si="25"/>
        <v>131.73333333333335</v>
      </c>
    </row>
    <row r="45" spans="1:57">
      <c r="A45" t="s">
        <v>30</v>
      </c>
      <c r="B45">
        <v>2016</v>
      </c>
      <c r="C45" t="s">
        <v>41</v>
      </c>
      <c r="D45">
        <v>130.1</v>
      </c>
      <c r="E45">
        <f t="shared" si="0"/>
        <v>129.33333333333334</v>
      </c>
      <c r="F45">
        <v>138.80000000000001</v>
      </c>
      <c r="G45">
        <f t="shared" si="1"/>
        <v>138.96666666666667</v>
      </c>
      <c r="H45">
        <v>130.30000000000001</v>
      </c>
      <c r="I45">
        <f t="shared" si="2"/>
        <v>128.83333333333334</v>
      </c>
      <c r="J45">
        <v>135.30000000000001</v>
      </c>
      <c r="K45">
        <f t="shared" si="3"/>
        <v>134.46666666666667</v>
      </c>
      <c r="L45">
        <v>119.9</v>
      </c>
      <c r="M45">
        <f t="shared" si="4"/>
        <v>119.33333333333333</v>
      </c>
      <c r="N45">
        <v>140.19999999999999</v>
      </c>
      <c r="O45">
        <f t="shared" si="5"/>
        <v>138.69999999999999</v>
      </c>
      <c r="P45">
        <v>156.9</v>
      </c>
      <c r="Q45">
        <f t="shared" si="6"/>
        <v>155.86666666666667</v>
      </c>
      <c r="R45">
        <v>172.2</v>
      </c>
      <c r="S45">
        <f t="shared" si="7"/>
        <v>171.06666666666669</v>
      </c>
      <c r="T45">
        <v>112.1</v>
      </c>
      <c r="U45">
        <f t="shared" si="8"/>
        <v>110.39999999999999</v>
      </c>
      <c r="V45">
        <v>134.9</v>
      </c>
      <c r="W45">
        <f t="shared" si="9"/>
        <v>134.1</v>
      </c>
      <c r="X45">
        <v>128.1</v>
      </c>
      <c r="Y45">
        <f t="shared" si="10"/>
        <v>127.26666666666665</v>
      </c>
      <c r="Z45">
        <v>140.69999999999999</v>
      </c>
      <c r="AA45">
        <f t="shared" si="11"/>
        <v>139.93333333333334</v>
      </c>
      <c r="AB45">
        <v>138</v>
      </c>
      <c r="AC45">
        <f t="shared" si="12"/>
        <v>137.20000000000002</v>
      </c>
      <c r="AD45">
        <v>138.9</v>
      </c>
      <c r="AE45">
        <f t="shared" si="13"/>
        <v>138.03333333333333</v>
      </c>
      <c r="AF45">
        <v>137.80000000000001</v>
      </c>
      <c r="AG45">
        <f t="shared" si="14"/>
        <v>137.1</v>
      </c>
      <c r="AH45">
        <v>133</v>
      </c>
      <c r="AI45">
        <f t="shared" si="15"/>
        <v>132.26666666666665</v>
      </c>
      <c r="AJ45">
        <v>137.1</v>
      </c>
      <c r="AK45">
        <f t="shared" si="16"/>
        <v>136.4</v>
      </c>
      <c r="AL45" t="s">
        <v>32</v>
      </c>
      <c r="AN45">
        <v>129.1</v>
      </c>
      <c r="AO45">
        <f t="shared" si="17"/>
        <v>128.43333333333331</v>
      </c>
      <c r="AP45">
        <v>130.6</v>
      </c>
      <c r="AQ45">
        <f t="shared" si="18"/>
        <v>129.96666666666667</v>
      </c>
      <c r="AR45">
        <v>127</v>
      </c>
      <c r="AS45">
        <f t="shared" si="19"/>
        <v>126.63333333333333</v>
      </c>
      <c r="AT45">
        <v>116</v>
      </c>
      <c r="AU45">
        <f t="shared" si="20"/>
        <v>116.23333333333333</v>
      </c>
      <c r="AV45">
        <v>125.5</v>
      </c>
      <c r="AW45">
        <f t="shared" si="21"/>
        <v>124.93333333333334</v>
      </c>
      <c r="AX45">
        <v>131.9</v>
      </c>
      <c r="AY45">
        <f t="shared" si="22"/>
        <v>130.96666666666667</v>
      </c>
      <c r="AZ45">
        <v>122</v>
      </c>
      <c r="BA45">
        <f t="shared" si="23"/>
        <v>120.93333333333334</v>
      </c>
      <c r="BB45">
        <v>124.2</v>
      </c>
      <c r="BC45">
        <f t="shared" si="24"/>
        <v>123.76666666666667</v>
      </c>
      <c r="BD45">
        <v>133.5</v>
      </c>
      <c r="BE45">
        <f t="shared" si="25"/>
        <v>132.79999999999998</v>
      </c>
    </row>
    <row r="46" spans="1:57">
      <c r="A46" t="s">
        <v>30</v>
      </c>
      <c r="B46">
        <v>2016</v>
      </c>
      <c r="C46" t="s">
        <v>42</v>
      </c>
      <c r="D46">
        <v>130.80000000000001</v>
      </c>
      <c r="E46">
        <f t="shared" si="0"/>
        <v>130.06666666666666</v>
      </c>
      <c r="F46">
        <v>138.19999999999999</v>
      </c>
      <c r="G46">
        <f t="shared" si="1"/>
        <v>138.83333333333334</v>
      </c>
      <c r="H46">
        <v>130.5</v>
      </c>
      <c r="I46">
        <f t="shared" si="2"/>
        <v>130.13333333333333</v>
      </c>
      <c r="J46">
        <v>135.5</v>
      </c>
      <c r="K46">
        <f t="shared" si="3"/>
        <v>135.1</v>
      </c>
      <c r="L46">
        <v>120.2</v>
      </c>
      <c r="M46">
        <f t="shared" si="4"/>
        <v>119.86666666666667</v>
      </c>
      <c r="N46">
        <v>139.19999999999999</v>
      </c>
      <c r="O46">
        <f t="shared" si="5"/>
        <v>139.29999999999998</v>
      </c>
      <c r="P46">
        <v>149.5</v>
      </c>
      <c r="Q46">
        <f t="shared" si="6"/>
        <v>154.86666666666667</v>
      </c>
      <c r="R46">
        <v>170.4</v>
      </c>
      <c r="S46">
        <f t="shared" si="7"/>
        <v>171.46666666666667</v>
      </c>
      <c r="T46">
        <v>113.1</v>
      </c>
      <c r="U46">
        <f t="shared" si="8"/>
        <v>111.83333333333333</v>
      </c>
      <c r="V46">
        <v>135.80000000000001</v>
      </c>
      <c r="W46">
        <f t="shared" si="9"/>
        <v>135.00000000000003</v>
      </c>
      <c r="X46">
        <v>128.80000000000001</v>
      </c>
      <c r="Y46">
        <f t="shared" si="10"/>
        <v>128.06666666666666</v>
      </c>
      <c r="Z46">
        <v>141.5</v>
      </c>
      <c r="AA46">
        <f t="shared" si="11"/>
        <v>140.70000000000002</v>
      </c>
      <c r="AB46">
        <v>137.19999999999999</v>
      </c>
      <c r="AC46">
        <f t="shared" si="12"/>
        <v>137.6</v>
      </c>
      <c r="AD46">
        <v>139.9</v>
      </c>
      <c r="AE46">
        <f t="shared" si="13"/>
        <v>138.93333333333331</v>
      </c>
      <c r="AF46">
        <v>138.5</v>
      </c>
      <c r="AG46">
        <f t="shared" si="14"/>
        <v>137.83333333333334</v>
      </c>
      <c r="AH46">
        <v>133.5</v>
      </c>
      <c r="AI46">
        <f t="shared" si="15"/>
        <v>132.9</v>
      </c>
      <c r="AJ46">
        <v>137.80000000000001</v>
      </c>
      <c r="AK46">
        <f t="shared" si="16"/>
        <v>137.13333333333335</v>
      </c>
      <c r="AL46" t="s">
        <v>32</v>
      </c>
      <c r="AN46">
        <v>129.69999999999999</v>
      </c>
      <c r="AO46">
        <f t="shared" si="17"/>
        <v>128.99999999999997</v>
      </c>
      <c r="AP46">
        <v>131.1</v>
      </c>
      <c r="AQ46">
        <f t="shared" si="18"/>
        <v>130.56666666666669</v>
      </c>
      <c r="AR46">
        <v>127.8</v>
      </c>
      <c r="AS46">
        <f t="shared" si="19"/>
        <v>127.16666666666667</v>
      </c>
      <c r="AT46">
        <v>117</v>
      </c>
      <c r="AU46">
        <f t="shared" si="20"/>
        <v>116.46666666666665</v>
      </c>
      <c r="AV46">
        <v>125.7</v>
      </c>
      <c r="AW46">
        <f t="shared" si="21"/>
        <v>125.46666666666665</v>
      </c>
      <c r="AX46">
        <v>132.19999999999999</v>
      </c>
      <c r="AY46">
        <f t="shared" si="22"/>
        <v>131.63333333333335</v>
      </c>
      <c r="AZ46">
        <v>122.8</v>
      </c>
      <c r="BA46">
        <f t="shared" si="23"/>
        <v>121.89999999999999</v>
      </c>
      <c r="BB46">
        <v>124.9</v>
      </c>
      <c r="BC46">
        <f t="shared" si="24"/>
        <v>124.3</v>
      </c>
      <c r="BD46">
        <v>133.4</v>
      </c>
      <c r="BE46">
        <f t="shared" si="25"/>
        <v>133.29999999999998</v>
      </c>
    </row>
    <row r="47" spans="1:57">
      <c r="A47" t="s">
        <v>30</v>
      </c>
      <c r="B47">
        <v>2016</v>
      </c>
      <c r="C47" t="s">
        <v>43</v>
      </c>
      <c r="D47">
        <v>131.30000000000001</v>
      </c>
      <c r="E47">
        <f t="shared" si="0"/>
        <v>130.73333333333332</v>
      </c>
      <c r="F47">
        <v>137.6</v>
      </c>
      <c r="G47">
        <f t="shared" si="1"/>
        <v>138.20000000000002</v>
      </c>
      <c r="H47">
        <v>130.1</v>
      </c>
      <c r="I47">
        <f t="shared" si="2"/>
        <v>130.29999999999998</v>
      </c>
      <c r="J47">
        <v>136</v>
      </c>
      <c r="K47">
        <f t="shared" si="3"/>
        <v>135.6</v>
      </c>
      <c r="L47">
        <v>120.8</v>
      </c>
      <c r="M47">
        <f t="shared" si="4"/>
        <v>120.30000000000001</v>
      </c>
      <c r="N47">
        <v>138.4</v>
      </c>
      <c r="O47">
        <f t="shared" si="5"/>
        <v>139.26666666666665</v>
      </c>
      <c r="P47">
        <v>149.19999999999999</v>
      </c>
      <c r="Q47">
        <f t="shared" si="6"/>
        <v>151.86666666666665</v>
      </c>
      <c r="R47">
        <v>170.2</v>
      </c>
      <c r="S47">
        <f t="shared" si="7"/>
        <v>170.93333333333331</v>
      </c>
      <c r="T47">
        <v>113.4</v>
      </c>
      <c r="U47">
        <f t="shared" si="8"/>
        <v>112.86666666666667</v>
      </c>
      <c r="V47">
        <v>136.30000000000001</v>
      </c>
      <c r="W47">
        <f t="shared" si="9"/>
        <v>135.66666666666669</v>
      </c>
      <c r="X47">
        <v>128.69999999999999</v>
      </c>
      <c r="Y47">
        <f t="shared" si="10"/>
        <v>128.53333333333333</v>
      </c>
      <c r="Z47">
        <v>142.4</v>
      </c>
      <c r="AA47">
        <f t="shared" si="11"/>
        <v>141.53333333333333</v>
      </c>
      <c r="AB47">
        <v>137.4</v>
      </c>
      <c r="AC47">
        <f t="shared" si="12"/>
        <v>137.53333333333333</v>
      </c>
      <c r="AD47">
        <v>140.9</v>
      </c>
      <c r="AE47">
        <f t="shared" si="13"/>
        <v>139.9</v>
      </c>
      <c r="AF47">
        <v>139.6</v>
      </c>
      <c r="AG47">
        <f t="shared" si="14"/>
        <v>138.63333333333333</v>
      </c>
      <c r="AH47">
        <v>134.30000000000001</v>
      </c>
      <c r="AI47">
        <f t="shared" si="15"/>
        <v>133.6</v>
      </c>
      <c r="AJ47">
        <v>138.80000000000001</v>
      </c>
      <c r="AK47">
        <f t="shared" si="16"/>
        <v>137.9</v>
      </c>
      <c r="AL47" t="s">
        <v>32</v>
      </c>
      <c r="AN47">
        <v>129.80000000000001</v>
      </c>
      <c r="AO47">
        <f t="shared" si="17"/>
        <v>129.53333333333333</v>
      </c>
      <c r="AP47">
        <v>131.80000000000001</v>
      </c>
      <c r="AQ47">
        <f t="shared" si="18"/>
        <v>131.16666666666666</v>
      </c>
      <c r="AR47">
        <v>128.69999999999999</v>
      </c>
      <c r="AS47">
        <f t="shared" si="19"/>
        <v>127.83333333333333</v>
      </c>
      <c r="AT47">
        <v>117.8</v>
      </c>
      <c r="AU47">
        <f t="shared" si="20"/>
        <v>116.93333333333334</v>
      </c>
      <c r="AV47">
        <v>126.5</v>
      </c>
      <c r="AW47">
        <f t="shared" si="21"/>
        <v>125.89999999999999</v>
      </c>
      <c r="AX47">
        <v>133</v>
      </c>
      <c r="AY47">
        <f t="shared" si="22"/>
        <v>132.36666666666667</v>
      </c>
      <c r="AZ47">
        <v>123</v>
      </c>
      <c r="BA47">
        <f t="shared" si="23"/>
        <v>122.60000000000001</v>
      </c>
      <c r="BB47">
        <v>125.7</v>
      </c>
      <c r="BC47">
        <f t="shared" si="24"/>
        <v>124.93333333333334</v>
      </c>
      <c r="BD47">
        <v>133.80000000000001</v>
      </c>
      <c r="BE47">
        <f t="shared" si="25"/>
        <v>133.56666666666666</v>
      </c>
    </row>
    <row r="48" spans="1:57">
      <c r="A48" t="s">
        <v>30</v>
      </c>
      <c r="B48">
        <v>2016</v>
      </c>
      <c r="C48" t="s">
        <v>45</v>
      </c>
      <c r="D48">
        <v>132</v>
      </c>
      <c r="E48">
        <f t="shared" si="0"/>
        <v>131.36666666666667</v>
      </c>
      <c r="F48">
        <v>137.4</v>
      </c>
      <c r="G48">
        <f t="shared" si="1"/>
        <v>137.73333333333332</v>
      </c>
      <c r="H48">
        <v>130.6</v>
      </c>
      <c r="I48">
        <f t="shared" si="2"/>
        <v>130.4</v>
      </c>
      <c r="J48">
        <v>136.19999999999999</v>
      </c>
      <c r="K48">
        <f t="shared" si="3"/>
        <v>135.9</v>
      </c>
      <c r="L48">
        <v>121.1</v>
      </c>
      <c r="M48">
        <f t="shared" si="4"/>
        <v>120.7</v>
      </c>
      <c r="N48">
        <v>136.9</v>
      </c>
      <c r="O48">
        <f t="shared" si="5"/>
        <v>138.16666666666666</v>
      </c>
      <c r="P48">
        <v>141.80000000000001</v>
      </c>
      <c r="Q48">
        <f t="shared" si="6"/>
        <v>146.83333333333334</v>
      </c>
      <c r="R48">
        <v>170</v>
      </c>
      <c r="S48">
        <f t="shared" si="7"/>
        <v>170.20000000000002</v>
      </c>
      <c r="T48">
        <v>113.4</v>
      </c>
      <c r="U48">
        <f t="shared" si="8"/>
        <v>113.3</v>
      </c>
      <c r="V48">
        <v>136.80000000000001</v>
      </c>
      <c r="W48">
        <f t="shared" si="9"/>
        <v>136.30000000000001</v>
      </c>
      <c r="X48">
        <v>128.69999999999999</v>
      </c>
      <c r="Y48">
        <f t="shared" si="10"/>
        <v>128.73333333333332</v>
      </c>
      <c r="Z48">
        <v>143.1</v>
      </c>
      <c r="AA48">
        <f t="shared" si="11"/>
        <v>142.33333333333334</v>
      </c>
      <c r="AB48">
        <v>136.6</v>
      </c>
      <c r="AC48">
        <f t="shared" si="12"/>
        <v>137.06666666666669</v>
      </c>
      <c r="AD48">
        <v>141.19999999999999</v>
      </c>
      <c r="AE48">
        <f t="shared" si="13"/>
        <v>140.66666666666666</v>
      </c>
      <c r="AF48">
        <v>139.9</v>
      </c>
      <c r="AG48">
        <f t="shared" si="14"/>
        <v>139.33333333333334</v>
      </c>
      <c r="AH48">
        <v>134.5</v>
      </c>
      <c r="AI48">
        <f t="shared" si="15"/>
        <v>134.1</v>
      </c>
      <c r="AJ48">
        <v>139.19999999999999</v>
      </c>
      <c r="AK48">
        <f t="shared" si="16"/>
        <v>138.6</v>
      </c>
      <c r="AL48" t="s">
        <v>32</v>
      </c>
      <c r="AN48">
        <v>130.30000000000001</v>
      </c>
      <c r="AO48">
        <f t="shared" si="17"/>
        <v>129.93333333333334</v>
      </c>
      <c r="AP48">
        <v>132.1</v>
      </c>
      <c r="AQ48">
        <f t="shared" si="18"/>
        <v>131.66666666666666</v>
      </c>
      <c r="AR48">
        <v>129.1</v>
      </c>
      <c r="AS48">
        <f t="shared" si="19"/>
        <v>128.53333333333333</v>
      </c>
      <c r="AT48">
        <v>118.2</v>
      </c>
      <c r="AU48">
        <f t="shared" si="20"/>
        <v>117.66666666666667</v>
      </c>
      <c r="AV48">
        <v>126.9</v>
      </c>
      <c r="AW48">
        <f t="shared" si="21"/>
        <v>126.36666666666667</v>
      </c>
      <c r="AX48">
        <v>133.69999999999999</v>
      </c>
      <c r="AY48">
        <f t="shared" si="22"/>
        <v>132.96666666666667</v>
      </c>
      <c r="AZ48">
        <v>123.5</v>
      </c>
      <c r="BA48">
        <f t="shared" si="23"/>
        <v>123.10000000000001</v>
      </c>
      <c r="BB48">
        <v>126.1</v>
      </c>
      <c r="BC48">
        <f t="shared" si="24"/>
        <v>125.56666666666668</v>
      </c>
      <c r="BD48">
        <v>133.6</v>
      </c>
      <c r="BE48">
        <f t="shared" si="25"/>
        <v>133.60000000000002</v>
      </c>
    </row>
    <row r="49" spans="1:57">
      <c r="A49" t="s">
        <v>30</v>
      </c>
      <c r="B49">
        <v>2016</v>
      </c>
      <c r="C49" t="s">
        <v>46</v>
      </c>
      <c r="D49">
        <v>132.6</v>
      </c>
      <c r="E49">
        <f t="shared" si="0"/>
        <v>131.96666666666667</v>
      </c>
      <c r="F49">
        <v>137.30000000000001</v>
      </c>
      <c r="G49">
        <f t="shared" si="1"/>
        <v>137.43333333333334</v>
      </c>
      <c r="H49">
        <v>131.6</v>
      </c>
      <c r="I49">
        <f t="shared" si="2"/>
        <v>130.76666666666665</v>
      </c>
      <c r="J49">
        <v>136.30000000000001</v>
      </c>
      <c r="K49">
        <f t="shared" si="3"/>
        <v>136.16666666666666</v>
      </c>
      <c r="L49">
        <v>121.6</v>
      </c>
      <c r="M49">
        <f t="shared" si="4"/>
        <v>121.16666666666667</v>
      </c>
      <c r="N49">
        <v>135.6</v>
      </c>
      <c r="O49">
        <f t="shared" si="5"/>
        <v>136.96666666666667</v>
      </c>
      <c r="P49">
        <v>127.5</v>
      </c>
      <c r="Q49">
        <f t="shared" si="6"/>
        <v>139.5</v>
      </c>
      <c r="R49">
        <v>167.9</v>
      </c>
      <c r="S49">
        <f t="shared" si="7"/>
        <v>169.36666666666667</v>
      </c>
      <c r="T49">
        <v>113.8</v>
      </c>
      <c r="U49">
        <f t="shared" si="8"/>
        <v>113.53333333333335</v>
      </c>
      <c r="V49">
        <v>137.5</v>
      </c>
      <c r="W49">
        <f t="shared" si="9"/>
        <v>136.86666666666667</v>
      </c>
      <c r="X49">
        <v>129.1</v>
      </c>
      <c r="Y49">
        <f t="shared" si="10"/>
        <v>128.83333333333334</v>
      </c>
      <c r="Z49">
        <v>143.6</v>
      </c>
      <c r="AA49">
        <f t="shared" si="11"/>
        <v>143.03333333333333</v>
      </c>
      <c r="AB49">
        <v>134.69999999999999</v>
      </c>
      <c r="AC49">
        <f t="shared" si="12"/>
        <v>136.23333333333332</v>
      </c>
      <c r="AD49">
        <v>142.4</v>
      </c>
      <c r="AE49">
        <f t="shared" si="13"/>
        <v>141.5</v>
      </c>
      <c r="AF49">
        <v>140.4</v>
      </c>
      <c r="AG49">
        <f t="shared" si="14"/>
        <v>139.96666666666667</v>
      </c>
      <c r="AH49">
        <v>135.19999999999999</v>
      </c>
      <c r="AI49">
        <f t="shared" si="15"/>
        <v>134.66666666666666</v>
      </c>
      <c r="AJ49">
        <v>139.69999999999999</v>
      </c>
      <c r="AK49">
        <f t="shared" si="16"/>
        <v>139.23333333333332</v>
      </c>
      <c r="AL49" t="s">
        <v>32</v>
      </c>
      <c r="AN49">
        <v>132</v>
      </c>
      <c r="AO49">
        <f t="shared" si="17"/>
        <v>130.70000000000002</v>
      </c>
      <c r="AP49">
        <v>132.9</v>
      </c>
      <c r="AQ49">
        <f t="shared" si="18"/>
        <v>132.26666666666665</v>
      </c>
      <c r="AR49">
        <v>129.69999999999999</v>
      </c>
      <c r="AS49">
        <f t="shared" si="19"/>
        <v>129.16666666666666</v>
      </c>
      <c r="AT49">
        <v>118.6</v>
      </c>
      <c r="AU49">
        <f t="shared" si="20"/>
        <v>118.2</v>
      </c>
      <c r="AV49">
        <v>127.3</v>
      </c>
      <c r="AW49">
        <f t="shared" si="21"/>
        <v>126.89999999999999</v>
      </c>
      <c r="AX49">
        <v>134.19999999999999</v>
      </c>
      <c r="AY49">
        <f t="shared" si="22"/>
        <v>133.63333333333333</v>
      </c>
      <c r="AZ49">
        <v>121.9</v>
      </c>
      <c r="BA49">
        <f t="shared" si="23"/>
        <v>122.8</v>
      </c>
      <c r="BB49">
        <v>126.3</v>
      </c>
      <c r="BC49">
        <f t="shared" si="24"/>
        <v>126.03333333333335</v>
      </c>
      <c r="BD49">
        <v>132.80000000000001</v>
      </c>
      <c r="BE49">
        <f t="shared" si="25"/>
        <v>133.4</v>
      </c>
    </row>
    <row r="50" spans="1:57">
      <c r="A50" t="s">
        <v>30</v>
      </c>
      <c r="B50">
        <v>2017</v>
      </c>
      <c r="C50" t="s">
        <v>31</v>
      </c>
      <c r="D50">
        <v>133.1</v>
      </c>
      <c r="E50">
        <f t="shared" si="0"/>
        <v>132.56666666666669</v>
      </c>
      <c r="F50">
        <v>137.80000000000001</v>
      </c>
      <c r="G50">
        <f t="shared" si="1"/>
        <v>137.50000000000003</v>
      </c>
      <c r="H50">
        <v>131.9</v>
      </c>
      <c r="I50">
        <f t="shared" si="2"/>
        <v>131.36666666666667</v>
      </c>
      <c r="J50">
        <v>136.69999999999999</v>
      </c>
      <c r="K50">
        <f t="shared" si="3"/>
        <v>136.4</v>
      </c>
      <c r="L50">
        <v>122</v>
      </c>
      <c r="M50">
        <f t="shared" si="4"/>
        <v>121.56666666666666</v>
      </c>
      <c r="N50">
        <v>136</v>
      </c>
      <c r="O50">
        <f t="shared" si="5"/>
        <v>136.16666666666666</v>
      </c>
      <c r="P50">
        <v>119.8</v>
      </c>
      <c r="Q50">
        <f t="shared" si="6"/>
        <v>129.70000000000002</v>
      </c>
      <c r="R50">
        <v>161.69999999999999</v>
      </c>
      <c r="S50">
        <f t="shared" si="7"/>
        <v>166.53333333333333</v>
      </c>
      <c r="T50">
        <v>114.8</v>
      </c>
      <c r="U50">
        <f t="shared" si="8"/>
        <v>114</v>
      </c>
      <c r="V50">
        <v>136.9</v>
      </c>
      <c r="W50">
        <f t="shared" si="9"/>
        <v>137.06666666666669</v>
      </c>
      <c r="X50">
        <v>129</v>
      </c>
      <c r="Y50">
        <f t="shared" si="10"/>
        <v>128.93333333333331</v>
      </c>
      <c r="Z50">
        <v>143.9</v>
      </c>
      <c r="AA50">
        <f t="shared" si="11"/>
        <v>143.53333333333333</v>
      </c>
      <c r="AB50">
        <v>133.69999999999999</v>
      </c>
      <c r="AC50">
        <f t="shared" si="12"/>
        <v>134.99999999999997</v>
      </c>
      <c r="AD50">
        <v>143.1</v>
      </c>
      <c r="AE50">
        <f t="shared" si="13"/>
        <v>142.23333333333335</v>
      </c>
      <c r="AF50">
        <v>140.69999999999999</v>
      </c>
      <c r="AG50">
        <f t="shared" si="14"/>
        <v>140.33333333333334</v>
      </c>
      <c r="AH50">
        <v>135.80000000000001</v>
      </c>
      <c r="AI50">
        <f t="shared" si="15"/>
        <v>135.16666666666666</v>
      </c>
      <c r="AJ50">
        <v>140</v>
      </c>
      <c r="AK50">
        <f t="shared" si="16"/>
        <v>139.63333333333333</v>
      </c>
      <c r="AL50" t="s">
        <v>32</v>
      </c>
      <c r="AN50">
        <v>132.1</v>
      </c>
      <c r="AO50">
        <f t="shared" si="17"/>
        <v>131.46666666666667</v>
      </c>
      <c r="AP50">
        <v>133.19999999999999</v>
      </c>
      <c r="AQ50">
        <f t="shared" si="18"/>
        <v>132.73333333333332</v>
      </c>
      <c r="AR50">
        <v>129.9</v>
      </c>
      <c r="AS50">
        <f t="shared" si="19"/>
        <v>129.56666666666663</v>
      </c>
      <c r="AT50">
        <v>119.1</v>
      </c>
      <c r="AU50">
        <f t="shared" si="20"/>
        <v>118.63333333333333</v>
      </c>
      <c r="AV50">
        <v>127</v>
      </c>
      <c r="AW50">
        <f t="shared" si="21"/>
        <v>127.06666666666666</v>
      </c>
      <c r="AX50">
        <v>134.6</v>
      </c>
      <c r="AY50">
        <f t="shared" si="22"/>
        <v>134.16666666666666</v>
      </c>
      <c r="AZ50">
        <v>122.3</v>
      </c>
      <c r="BA50">
        <f t="shared" si="23"/>
        <v>122.56666666666666</v>
      </c>
      <c r="BB50">
        <v>126.6</v>
      </c>
      <c r="BC50">
        <f t="shared" si="24"/>
        <v>126.33333333333333</v>
      </c>
      <c r="BD50">
        <v>132.4</v>
      </c>
      <c r="BE50">
        <f t="shared" si="25"/>
        <v>132.93333333333331</v>
      </c>
    </row>
    <row r="51" spans="1:57">
      <c r="A51" t="s">
        <v>30</v>
      </c>
      <c r="B51">
        <v>2017</v>
      </c>
      <c r="C51" t="s">
        <v>35</v>
      </c>
      <c r="D51">
        <v>133.30000000000001</v>
      </c>
      <c r="E51">
        <f t="shared" si="0"/>
        <v>133</v>
      </c>
      <c r="F51">
        <v>138.30000000000001</v>
      </c>
      <c r="G51">
        <f t="shared" si="1"/>
        <v>137.80000000000001</v>
      </c>
      <c r="H51">
        <v>129.30000000000001</v>
      </c>
      <c r="I51">
        <f t="shared" si="2"/>
        <v>130.93333333333334</v>
      </c>
      <c r="J51">
        <v>137.19999999999999</v>
      </c>
      <c r="K51">
        <f t="shared" si="3"/>
        <v>136.73333333333332</v>
      </c>
      <c r="L51">
        <v>122.1</v>
      </c>
      <c r="M51">
        <f t="shared" si="4"/>
        <v>121.89999999999999</v>
      </c>
      <c r="N51">
        <v>138.69999999999999</v>
      </c>
      <c r="O51">
        <f t="shared" si="5"/>
        <v>136.76666666666668</v>
      </c>
      <c r="P51">
        <v>119.1</v>
      </c>
      <c r="Q51">
        <f t="shared" si="6"/>
        <v>122.13333333333333</v>
      </c>
      <c r="R51">
        <v>156.9</v>
      </c>
      <c r="S51">
        <f t="shared" si="7"/>
        <v>162.16666666666666</v>
      </c>
      <c r="T51">
        <v>116.2</v>
      </c>
      <c r="U51">
        <f t="shared" si="8"/>
        <v>114.93333333333334</v>
      </c>
      <c r="V51">
        <v>136</v>
      </c>
      <c r="W51">
        <f t="shared" si="9"/>
        <v>136.79999999999998</v>
      </c>
      <c r="X51">
        <v>129.4</v>
      </c>
      <c r="Y51">
        <f t="shared" si="10"/>
        <v>129.16666666666666</v>
      </c>
      <c r="Z51">
        <v>144.4</v>
      </c>
      <c r="AA51">
        <f t="shared" si="11"/>
        <v>143.96666666666667</v>
      </c>
      <c r="AB51">
        <v>133.6</v>
      </c>
      <c r="AC51">
        <f t="shared" si="12"/>
        <v>134</v>
      </c>
      <c r="AD51">
        <v>143.69999999999999</v>
      </c>
      <c r="AE51">
        <f t="shared" si="13"/>
        <v>143.06666666666666</v>
      </c>
      <c r="AF51">
        <v>140.9</v>
      </c>
      <c r="AG51">
        <f t="shared" si="14"/>
        <v>140.66666666666666</v>
      </c>
      <c r="AH51">
        <v>135.80000000000001</v>
      </c>
      <c r="AI51">
        <f t="shared" si="15"/>
        <v>135.6</v>
      </c>
      <c r="AJ51">
        <v>140.19999999999999</v>
      </c>
      <c r="AK51">
        <f t="shared" si="16"/>
        <v>139.96666666666667</v>
      </c>
      <c r="AL51" t="s">
        <v>32</v>
      </c>
      <c r="AN51">
        <v>133.19999999999999</v>
      </c>
      <c r="AO51">
        <f t="shared" si="17"/>
        <v>132.43333333333334</v>
      </c>
      <c r="AP51">
        <v>133.6</v>
      </c>
      <c r="AQ51">
        <f t="shared" si="18"/>
        <v>133.23333333333335</v>
      </c>
      <c r="AR51">
        <v>130.1</v>
      </c>
      <c r="AS51">
        <f t="shared" si="19"/>
        <v>129.9</v>
      </c>
      <c r="AT51">
        <v>119.5</v>
      </c>
      <c r="AU51">
        <f t="shared" si="20"/>
        <v>119.06666666666666</v>
      </c>
      <c r="AV51">
        <v>127.7</v>
      </c>
      <c r="AW51">
        <f t="shared" si="21"/>
        <v>127.33333333333333</v>
      </c>
      <c r="AX51">
        <v>134.9</v>
      </c>
      <c r="AY51">
        <f t="shared" si="22"/>
        <v>134.56666666666663</v>
      </c>
      <c r="AZ51">
        <v>123.2</v>
      </c>
      <c r="BA51">
        <f t="shared" si="23"/>
        <v>122.46666666666665</v>
      </c>
      <c r="BB51">
        <v>127</v>
      </c>
      <c r="BC51">
        <f t="shared" si="24"/>
        <v>126.63333333333333</v>
      </c>
      <c r="BD51">
        <v>132.6</v>
      </c>
      <c r="BE51">
        <f t="shared" si="25"/>
        <v>132.60000000000002</v>
      </c>
    </row>
    <row r="52" spans="1:57">
      <c r="A52" t="s">
        <v>30</v>
      </c>
      <c r="B52">
        <v>2017</v>
      </c>
      <c r="C52" t="s">
        <v>36</v>
      </c>
      <c r="D52">
        <v>133.6</v>
      </c>
      <c r="E52">
        <f t="shared" si="0"/>
        <v>133.33333333333334</v>
      </c>
      <c r="F52">
        <v>138.80000000000001</v>
      </c>
      <c r="G52">
        <f t="shared" si="1"/>
        <v>138.30000000000001</v>
      </c>
      <c r="H52">
        <v>128.80000000000001</v>
      </c>
      <c r="I52">
        <f t="shared" si="2"/>
        <v>130.00000000000003</v>
      </c>
      <c r="J52">
        <v>137.19999999999999</v>
      </c>
      <c r="K52">
        <f t="shared" si="3"/>
        <v>137.03333333333333</v>
      </c>
      <c r="L52">
        <v>121.6</v>
      </c>
      <c r="M52">
        <f t="shared" si="4"/>
        <v>121.89999999999999</v>
      </c>
      <c r="N52">
        <v>139.69999999999999</v>
      </c>
      <c r="O52">
        <f t="shared" si="5"/>
        <v>138.13333333333333</v>
      </c>
      <c r="P52">
        <v>119.7</v>
      </c>
      <c r="Q52">
        <f t="shared" si="6"/>
        <v>119.53333333333332</v>
      </c>
      <c r="R52">
        <v>148</v>
      </c>
      <c r="S52">
        <f t="shared" si="7"/>
        <v>155.53333333333333</v>
      </c>
      <c r="T52">
        <v>116.9</v>
      </c>
      <c r="U52">
        <f t="shared" si="8"/>
        <v>115.96666666666665</v>
      </c>
      <c r="V52">
        <v>135.6</v>
      </c>
      <c r="W52">
        <f t="shared" si="9"/>
        <v>136.16666666666666</v>
      </c>
      <c r="X52">
        <v>129.80000000000001</v>
      </c>
      <c r="Y52">
        <f t="shared" si="10"/>
        <v>129.4</v>
      </c>
      <c r="Z52">
        <v>145.4</v>
      </c>
      <c r="AA52">
        <f t="shared" si="11"/>
        <v>144.56666666666669</v>
      </c>
      <c r="AB52">
        <v>133.4</v>
      </c>
      <c r="AC52">
        <f t="shared" si="12"/>
        <v>133.56666666666663</v>
      </c>
      <c r="AD52">
        <v>144.19999999999999</v>
      </c>
      <c r="AE52">
        <f t="shared" si="13"/>
        <v>143.66666666666666</v>
      </c>
      <c r="AF52">
        <v>141.6</v>
      </c>
      <c r="AG52">
        <f t="shared" si="14"/>
        <v>141.06666666666669</v>
      </c>
      <c r="AH52">
        <v>136.19999999999999</v>
      </c>
      <c r="AI52">
        <f t="shared" si="15"/>
        <v>135.93333333333334</v>
      </c>
      <c r="AJ52">
        <v>140.80000000000001</v>
      </c>
      <c r="AK52">
        <f t="shared" si="16"/>
        <v>140.33333333333334</v>
      </c>
      <c r="AL52" t="s">
        <v>32</v>
      </c>
      <c r="AN52">
        <v>134.19999999999999</v>
      </c>
      <c r="AO52">
        <f t="shared" si="17"/>
        <v>133.16666666666666</v>
      </c>
      <c r="AP52">
        <v>134.1</v>
      </c>
      <c r="AQ52">
        <f t="shared" si="18"/>
        <v>133.63333333333333</v>
      </c>
      <c r="AR52">
        <v>130.6</v>
      </c>
      <c r="AS52">
        <f t="shared" si="19"/>
        <v>130.20000000000002</v>
      </c>
      <c r="AT52">
        <v>119.8</v>
      </c>
      <c r="AU52">
        <f t="shared" si="20"/>
        <v>119.46666666666665</v>
      </c>
      <c r="AV52">
        <v>128.30000000000001</v>
      </c>
      <c r="AW52">
        <f t="shared" si="21"/>
        <v>127.66666666666667</v>
      </c>
      <c r="AX52">
        <v>135.19999999999999</v>
      </c>
      <c r="AY52">
        <f t="shared" si="22"/>
        <v>134.9</v>
      </c>
      <c r="AZ52">
        <v>123.3</v>
      </c>
      <c r="BA52">
        <f t="shared" si="23"/>
        <v>122.93333333333334</v>
      </c>
      <c r="BB52">
        <v>127.4</v>
      </c>
      <c r="BC52">
        <f t="shared" si="24"/>
        <v>127</v>
      </c>
      <c r="BD52">
        <v>132.80000000000001</v>
      </c>
      <c r="BE52">
        <f t="shared" si="25"/>
        <v>132.6</v>
      </c>
    </row>
    <row r="53" spans="1:57">
      <c r="A53" t="s">
        <v>30</v>
      </c>
      <c r="B53">
        <v>2017</v>
      </c>
      <c r="C53" t="s">
        <v>37</v>
      </c>
      <c r="D53">
        <v>133.19999999999999</v>
      </c>
      <c r="E53">
        <f t="shared" si="0"/>
        <v>133.36666666666665</v>
      </c>
      <c r="F53">
        <v>138.69999999999999</v>
      </c>
      <c r="G53">
        <f t="shared" si="1"/>
        <v>138.6</v>
      </c>
      <c r="H53">
        <v>127.1</v>
      </c>
      <c r="I53">
        <f t="shared" si="2"/>
        <v>128.4</v>
      </c>
      <c r="J53">
        <v>137.69999999999999</v>
      </c>
      <c r="K53">
        <f t="shared" si="3"/>
        <v>137.36666666666665</v>
      </c>
      <c r="L53">
        <v>121.3</v>
      </c>
      <c r="M53">
        <f t="shared" si="4"/>
        <v>121.66666666666667</v>
      </c>
      <c r="N53">
        <v>141.80000000000001</v>
      </c>
      <c r="O53">
        <f t="shared" si="5"/>
        <v>140.06666666666666</v>
      </c>
      <c r="P53">
        <v>121.5</v>
      </c>
      <c r="Q53">
        <f t="shared" si="6"/>
        <v>120.10000000000001</v>
      </c>
      <c r="R53">
        <v>144.5</v>
      </c>
      <c r="S53">
        <f t="shared" si="7"/>
        <v>149.79999999999998</v>
      </c>
      <c r="T53">
        <v>117.4</v>
      </c>
      <c r="U53">
        <f t="shared" si="8"/>
        <v>116.83333333333333</v>
      </c>
      <c r="V53">
        <v>134.1</v>
      </c>
      <c r="W53">
        <f t="shared" si="9"/>
        <v>135.23333333333335</v>
      </c>
      <c r="X53">
        <v>130</v>
      </c>
      <c r="Y53">
        <f t="shared" si="10"/>
        <v>129.73333333333335</v>
      </c>
      <c r="Z53">
        <v>145.5</v>
      </c>
      <c r="AA53">
        <f t="shared" si="11"/>
        <v>145.1</v>
      </c>
      <c r="AB53">
        <v>133.5</v>
      </c>
      <c r="AC53">
        <f t="shared" si="12"/>
        <v>133.5</v>
      </c>
      <c r="AD53">
        <v>144.4</v>
      </c>
      <c r="AE53">
        <f t="shared" si="13"/>
        <v>144.1</v>
      </c>
      <c r="AF53">
        <v>142.4</v>
      </c>
      <c r="AG53">
        <f t="shared" si="14"/>
        <v>141.63333333333333</v>
      </c>
      <c r="AH53">
        <v>136.80000000000001</v>
      </c>
      <c r="AI53">
        <f t="shared" si="15"/>
        <v>136.26666666666668</v>
      </c>
      <c r="AJ53">
        <v>141.6</v>
      </c>
      <c r="AK53">
        <f t="shared" si="16"/>
        <v>140.86666666666667</v>
      </c>
      <c r="AL53" t="s">
        <v>32</v>
      </c>
      <c r="AN53">
        <v>135</v>
      </c>
      <c r="AO53">
        <f t="shared" si="17"/>
        <v>134.13333333333333</v>
      </c>
      <c r="AP53">
        <v>134.30000000000001</v>
      </c>
      <c r="AQ53">
        <f t="shared" si="18"/>
        <v>134</v>
      </c>
      <c r="AR53">
        <v>131</v>
      </c>
      <c r="AS53">
        <f t="shared" si="19"/>
        <v>130.56666666666666</v>
      </c>
      <c r="AT53">
        <v>119.2</v>
      </c>
      <c r="AU53">
        <f t="shared" si="20"/>
        <v>119.5</v>
      </c>
      <c r="AV53">
        <v>128.30000000000001</v>
      </c>
      <c r="AW53">
        <f t="shared" si="21"/>
        <v>128.1</v>
      </c>
      <c r="AX53">
        <v>135.69999999999999</v>
      </c>
      <c r="AY53">
        <f t="shared" si="22"/>
        <v>135.26666666666668</v>
      </c>
      <c r="AZ53">
        <v>123.7</v>
      </c>
      <c r="BA53">
        <f t="shared" si="23"/>
        <v>123.39999999999999</v>
      </c>
      <c r="BB53">
        <v>127.5</v>
      </c>
      <c r="BC53">
        <f t="shared" si="24"/>
        <v>127.3</v>
      </c>
      <c r="BD53">
        <v>132.9</v>
      </c>
      <c r="BE53">
        <f t="shared" si="25"/>
        <v>132.76666666666665</v>
      </c>
    </row>
    <row r="54" spans="1:57">
      <c r="A54" t="s">
        <v>30</v>
      </c>
      <c r="B54">
        <v>2017</v>
      </c>
      <c r="C54" t="s">
        <v>38</v>
      </c>
      <c r="D54">
        <v>133.1</v>
      </c>
      <c r="E54">
        <f t="shared" si="0"/>
        <v>133.29999999999998</v>
      </c>
      <c r="F54">
        <v>140.30000000000001</v>
      </c>
      <c r="G54">
        <f t="shared" si="1"/>
        <v>139.26666666666668</v>
      </c>
      <c r="H54">
        <v>126.8</v>
      </c>
      <c r="I54">
        <f t="shared" si="2"/>
        <v>127.56666666666666</v>
      </c>
      <c r="J54">
        <v>138.19999999999999</v>
      </c>
      <c r="K54">
        <f t="shared" si="3"/>
        <v>137.69999999999999</v>
      </c>
      <c r="L54">
        <v>120.8</v>
      </c>
      <c r="M54">
        <f t="shared" si="4"/>
        <v>121.23333333333333</v>
      </c>
      <c r="N54">
        <v>140.19999999999999</v>
      </c>
      <c r="O54">
        <f t="shared" si="5"/>
        <v>140.56666666666666</v>
      </c>
      <c r="P54">
        <v>123.8</v>
      </c>
      <c r="Q54">
        <f t="shared" si="6"/>
        <v>121.66666666666667</v>
      </c>
      <c r="R54">
        <v>141.80000000000001</v>
      </c>
      <c r="S54">
        <f t="shared" si="7"/>
        <v>144.76666666666668</v>
      </c>
      <c r="T54">
        <v>118.6</v>
      </c>
      <c r="U54">
        <f t="shared" si="8"/>
        <v>117.63333333333333</v>
      </c>
      <c r="V54">
        <v>134</v>
      </c>
      <c r="W54">
        <f t="shared" si="9"/>
        <v>134.56666666666666</v>
      </c>
      <c r="X54">
        <v>130.30000000000001</v>
      </c>
      <c r="Y54">
        <f t="shared" si="10"/>
        <v>130.03333333333333</v>
      </c>
      <c r="Z54">
        <v>145.80000000000001</v>
      </c>
      <c r="AA54">
        <f t="shared" si="11"/>
        <v>145.56666666666666</v>
      </c>
      <c r="AB54">
        <v>133.80000000000001</v>
      </c>
      <c r="AC54">
        <f t="shared" si="12"/>
        <v>133.56666666666666</v>
      </c>
      <c r="AD54">
        <v>145.5</v>
      </c>
      <c r="AE54">
        <f t="shared" si="13"/>
        <v>144.70000000000002</v>
      </c>
      <c r="AF54">
        <v>142.5</v>
      </c>
      <c r="AG54">
        <f t="shared" si="14"/>
        <v>142.16666666666666</v>
      </c>
      <c r="AH54">
        <v>137.30000000000001</v>
      </c>
      <c r="AI54">
        <f t="shared" si="15"/>
        <v>136.76666666666668</v>
      </c>
      <c r="AJ54">
        <v>141.80000000000001</v>
      </c>
      <c r="AK54">
        <f t="shared" si="16"/>
        <v>141.4</v>
      </c>
      <c r="AL54" t="s">
        <v>32</v>
      </c>
      <c r="AN54">
        <v>135</v>
      </c>
      <c r="AO54">
        <f t="shared" si="17"/>
        <v>134.73333333333332</v>
      </c>
      <c r="AP54">
        <v>134.9</v>
      </c>
      <c r="AQ54">
        <f t="shared" si="18"/>
        <v>134.43333333333331</v>
      </c>
      <c r="AR54">
        <v>131.4</v>
      </c>
      <c r="AS54">
        <f t="shared" si="19"/>
        <v>131</v>
      </c>
      <c r="AT54">
        <v>119.4</v>
      </c>
      <c r="AU54">
        <f t="shared" si="20"/>
        <v>119.46666666666665</v>
      </c>
      <c r="AV54">
        <v>129.4</v>
      </c>
      <c r="AW54">
        <f t="shared" si="21"/>
        <v>128.66666666666666</v>
      </c>
      <c r="AX54">
        <v>136.30000000000001</v>
      </c>
      <c r="AY54">
        <f t="shared" si="22"/>
        <v>135.73333333333332</v>
      </c>
      <c r="AZ54">
        <v>123.7</v>
      </c>
      <c r="BA54">
        <f t="shared" si="23"/>
        <v>123.56666666666666</v>
      </c>
      <c r="BB54">
        <v>127.9</v>
      </c>
      <c r="BC54">
        <f t="shared" si="24"/>
        <v>127.60000000000001</v>
      </c>
      <c r="BD54">
        <v>133.30000000000001</v>
      </c>
      <c r="BE54">
        <f t="shared" si="25"/>
        <v>133.00000000000003</v>
      </c>
    </row>
    <row r="55" spans="1:57">
      <c r="A55" t="s">
        <v>30</v>
      </c>
      <c r="B55">
        <v>2017</v>
      </c>
      <c r="C55" t="s">
        <v>39</v>
      </c>
      <c r="D55">
        <v>133.5</v>
      </c>
      <c r="E55">
        <f t="shared" si="0"/>
        <v>133.26666666666665</v>
      </c>
      <c r="F55">
        <v>143.69999999999999</v>
      </c>
      <c r="G55">
        <f t="shared" si="1"/>
        <v>140.9</v>
      </c>
      <c r="H55">
        <v>128</v>
      </c>
      <c r="I55">
        <f t="shared" si="2"/>
        <v>127.3</v>
      </c>
      <c r="J55">
        <v>138.6</v>
      </c>
      <c r="K55">
        <f t="shared" si="3"/>
        <v>138.16666666666666</v>
      </c>
      <c r="L55">
        <v>120.9</v>
      </c>
      <c r="M55">
        <f t="shared" si="4"/>
        <v>121</v>
      </c>
      <c r="N55">
        <v>140.9</v>
      </c>
      <c r="O55">
        <f t="shared" si="5"/>
        <v>140.96666666666667</v>
      </c>
      <c r="P55">
        <v>128.80000000000001</v>
      </c>
      <c r="Q55">
        <f t="shared" si="6"/>
        <v>124.7</v>
      </c>
      <c r="R55">
        <v>140.19999999999999</v>
      </c>
      <c r="S55">
        <f t="shared" si="7"/>
        <v>142.16666666666666</v>
      </c>
      <c r="T55">
        <v>118.9</v>
      </c>
      <c r="U55">
        <f t="shared" si="8"/>
        <v>118.3</v>
      </c>
      <c r="V55">
        <v>133.5</v>
      </c>
      <c r="W55">
        <f t="shared" si="9"/>
        <v>133.86666666666667</v>
      </c>
      <c r="X55">
        <v>130.4</v>
      </c>
      <c r="Y55">
        <f t="shared" si="10"/>
        <v>130.23333333333335</v>
      </c>
      <c r="Z55">
        <v>146.5</v>
      </c>
      <c r="AA55">
        <f t="shared" si="11"/>
        <v>145.93333333333334</v>
      </c>
      <c r="AB55">
        <v>134.9</v>
      </c>
      <c r="AC55">
        <f t="shared" si="12"/>
        <v>134.06666666666669</v>
      </c>
      <c r="AD55">
        <v>145.80000000000001</v>
      </c>
      <c r="AE55">
        <f t="shared" si="13"/>
        <v>145.23333333333332</v>
      </c>
      <c r="AF55">
        <v>143.1</v>
      </c>
      <c r="AG55">
        <f t="shared" si="14"/>
        <v>142.66666666666666</v>
      </c>
      <c r="AH55">
        <v>137.69999999999999</v>
      </c>
      <c r="AI55">
        <f t="shared" si="15"/>
        <v>137.26666666666668</v>
      </c>
      <c r="AJ55">
        <v>142.30000000000001</v>
      </c>
      <c r="AK55">
        <f t="shared" si="16"/>
        <v>141.9</v>
      </c>
      <c r="AL55" t="s">
        <v>32</v>
      </c>
      <c r="AN55">
        <v>134.80000000000001</v>
      </c>
      <c r="AO55">
        <f t="shared" si="17"/>
        <v>134.93333333333334</v>
      </c>
      <c r="AP55">
        <v>135.19999999999999</v>
      </c>
      <c r="AQ55">
        <f t="shared" si="18"/>
        <v>134.80000000000001</v>
      </c>
      <c r="AR55">
        <v>131.30000000000001</v>
      </c>
      <c r="AS55">
        <f t="shared" si="19"/>
        <v>131.23333333333332</v>
      </c>
      <c r="AT55">
        <v>119.4</v>
      </c>
      <c r="AU55">
        <f t="shared" si="20"/>
        <v>119.33333333333333</v>
      </c>
      <c r="AV55">
        <v>129.80000000000001</v>
      </c>
      <c r="AW55">
        <f t="shared" si="21"/>
        <v>129.16666666666669</v>
      </c>
      <c r="AX55">
        <v>136.9</v>
      </c>
      <c r="AY55">
        <f t="shared" si="22"/>
        <v>136.29999999999998</v>
      </c>
      <c r="AZ55">
        <v>124.1</v>
      </c>
      <c r="BA55">
        <f t="shared" si="23"/>
        <v>123.83333333333333</v>
      </c>
      <c r="BB55">
        <v>128.1</v>
      </c>
      <c r="BC55">
        <f t="shared" si="24"/>
        <v>127.83333333333333</v>
      </c>
      <c r="BD55">
        <v>133.9</v>
      </c>
      <c r="BE55">
        <f t="shared" si="25"/>
        <v>133.36666666666667</v>
      </c>
    </row>
    <row r="56" spans="1:57">
      <c r="A56" t="s">
        <v>30</v>
      </c>
      <c r="B56">
        <v>2017</v>
      </c>
      <c r="C56" t="s">
        <v>40</v>
      </c>
      <c r="D56">
        <v>134</v>
      </c>
      <c r="E56">
        <f t="shared" si="0"/>
        <v>133.53333333333333</v>
      </c>
      <c r="F56">
        <v>144.19999999999999</v>
      </c>
      <c r="G56">
        <f t="shared" si="1"/>
        <v>142.73333333333332</v>
      </c>
      <c r="H56">
        <v>129.80000000000001</v>
      </c>
      <c r="I56">
        <f t="shared" si="2"/>
        <v>128.20000000000002</v>
      </c>
      <c r="J56">
        <v>139</v>
      </c>
      <c r="K56">
        <f t="shared" si="3"/>
        <v>138.6</v>
      </c>
      <c r="L56">
        <v>120.9</v>
      </c>
      <c r="M56">
        <f t="shared" si="4"/>
        <v>120.86666666666667</v>
      </c>
      <c r="N56">
        <v>143.9</v>
      </c>
      <c r="O56">
        <f t="shared" si="5"/>
        <v>141.66666666666666</v>
      </c>
      <c r="P56">
        <v>151.5</v>
      </c>
      <c r="Q56">
        <f t="shared" si="6"/>
        <v>134.70000000000002</v>
      </c>
      <c r="R56">
        <v>138.1</v>
      </c>
      <c r="S56">
        <f t="shared" si="7"/>
        <v>140.03333333333333</v>
      </c>
      <c r="T56">
        <v>120</v>
      </c>
      <c r="U56">
        <f t="shared" si="8"/>
        <v>119.16666666666667</v>
      </c>
      <c r="V56">
        <v>133.9</v>
      </c>
      <c r="W56">
        <f t="shared" si="9"/>
        <v>133.79999999999998</v>
      </c>
      <c r="X56">
        <v>131.4</v>
      </c>
      <c r="Y56">
        <f t="shared" si="10"/>
        <v>130.70000000000002</v>
      </c>
      <c r="Z56">
        <v>147.69999999999999</v>
      </c>
      <c r="AA56">
        <f t="shared" si="11"/>
        <v>146.66666666666666</v>
      </c>
      <c r="AB56">
        <v>138.5</v>
      </c>
      <c r="AC56">
        <f t="shared" si="12"/>
        <v>135.73333333333335</v>
      </c>
      <c r="AD56">
        <v>147.4</v>
      </c>
      <c r="AE56">
        <f t="shared" si="13"/>
        <v>146.23333333333335</v>
      </c>
      <c r="AF56">
        <v>144.30000000000001</v>
      </c>
      <c r="AG56">
        <f t="shared" si="14"/>
        <v>143.30000000000001</v>
      </c>
      <c r="AH56">
        <v>138.1</v>
      </c>
      <c r="AI56">
        <f t="shared" si="15"/>
        <v>137.70000000000002</v>
      </c>
      <c r="AJ56">
        <v>143.5</v>
      </c>
      <c r="AK56">
        <f t="shared" si="16"/>
        <v>142.53333333333333</v>
      </c>
      <c r="AL56" t="s">
        <v>32</v>
      </c>
      <c r="AN56">
        <v>135.30000000000001</v>
      </c>
      <c r="AO56">
        <f t="shared" si="17"/>
        <v>135.03333333333333</v>
      </c>
      <c r="AP56">
        <v>136.1</v>
      </c>
      <c r="AQ56">
        <f t="shared" si="18"/>
        <v>135.4</v>
      </c>
      <c r="AR56">
        <v>132.1</v>
      </c>
      <c r="AS56">
        <f t="shared" si="19"/>
        <v>131.60000000000002</v>
      </c>
      <c r="AT56">
        <v>119.1</v>
      </c>
      <c r="AU56">
        <f t="shared" si="20"/>
        <v>119.3</v>
      </c>
      <c r="AV56">
        <v>130.6</v>
      </c>
      <c r="AW56">
        <f t="shared" si="21"/>
        <v>129.93333333333337</v>
      </c>
      <c r="AX56">
        <v>138.6</v>
      </c>
      <c r="AY56">
        <f t="shared" si="22"/>
        <v>137.26666666666668</v>
      </c>
      <c r="AZ56">
        <v>124.4</v>
      </c>
      <c r="BA56">
        <f t="shared" si="23"/>
        <v>124.06666666666668</v>
      </c>
      <c r="BB56">
        <v>128.6</v>
      </c>
      <c r="BC56">
        <f t="shared" si="24"/>
        <v>128.20000000000002</v>
      </c>
      <c r="BD56">
        <v>136.19999999999999</v>
      </c>
      <c r="BE56">
        <f t="shared" si="25"/>
        <v>134.46666666666667</v>
      </c>
    </row>
    <row r="57" spans="1:57">
      <c r="A57" t="s">
        <v>30</v>
      </c>
      <c r="B57">
        <v>2017</v>
      </c>
      <c r="C57" t="s">
        <v>41</v>
      </c>
      <c r="D57">
        <v>134.80000000000001</v>
      </c>
      <c r="E57">
        <f t="shared" si="0"/>
        <v>134.1</v>
      </c>
      <c r="F57">
        <v>143.1</v>
      </c>
      <c r="G57">
        <f t="shared" si="1"/>
        <v>143.66666666666666</v>
      </c>
      <c r="H57">
        <v>130</v>
      </c>
      <c r="I57">
        <f t="shared" si="2"/>
        <v>129.26666666666668</v>
      </c>
      <c r="J57">
        <v>139.4</v>
      </c>
      <c r="K57">
        <f t="shared" si="3"/>
        <v>139</v>
      </c>
      <c r="L57">
        <v>120.5</v>
      </c>
      <c r="M57">
        <f t="shared" si="4"/>
        <v>120.76666666666667</v>
      </c>
      <c r="N57">
        <v>148</v>
      </c>
      <c r="O57">
        <f t="shared" si="5"/>
        <v>144.26666666666668</v>
      </c>
      <c r="P57">
        <v>162.9</v>
      </c>
      <c r="Q57">
        <f t="shared" si="6"/>
        <v>147.73333333333335</v>
      </c>
      <c r="R57">
        <v>137.4</v>
      </c>
      <c r="S57">
        <f t="shared" si="7"/>
        <v>138.56666666666663</v>
      </c>
      <c r="T57">
        <v>120.8</v>
      </c>
      <c r="U57">
        <f t="shared" si="8"/>
        <v>119.89999999999999</v>
      </c>
      <c r="V57">
        <v>134.69999999999999</v>
      </c>
      <c r="W57">
        <f t="shared" si="9"/>
        <v>134.03333333333333</v>
      </c>
      <c r="X57">
        <v>131.6</v>
      </c>
      <c r="Y57">
        <f t="shared" si="10"/>
        <v>131.13333333333333</v>
      </c>
      <c r="Z57">
        <v>148.69999999999999</v>
      </c>
      <c r="AA57">
        <f t="shared" si="11"/>
        <v>147.63333333333333</v>
      </c>
      <c r="AB57">
        <v>140.6</v>
      </c>
      <c r="AC57">
        <f t="shared" si="12"/>
        <v>138</v>
      </c>
      <c r="AD57">
        <v>149</v>
      </c>
      <c r="AE57">
        <f t="shared" si="13"/>
        <v>147.4</v>
      </c>
      <c r="AF57">
        <v>145.30000000000001</v>
      </c>
      <c r="AG57">
        <f t="shared" si="14"/>
        <v>144.23333333333332</v>
      </c>
      <c r="AH57">
        <v>139.19999999999999</v>
      </c>
      <c r="AI57">
        <f t="shared" si="15"/>
        <v>138.33333333333331</v>
      </c>
      <c r="AJ57">
        <v>144.5</v>
      </c>
      <c r="AK57">
        <f t="shared" si="16"/>
        <v>143.43333333333334</v>
      </c>
      <c r="AL57" t="s">
        <v>32</v>
      </c>
      <c r="AN57">
        <v>136.4</v>
      </c>
      <c r="AO57">
        <f t="shared" si="17"/>
        <v>135.5</v>
      </c>
      <c r="AP57">
        <v>137.30000000000001</v>
      </c>
      <c r="AQ57">
        <f t="shared" si="18"/>
        <v>136.19999999999999</v>
      </c>
      <c r="AR57">
        <v>133</v>
      </c>
      <c r="AS57">
        <f t="shared" si="19"/>
        <v>132.13333333333333</v>
      </c>
      <c r="AT57">
        <v>120.3</v>
      </c>
      <c r="AU57">
        <f t="shared" si="20"/>
        <v>119.60000000000001</v>
      </c>
      <c r="AV57">
        <v>131.5</v>
      </c>
      <c r="AW57">
        <f t="shared" si="21"/>
        <v>130.63333333333333</v>
      </c>
      <c r="AX57">
        <v>140.19999999999999</v>
      </c>
      <c r="AY57">
        <f t="shared" si="22"/>
        <v>138.56666666666666</v>
      </c>
      <c r="AZ57">
        <v>125.4</v>
      </c>
      <c r="BA57">
        <f t="shared" si="23"/>
        <v>124.63333333333333</v>
      </c>
      <c r="BB57">
        <v>129.69999999999999</v>
      </c>
      <c r="BC57">
        <f t="shared" si="24"/>
        <v>128.79999999999998</v>
      </c>
      <c r="BD57">
        <v>137.80000000000001</v>
      </c>
      <c r="BE57">
        <f t="shared" si="25"/>
        <v>135.96666666666667</v>
      </c>
    </row>
    <row r="58" spans="1:57">
      <c r="A58" t="s">
        <v>30</v>
      </c>
      <c r="B58">
        <v>2017</v>
      </c>
      <c r="C58" t="s">
        <v>42</v>
      </c>
      <c r="D58">
        <v>135.19999999999999</v>
      </c>
      <c r="E58">
        <f t="shared" si="0"/>
        <v>134.66666666666666</v>
      </c>
      <c r="F58">
        <v>142</v>
      </c>
      <c r="G58">
        <f t="shared" si="1"/>
        <v>143.1</v>
      </c>
      <c r="H58">
        <v>130.5</v>
      </c>
      <c r="I58">
        <f t="shared" si="2"/>
        <v>130.1</v>
      </c>
      <c r="J58">
        <v>140.19999999999999</v>
      </c>
      <c r="K58">
        <f t="shared" si="3"/>
        <v>139.53333333333333</v>
      </c>
      <c r="L58">
        <v>120.7</v>
      </c>
      <c r="M58">
        <f t="shared" si="4"/>
        <v>120.7</v>
      </c>
      <c r="N58">
        <v>147.80000000000001</v>
      </c>
      <c r="O58">
        <f t="shared" si="5"/>
        <v>146.56666666666666</v>
      </c>
      <c r="P58">
        <v>154.5</v>
      </c>
      <c r="Q58">
        <f t="shared" si="6"/>
        <v>156.29999999999998</v>
      </c>
      <c r="R58">
        <v>137.1</v>
      </c>
      <c r="S58">
        <f t="shared" si="7"/>
        <v>137.53333333333333</v>
      </c>
      <c r="T58">
        <v>121</v>
      </c>
      <c r="U58">
        <f t="shared" si="8"/>
        <v>120.60000000000001</v>
      </c>
      <c r="V58">
        <v>134.69999999999999</v>
      </c>
      <c r="W58">
        <f t="shared" si="9"/>
        <v>134.43333333333334</v>
      </c>
      <c r="X58">
        <v>131.69999999999999</v>
      </c>
      <c r="Y58">
        <f t="shared" si="10"/>
        <v>131.56666666666666</v>
      </c>
      <c r="Z58">
        <v>149.30000000000001</v>
      </c>
      <c r="AA58">
        <f t="shared" si="11"/>
        <v>148.56666666666666</v>
      </c>
      <c r="AB58">
        <v>139.6</v>
      </c>
      <c r="AC58">
        <f t="shared" si="12"/>
        <v>139.56666666666669</v>
      </c>
      <c r="AD58">
        <v>149.80000000000001</v>
      </c>
      <c r="AE58">
        <f t="shared" si="13"/>
        <v>148.73333333333332</v>
      </c>
      <c r="AF58">
        <v>146.1</v>
      </c>
      <c r="AG58">
        <f t="shared" si="14"/>
        <v>145.23333333333335</v>
      </c>
      <c r="AH58">
        <v>139.69999999999999</v>
      </c>
      <c r="AI58">
        <f t="shared" si="15"/>
        <v>138.99999999999997</v>
      </c>
      <c r="AJ58">
        <v>145.19999999999999</v>
      </c>
      <c r="AK58">
        <f t="shared" si="16"/>
        <v>144.4</v>
      </c>
      <c r="AL58" t="s">
        <v>32</v>
      </c>
      <c r="AN58">
        <v>137.4</v>
      </c>
      <c r="AO58">
        <f t="shared" si="17"/>
        <v>136.36666666666667</v>
      </c>
      <c r="AP58">
        <v>137.9</v>
      </c>
      <c r="AQ58">
        <f t="shared" si="18"/>
        <v>137.1</v>
      </c>
      <c r="AR58">
        <v>133.4</v>
      </c>
      <c r="AS58">
        <f t="shared" si="19"/>
        <v>132.83333333333334</v>
      </c>
      <c r="AT58">
        <v>121.2</v>
      </c>
      <c r="AU58">
        <f t="shared" si="20"/>
        <v>120.19999999999999</v>
      </c>
      <c r="AV58">
        <v>132.30000000000001</v>
      </c>
      <c r="AW58">
        <f t="shared" si="21"/>
        <v>131.46666666666667</v>
      </c>
      <c r="AX58">
        <v>139.6</v>
      </c>
      <c r="AY58">
        <f t="shared" si="22"/>
        <v>139.46666666666667</v>
      </c>
      <c r="AZ58">
        <v>126.7</v>
      </c>
      <c r="BA58">
        <f t="shared" si="23"/>
        <v>125.5</v>
      </c>
      <c r="BB58">
        <v>130.30000000000001</v>
      </c>
      <c r="BC58">
        <f t="shared" si="24"/>
        <v>129.53333333333333</v>
      </c>
      <c r="BD58">
        <v>137.6</v>
      </c>
      <c r="BE58">
        <f t="shared" si="25"/>
        <v>137.20000000000002</v>
      </c>
    </row>
    <row r="59" spans="1:57">
      <c r="A59" t="s">
        <v>30</v>
      </c>
      <c r="B59">
        <v>2017</v>
      </c>
      <c r="C59" t="s">
        <v>43</v>
      </c>
      <c r="D59">
        <v>135.9</v>
      </c>
      <c r="E59">
        <f t="shared" si="0"/>
        <v>135.29999999999998</v>
      </c>
      <c r="F59">
        <v>141.9</v>
      </c>
      <c r="G59">
        <f t="shared" si="1"/>
        <v>142.33333333333334</v>
      </c>
      <c r="H59">
        <v>131</v>
      </c>
      <c r="I59">
        <f t="shared" si="2"/>
        <v>130.5</v>
      </c>
      <c r="J59">
        <v>141.5</v>
      </c>
      <c r="K59">
        <f t="shared" si="3"/>
        <v>140.36666666666667</v>
      </c>
      <c r="L59">
        <v>121.4</v>
      </c>
      <c r="M59">
        <f t="shared" si="4"/>
        <v>120.86666666666667</v>
      </c>
      <c r="N59">
        <v>146.69999999999999</v>
      </c>
      <c r="O59">
        <f t="shared" si="5"/>
        <v>147.5</v>
      </c>
      <c r="P59">
        <v>157.1</v>
      </c>
      <c r="Q59">
        <f t="shared" si="6"/>
        <v>158.16666666666666</v>
      </c>
      <c r="R59">
        <v>136.4</v>
      </c>
      <c r="S59">
        <f t="shared" si="7"/>
        <v>136.96666666666667</v>
      </c>
      <c r="T59">
        <v>121.4</v>
      </c>
      <c r="U59">
        <f t="shared" si="8"/>
        <v>121.06666666666668</v>
      </c>
      <c r="V59">
        <v>135.6</v>
      </c>
      <c r="W59">
        <f t="shared" si="9"/>
        <v>135</v>
      </c>
      <c r="X59">
        <v>131.30000000000001</v>
      </c>
      <c r="Y59">
        <f t="shared" si="10"/>
        <v>131.53333333333333</v>
      </c>
      <c r="Z59">
        <v>150.30000000000001</v>
      </c>
      <c r="AA59">
        <f t="shared" si="11"/>
        <v>149.43333333333334</v>
      </c>
      <c r="AB59">
        <v>140.4</v>
      </c>
      <c r="AC59">
        <f t="shared" si="12"/>
        <v>140.20000000000002</v>
      </c>
      <c r="AD59">
        <v>150.5</v>
      </c>
      <c r="AE59">
        <f t="shared" si="13"/>
        <v>149.76666666666668</v>
      </c>
      <c r="AF59">
        <v>147.19999999999999</v>
      </c>
      <c r="AG59">
        <f t="shared" si="14"/>
        <v>146.19999999999999</v>
      </c>
      <c r="AH59">
        <v>140.6</v>
      </c>
      <c r="AI59">
        <f t="shared" si="15"/>
        <v>139.83333333333334</v>
      </c>
      <c r="AJ59">
        <v>146.19999999999999</v>
      </c>
      <c r="AK59">
        <f t="shared" si="16"/>
        <v>145.29999999999998</v>
      </c>
      <c r="AL59" t="s">
        <v>32</v>
      </c>
      <c r="AN59">
        <v>138.1</v>
      </c>
      <c r="AO59">
        <f t="shared" si="17"/>
        <v>137.29999999999998</v>
      </c>
      <c r="AP59">
        <v>138.4</v>
      </c>
      <c r="AQ59">
        <f t="shared" si="18"/>
        <v>137.86666666666667</v>
      </c>
      <c r="AR59">
        <v>134.19999999999999</v>
      </c>
      <c r="AS59">
        <f t="shared" si="19"/>
        <v>133.53333333333333</v>
      </c>
      <c r="AT59">
        <v>121</v>
      </c>
      <c r="AU59">
        <f t="shared" si="20"/>
        <v>120.83333333333333</v>
      </c>
      <c r="AV59">
        <v>133</v>
      </c>
      <c r="AW59">
        <f t="shared" si="21"/>
        <v>132.26666666666668</v>
      </c>
      <c r="AX59">
        <v>140.1</v>
      </c>
      <c r="AY59">
        <f t="shared" si="22"/>
        <v>139.96666666666667</v>
      </c>
      <c r="AZ59">
        <v>127.4</v>
      </c>
      <c r="BA59">
        <f t="shared" si="23"/>
        <v>126.5</v>
      </c>
      <c r="BB59">
        <v>130.69999999999999</v>
      </c>
      <c r="BC59">
        <f t="shared" si="24"/>
        <v>130.23333333333332</v>
      </c>
      <c r="BD59">
        <v>138.30000000000001</v>
      </c>
      <c r="BE59">
        <f t="shared" si="25"/>
        <v>137.9</v>
      </c>
    </row>
    <row r="60" spans="1:57">
      <c r="A60" t="s">
        <v>30</v>
      </c>
      <c r="B60">
        <v>2017</v>
      </c>
      <c r="C60" t="s">
        <v>45</v>
      </c>
      <c r="D60">
        <v>136.30000000000001</v>
      </c>
      <c r="E60">
        <f t="shared" si="0"/>
        <v>135.80000000000001</v>
      </c>
      <c r="F60">
        <v>142.5</v>
      </c>
      <c r="G60">
        <f t="shared" si="1"/>
        <v>142.13333333333333</v>
      </c>
      <c r="H60">
        <v>140.5</v>
      </c>
      <c r="I60">
        <f t="shared" si="2"/>
        <v>134</v>
      </c>
      <c r="J60">
        <v>141.5</v>
      </c>
      <c r="K60">
        <f t="shared" si="3"/>
        <v>141.06666666666666</v>
      </c>
      <c r="L60">
        <v>121.6</v>
      </c>
      <c r="M60">
        <f t="shared" si="4"/>
        <v>121.23333333333335</v>
      </c>
      <c r="N60">
        <v>147.30000000000001</v>
      </c>
      <c r="O60">
        <f t="shared" si="5"/>
        <v>147.26666666666668</v>
      </c>
      <c r="P60">
        <v>168</v>
      </c>
      <c r="Q60">
        <f t="shared" si="6"/>
        <v>159.86666666666667</v>
      </c>
      <c r="R60">
        <v>135.80000000000001</v>
      </c>
      <c r="S60">
        <f t="shared" si="7"/>
        <v>136.43333333333334</v>
      </c>
      <c r="T60">
        <v>122.5</v>
      </c>
      <c r="U60">
        <f t="shared" si="8"/>
        <v>121.63333333333333</v>
      </c>
      <c r="V60">
        <v>136</v>
      </c>
      <c r="W60">
        <f t="shared" si="9"/>
        <v>135.43333333333331</v>
      </c>
      <c r="X60">
        <v>131.9</v>
      </c>
      <c r="Y60">
        <f t="shared" si="10"/>
        <v>131.63333333333333</v>
      </c>
      <c r="Z60">
        <v>151.4</v>
      </c>
      <c r="AA60">
        <f t="shared" si="11"/>
        <v>150.33333333333334</v>
      </c>
      <c r="AB60">
        <v>142.4</v>
      </c>
      <c r="AC60">
        <f t="shared" si="12"/>
        <v>140.79999999999998</v>
      </c>
      <c r="AD60">
        <v>152.1</v>
      </c>
      <c r="AE60">
        <f t="shared" si="13"/>
        <v>150.79999999999998</v>
      </c>
      <c r="AF60">
        <v>148.19999999999999</v>
      </c>
      <c r="AG60">
        <f t="shared" si="14"/>
        <v>147.16666666666666</v>
      </c>
      <c r="AH60">
        <v>141.5</v>
      </c>
      <c r="AI60">
        <f t="shared" si="15"/>
        <v>140.6</v>
      </c>
      <c r="AJ60">
        <v>147.30000000000001</v>
      </c>
      <c r="AK60">
        <f t="shared" si="16"/>
        <v>146.23333333333332</v>
      </c>
      <c r="AL60" t="s">
        <v>32</v>
      </c>
      <c r="AN60">
        <v>141.1</v>
      </c>
      <c r="AO60">
        <f t="shared" si="17"/>
        <v>138.86666666666667</v>
      </c>
      <c r="AP60">
        <v>139.4</v>
      </c>
      <c r="AQ60">
        <f t="shared" si="18"/>
        <v>138.56666666666669</v>
      </c>
      <c r="AR60">
        <v>135.80000000000001</v>
      </c>
      <c r="AS60">
        <f t="shared" si="19"/>
        <v>134.46666666666667</v>
      </c>
      <c r="AT60">
        <v>121.6</v>
      </c>
      <c r="AU60">
        <f t="shared" si="20"/>
        <v>121.26666666666665</v>
      </c>
      <c r="AV60">
        <v>133.69999999999999</v>
      </c>
      <c r="AW60">
        <f t="shared" si="21"/>
        <v>133</v>
      </c>
      <c r="AX60">
        <v>141.5</v>
      </c>
      <c r="AY60">
        <f t="shared" si="22"/>
        <v>140.4</v>
      </c>
      <c r="AZ60">
        <v>128.1</v>
      </c>
      <c r="BA60">
        <f t="shared" si="23"/>
        <v>127.40000000000002</v>
      </c>
      <c r="BB60">
        <v>131.69999999999999</v>
      </c>
      <c r="BC60">
        <f t="shared" si="24"/>
        <v>130.9</v>
      </c>
      <c r="BD60">
        <v>140</v>
      </c>
      <c r="BE60">
        <f t="shared" si="25"/>
        <v>138.63333333333333</v>
      </c>
    </row>
    <row r="61" spans="1:57">
      <c r="A61" t="s">
        <v>30</v>
      </c>
      <c r="B61">
        <v>2017</v>
      </c>
      <c r="C61" t="s">
        <v>46</v>
      </c>
      <c r="D61">
        <v>136.4</v>
      </c>
      <c r="E61">
        <f t="shared" si="0"/>
        <v>136.20000000000002</v>
      </c>
      <c r="F61">
        <v>143.69999999999999</v>
      </c>
      <c r="G61">
        <f t="shared" si="1"/>
        <v>142.69999999999999</v>
      </c>
      <c r="H61">
        <v>144.80000000000001</v>
      </c>
      <c r="I61">
        <f t="shared" si="2"/>
        <v>138.76666666666668</v>
      </c>
      <c r="J61">
        <v>141.9</v>
      </c>
      <c r="K61">
        <f t="shared" si="3"/>
        <v>141.63333333333333</v>
      </c>
      <c r="L61">
        <v>123.1</v>
      </c>
      <c r="M61">
        <f t="shared" si="4"/>
        <v>122.03333333333335</v>
      </c>
      <c r="N61">
        <v>147.19999999999999</v>
      </c>
      <c r="O61">
        <f t="shared" si="5"/>
        <v>147.06666666666666</v>
      </c>
      <c r="P61">
        <v>161</v>
      </c>
      <c r="Q61">
        <f t="shared" si="6"/>
        <v>162.03333333333333</v>
      </c>
      <c r="R61">
        <v>133.80000000000001</v>
      </c>
      <c r="S61">
        <f t="shared" si="7"/>
        <v>135.33333333333334</v>
      </c>
      <c r="T61">
        <v>121.9</v>
      </c>
      <c r="U61">
        <f t="shared" si="8"/>
        <v>121.93333333333334</v>
      </c>
      <c r="V61">
        <v>135.80000000000001</v>
      </c>
      <c r="W61">
        <f t="shared" si="9"/>
        <v>135.80000000000001</v>
      </c>
      <c r="X61">
        <v>131.1</v>
      </c>
      <c r="Y61">
        <f t="shared" si="10"/>
        <v>131.43333333333337</v>
      </c>
      <c r="Z61">
        <v>151.4</v>
      </c>
      <c r="AA61">
        <f t="shared" si="11"/>
        <v>151.03333333333333</v>
      </c>
      <c r="AB61">
        <v>141.5</v>
      </c>
      <c r="AC61">
        <f t="shared" si="12"/>
        <v>141.43333333333334</v>
      </c>
      <c r="AD61">
        <v>153.19999999999999</v>
      </c>
      <c r="AE61">
        <f t="shared" si="13"/>
        <v>151.93333333333334</v>
      </c>
      <c r="AF61">
        <v>148</v>
      </c>
      <c r="AG61">
        <f t="shared" si="14"/>
        <v>147.79999999999998</v>
      </c>
      <c r="AH61">
        <v>141.9</v>
      </c>
      <c r="AI61">
        <f t="shared" si="15"/>
        <v>141.33333333333334</v>
      </c>
      <c r="AJ61">
        <v>147.19999999999999</v>
      </c>
      <c r="AK61">
        <f t="shared" si="16"/>
        <v>146.9</v>
      </c>
      <c r="AL61" t="s">
        <v>32</v>
      </c>
      <c r="AN61">
        <v>142.6</v>
      </c>
      <c r="AO61">
        <f t="shared" si="17"/>
        <v>140.6</v>
      </c>
      <c r="AP61">
        <v>139.5</v>
      </c>
      <c r="AQ61">
        <f t="shared" si="18"/>
        <v>139.1</v>
      </c>
      <c r="AR61">
        <v>136.1</v>
      </c>
      <c r="AS61">
        <f t="shared" si="19"/>
        <v>135.36666666666667</v>
      </c>
      <c r="AT61">
        <v>122</v>
      </c>
      <c r="AU61">
        <f t="shared" si="20"/>
        <v>121.53333333333335</v>
      </c>
      <c r="AV61">
        <v>133.4</v>
      </c>
      <c r="AW61">
        <f t="shared" si="21"/>
        <v>133.36666666666667</v>
      </c>
      <c r="AX61">
        <v>141.1</v>
      </c>
      <c r="AY61">
        <f t="shared" si="22"/>
        <v>140.9</v>
      </c>
      <c r="AZ61">
        <v>127.8</v>
      </c>
      <c r="BA61">
        <f t="shared" si="23"/>
        <v>127.76666666666667</v>
      </c>
      <c r="BB61">
        <v>131.9</v>
      </c>
      <c r="BC61">
        <f t="shared" si="24"/>
        <v>131.43333333333331</v>
      </c>
      <c r="BD61">
        <v>139.80000000000001</v>
      </c>
      <c r="BE61">
        <f t="shared" si="25"/>
        <v>139.36666666666667</v>
      </c>
    </row>
    <row r="62" spans="1:57">
      <c r="A62" t="s">
        <v>30</v>
      </c>
      <c r="B62">
        <v>2018</v>
      </c>
      <c r="C62" t="s">
        <v>31</v>
      </c>
      <c r="D62">
        <v>136.6</v>
      </c>
      <c r="E62">
        <f t="shared" si="0"/>
        <v>136.43333333333337</v>
      </c>
      <c r="F62">
        <v>144.4</v>
      </c>
      <c r="G62">
        <f t="shared" si="1"/>
        <v>143.53333333333333</v>
      </c>
      <c r="H62">
        <v>143.80000000000001</v>
      </c>
      <c r="I62">
        <f t="shared" si="2"/>
        <v>143.03333333333333</v>
      </c>
      <c r="J62">
        <v>142</v>
      </c>
      <c r="K62">
        <f t="shared" si="3"/>
        <v>141.79999999999998</v>
      </c>
      <c r="L62">
        <v>123.2</v>
      </c>
      <c r="M62">
        <f t="shared" si="4"/>
        <v>122.63333333333333</v>
      </c>
      <c r="N62">
        <v>147.9</v>
      </c>
      <c r="O62">
        <f t="shared" si="5"/>
        <v>147.46666666666667</v>
      </c>
      <c r="P62">
        <v>152.1</v>
      </c>
      <c r="Q62">
        <f t="shared" si="6"/>
        <v>160.36666666666667</v>
      </c>
      <c r="R62">
        <v>131.80000000000001</v>
      </c>
      <c r="S62">
        <f t="shared" si="7"/>
        <v>133.80000000000001</v>
      </c>
      <c r="T62">
        <v>119.5</v>
      </c>
      <c r="U62">
        <f t="shared" si="8"/>
        <v>121.3</v>
      </c>
      <c r="V62">
        <v>136</v>
      </c>
      <c r="W62">
        <f t="shared" si="9"/>
        <v>135.93333333333334</v>
      </c>
      <c r="X62">
        <v>131.19999999999999</v>
      </c>
      <c r="Y62">
        <f t="shared" si="10"/>
        <v>131.4</v>
      </c>
      <c r="Z62">
        <v>151.80000000000001</v>
      </c>
      <c r="AA62">
        <f t="shared" si="11"/>
        <v>151.53333333333333</v>
      </c>
      <c r="AB62">
        <v>140.4</v>
      </c>
      <c r="AC62">
        <f t="shared" si="12"/>
        <v>141.43333333333331</v>
      </c>
      <c r="AD62">
        <v>153.6</v>
      </c>
      <c r="AE62">
        <f t="shared" si="13"/>
        <v>152.96666666666667</v>
      </c>
      <c r="AF62">
        <v>148.30000000000001</v>
      </c>
      <c r="AG62">
        <f t="shared" si="14"/>
        <v>148.16666666666666</v>
      </c>
      <c r="AH62">
        <v>142.30000000000001</v>
      </c>
      <c r="AI62">
        <f t="shared" si="15"/>
        <v>141.9</v>
      </c>
      <c r="AJ62">
        <v>147.5</v>
      </c>
      <c r="AK62">
        <f t="shared" si="16"/>
        <v>147.33333333333334</v>
      </c>
      <c r="AL62" t="s">
        <v>32</v>
      </c>
      <c r="AN62">
        <v>142.30000000000001</v>
      </c>
      <c r="AO62">
        <f t="shared" si="17"/>
        <v>142</v>
      </c>
      <c r="AP62">
        <v>139.80000000000001</v>
      </c>
      <c r="AQ62">
        <f t="shared" si="18"/>
        <v>139.56666666666666</v>
      </c>
      <c r="AR62">
        <v>136</v>
      </c>
      <c r="AS62">
        <f t="shared" si="19"/>
        <v>135.96666666666667</v>
      </c>
      <c r="AT62">
        <v>122.7</v>
      </c>
      <c r="AU62">
        <f t="shared" si="20"/>
        <v>122.10000000000001</v>
      </c>
      <c r="AV62">
        <v>134.30000000000001</v>
      </c>
      <c r="AW62">
        <f t="shared" si="21"/>
        <v>133.80000000000001</v>
      </c>
      <c r="AX62">
        <v>141.6</v>
      </c>
      <c r="AY62">
        <f t="shared" si="22"/>
        <v>141.4</v>
      </c>
      <c r="AZ62">
        <v>128.6</v>
      </c>
      <c r="BA62">
        <f t="shared" si="23"/>
        <v>128.16666666666666</v>
      </c>
      <c r="BB62">
        <v>132.30000000000001</v>
      </c>
      <c r="BC62">
        <f t="shared" si="24"/>
        <v>131.96666666666667</v>
      </c>
      <c r="BD62">
        <v>139.30000000000001</v>
      </c>
      <c r="BE62">
        <f t="shared" si="25"/>
        <v>139.70000000000002</v>
      </c>
    </row>
    <row r="63" spans="1:57">
      <c r="A63" t="s">
        <v>30</v>
      </c>
      <c r="B63">
        <v>2018</v>
      </c>
      <c r="C63" t="s">
        <v>35</v>
      </c>
      <c r="D63">
        <v>136.4</v>
      </c>
      <c r="E63">
        <f t="shared" si="0"/>
        <v>136.46666666666667</v>
      </c>
      <c r="F63">
        <v>143.69999999999999</v>
      </c>
      <c r="G63">
        <f t="shared" si="1"/>
        <v>143.93333333333334</v>
      </c>
      <c r="H63">
        <v>140.6</v>
      </c>
      <c r="I63">
        <f t="shared" si="2"/>
        <v>143.06666666666669</v>
      </c>
      <c r="J63">
        <v>141.5</v>
      </c>
      <c r="K63">
        <f t="shared" si="3"/>
        <v>141.79999999999998</v>
      </c>
      <c r="L63">
        <v>122.9</v>
      </c>
      <c r="M63">
        <f t="shared" si="4"/>
        <v>123.06666666666668</v>
      </c>
      <c r="N63">
        <v>149.4</v>
      </c>
      <c r="O63">
        <f t="shared" si="5"/>
        <v>148.16666666666666</v>
      </c>
      <c r="P63">
        <v>142.4</v>
      </c>
      <c r="Q63">
        <f t="shared" si="6"/>
        <v>151.83333333333334</v>
      </c>
      <c r="R63">
        <v>130.19999999999999</v>
      </c>
      <c r="S63">
        <f t="shared" si="7"/>
        <v>131.93333333333334</v>
      </c>
      <c r="T63">
        <v>117.9</v>
      </c>
      <c r="U63">
        <f t="shared" si="8"/>
        <v>119.76666666666667</v>
      </c>
      <c r="V63">
        <v>135.6</v>
      </c>
      <c r="W63">
        <f t="shared" si="9"/>
        <v>135.79999999999998</v>
      </c>
      <c r="X63">
        <v>130.5</v>
      </c>
      <c r="Y63">
        <f t="shared" si="10"/>
        <v>130.93333333333331</v>
      </c>
      <c r="Z63">
        <v>151.69999999999999</v>
      </c>
      <c r="AA63">
        <f t="shared" si="11"/>
        <v>151.63333333333335</v>
      </c>
      <c r="AB63">
        <v>138.69999999999999</v>
      </c>
      <c r="AC63">
        <f t="shared" si="12"/>
        <v>140.19999999999999</v>
      </c>
      <c r="AD63">
        <v>153.30000000000001</v>
      </c>
      <c r="AE63">
        <f t="shared" si="13"/>
        <v>153.36666666666665</v>
      </c>
      <c r="AF63">
        <v>148.69999999999999</v>
      </c>
      <c r="AG63">
        <f t="shared" si="14"/>
        <v>148.33333333333334</v>
      </c>
      <c r="AH63">
        <v>142.4</v>
      </c>
      <c r="AI63">
        <f t="shared" si="15"/>
        <v>142.20000000000002</v>
      </c>
      <c r="AJ63">
        <v>147.80000000000001</v>
      </c>
      <c r="AK63">
        <f t="shared" si="16"/>
        <v>147.5</v>
      </c>
      <c r="AL63" t="s">
        <v>32</v>
      </c>
      <c r="AN63">
        <v>142.4</v>
      </c>
      <c r="AO63">
        <f t="shared" si="17"/>
        <v>142.43333333333331</v>
      </c>
      <c r="AP63">
        <v>139.9</v>
      </c>
      <c r="AQ63">
        <f t="shared" si="18"/>
        <v>139.73333333333335</v>
      </c>
      <c r="AR63">
        <v>136.19999999999999</v>
      </c>
      <c r="AS63">
        <f t="shared" si="19"/>
        <v>136.1</v>
      </c>
      <c r="AT63">
        <v>123.3</v>
      </c>
      <c r="AU63">
        <f t="shared" si="20"/>
        <v>122.66666666666667</v>
      </c>
      <c r="AV63">
        <v>134.30000000000001</v>
      </c>
      <c r="AW63">
        <f t="shared" si="21"/>
        <v>134.00000000000003</v>
      </c>
      <c r="AX63">
        <v>141.5</v>
      </c>
      <c r="AY63">
        <f t="shared" si="22"/>
        <v>141.4</v>
      </c>
      <c r="AZ63">
        <v>128.80000000000001</v>
      </c>
      <c r="BA63">
        <f t="shared" si="23"/>
        <v>128.4</v>
      </c>
      <c r="BB63">
        <v>132.5</v>
      </c>
      <c r="BC63">
        <f t="shared" si="24"/>
        <v>132.23333333333335</v>
      </c>
      <c r="BD63">
        <v>138.5</v>
      </c>
      <c r="BE63">
        <f t="shared" si="25"/>
        <v>139.20000000000002</v>
      </c>
    </row>
    <row r="64" spans="1:57">
      <c r="A64" t="s">
        <v>30</v>
      </c>
      <c r="B64">
        <v>2018</v>
      </c>
      <c r="C64" t="s">
        <v>36</v>
      </c>
      <c r="D64">
        <v>136.80000000000001</v>
      </c>
      <c r="E64">
        <f t="shared" si="0"/>
        <v>136.6</v>
      </c>
      <c r="F64">
        <v>143.80000000000001</v>
      </c>
      <c r="G64">
        <f t="shared" si="1"/>
        <v>143.96666666666667</v>
      </c>
      <c r="H64">
        <v>140</v>
      </c>
      <c r="I64">
        <f t="shared" si="2"/>
        <v>141.46666666666667</v>
      </c>
      <c r="J64">
        <v>142</v>
      </c>
      <c r="K64">
        <f t="shared" si="3"/>
        <v>141.83333333333334</v>
      </c>
      <c r="L64">
        <v>123.2</v>
      </c>
      <c r="M64">
        <f t="shared" si="4"/>
        <v>123.10000000000001</v>
      </c>
      <c r="N64">
        <v>152.9</v>
      </c>
      <c r="O64">
        <f t="shared" si="5"/>
        <v>150.06666666666669</v>
      </c>
      <c r="P64">
        <v>138</v>
      </c>
      <c r="Q64">
        <f t="shared" si="6"/>
        <v>144.16666666666666</v>
      </c>
      <c r="R64">
        <v>129.30000000000001</v>
      </c>
      <c r="S64">
        <f t="shared" si="7"/>
        <v>130.43333333333334</v>
      </c>
      <c r="T64">
        <v>117.1</v>
      </c>
      <c r="U64">
        <f t="shared" si="8"/>
        <v>118.16666666666667</v>
      </c>
      <c r="V64">
        <v>136.30000000000001</v>
      </c>
      <c r="W64">
        <f t="shared" si="9"/>
        <v>135.96666666666667</v>
      </c>
      <c r="X64">
        <v>131.19999999999999</v>
      </c>
      <c r="Y64">
        <f t="shared" si="10"/>
        <v>130.96666666666667</v>
      </c>
      <c r="Z64">
        <v>152.80000000000001</v>
      </c>
      <c r="AA64">
        <f t="shared" si="11"/>
        <v>152.1</v>
      </c>
      <c r="AB64">
        <v>138.6</v>
      </c>
      <c r="AC64">
        <f t="shared" si="12"/>
        <v>139.23333333333335</v>
      </c>
      <c r="AD64">
        <v>155.1</v>
      </c>
      <c r="AE64">
        <f t="shared" si="13"/>
        <v>154</v>
      </c>
      <c r="AF64">
        <v>149.19999999999999</v>
      </c>
      <c r="AG64">
        <f t="shared" si="14"/>
        <v>148.73333333333332</v>
      </c>
      <c r="AH64">
        <v>143</v>
      </c>
      <c r="AI64">
        <f t="shared" si="15"/>
        <v>142.56666666666669</v>
      </c>
      <c r="AJ64">
        <v>148.30000000000001</v>
      </c>
      <c r="AK64">
        <f t="shared" si="16"/>
        <v>147.86666666666667</v>
      </c>
      <c r="AL64" t="s">
        <v>32</v>
      </c>
      <c r="AN64">
        <v>142.6</v>
      </c>
      <c r="AO64">
        <f t="shared" si="17"/>
        <v>142.43333333333337</v>
      </c>
      <c r="AP64">
        <v>139.9</v>
      </c>
      <c r="AQ64">
        <f t="shared" si="18"/>
        <v>139.86666666666667</v>
      </c>
      <c r="AR64">
        <v>136.69999999999999</v>
      </c>
      <c r="AS64">
        <f t="shared" si="19"/>
        <v>136.29999999999998</v>
      </c>
      <c r="AT64">
        <v>124.6</v>
      </c>
      <c r="AU64">
        <f t="shared" si="20"/>
        <v>123.53333333333335</v>
      </c>
      <c r="AV64">
        <v>135.1</v>
      </c>
      <c r="AW64">
        <f t="shared" si="21"/>
        <v>134.56666666666669</v>
      </c>
      <c r="AX64">
        <v>142.69999999999999</v>
      </c>
      <c r="AY64">
        <f t="shared" si="22"/>
        <v>141.93333333333334</v>
      </c>
      <c r="AZ64">
        <v>129.30000000000001</v>
      </c>
      <c r="BA64">
        <f t="shared" si="23"/>
        <v>128.9</v>
      </c>
      <c r="BB64">
        <v>133.30000000000001</v>
      </c>
      <c r="BC64">
        <f t="shared" si="24"/>
        <v>132.70000000000002</v>
      </c>
      <c r="BD64">
        <v>138.69999999999999</v>
      </c>
      <c r="BE64">
        <f t="shared" si="25"/>
        <v>138.83333333333334</v>
      </c>
    </row>
    <row r="65" spans="1:57">
      <c r="A65" t="s">
        <v>30</v>
      </c>
      <c r="B65">
        <v>2018</v>
      </c>
      <c r="C65" t="s">
        <v>37</v>
      </c>
      <c r="D65">
        <v>137.1</v>
      </c>
      <c r="E65">
        <f t="shared" si="0"/>
        <v>136.76666666666668</v>
      </c>
      <c r="F65">
        <v>144.5</v>
      </c>
      <c r="G65">
        <f t="shared" si="1"/>
        <v>144</v>
      </c>
      <c r="H65">
        <v>135.9</v>
      </c>
      <c r="I65">
        <f t="shared" si="2"/>
        <v>138.83333333333334</v>
      </c>
      <c r="J65">
        <v>142.4</v>
      </c>
      <c r="K65">
        <f t="shared" si="3"/>
        <v>141.96666666666667</v>
      </c>
      <c r="L65">
        <v>123.5</v>
      </c>
      <c r="M65">
        <f t="shared" si="4"/>
        <v>123.2</v>
      </c>
      <c r="N65">
        <v>156.4</v>
      </c>
      <c r="O65">
        <f t="shared" si="5"/>
        <v>152.9</v>
      </c>
      <c r="P65">
        <v>135.1</v>
      </c>
      <c r="Q65">
        <f t="shared" si="6"/>
        <v>138.5</v>
      </c>
      <c r="R65">
        <v>128.4</v>
      </c>
      <c r="S65">
        <f t="shared" si="7"/>
        <v>129.29999999999998</v>
      </c>
      <c r="T65">
        <v>115.2</v>
      </c>
      <c r="U65">
        <f t="shared" si="8"/>
        <v>116.73333333333333</v>
      </c>
      <c r="V65">
        <v>137.19999999999999</v>
      </c>
      <c r="W65">
        <f t="shared" si="9"/>
        <v>136.36666666666665</v>
      </c>
      <c r="X65">
        <v>131.9</v>
      </c>
      <c r="Y65">
        <f t="shared" si="10"/>
        <v>131.20000000000002</v>
      </c>
      <c r="Z65">
        <v>153.80000000000001</v>
      </c>
      <c r="AA65">
        <f t="shared" si="11"/>
        <v>152.76666666666668</v>
      </c>
      <c r="AB65">
        <v>138.6</v>
      </c>
      <c r="AC65">
        <f t="shared" si="12"/>
        <v>138.63333333333333</v>
      </c>
      <c r="AD65">
        <v>156.1</v>
      </c>
      <c r="AE65">
        <f t="shared" si="13"/>
        <v>154.83333333333334</v>
      </c>
      <c r="AF65">
        <v>150.1</v>
      </c>
      <c r="AG65">
        <f t="shared" si="14"/>
        <v>149.33333333333334</v>
      </c>
      <c r="AH65">
        <v>143.30000000000001</v>
      </c>
      <c r="AI65">
        <f t="shared" si="15"/>
        <v>142.9</v>
      </c>
      <c r="AJ65">
        <v>149.1</v>
      </c>
      <c r="AK65">
        <f t="shared" si="16"/>
        <v>148.4</v>
      </c>
      <c r="AL65" t="s">
        <v>32</v>
      </c>
      <c r="AN65">
        <v>143.80000000000001</v>
      </c>
      <c r="AO65">
        <f t="shared" si="17"/>
        <v>142.93333333333334</v>
      </c>
      <c r="AP65">
        <v>140.9</v>
      </c>
      <c r="AQ65">
        <f t="shared" si="18"/>
        <v>140.23333333333335</v>
      </c>
      <c r="AR65">
        <v>137.6</v>
      </c>
      <c r="AS65">
        <f t="shared" si="19"/>
        <v>136.83333333333334</v>
      </c>
      <c r="AT65">
        <v>125.3</v>
      </c>
      <c r="AU65">
        <f t="shared" si="20"/>
        <v>124.39999999999999</v>
      </c>
      <c r="AV65">
        <v>136</v>
      </c>
      <c r="AW65">
        <f t="shared" si="21"/>
        <v>135.13333333333333</v>
      </c>
      <c r="AX65">
        <v>143.69999999999999</v>
      </c>
      <c r="AY65">
        <f t="shared" si="22"/>
        <v>142.63333333333333</v>
      </c>
      <c r="AZ65">
        <v>130.4</v>
      </c>
      <c r="BA65">
        <f t="shared" si="23"/>
        <v>129.5</v>
      </c>
      <c r="BB65">
        <v>134.19999999999999</v>
      </c>
      <c r="BC65">
        <f t="shared" si="24"/>
        <v>133.33333333333334</v>
      </c>
      <c r="BD65">
        <v>139.1</v>
      </c>
      <c r="BE65">
        <f t="shared" si="25"/>
        <v>138.76666666666665</v>
      </c>
    </row>
    <row r="66" spans="1:57">
      <c r="A66" t="s">
        <v>30</v>
      </c>
      <c r="B66">
        <v>2018</v>
      </c>
      <c r="C66" t="s">
        <v>38</v>
      </c>
      <c r="D66">
        <v>137.4</v>
      </c>
      <c r="E66">
        <f t="shared" si="0"/>
        <v>137.1</v>
      </c>
      <c r="F66">
        <v>145.69999999999999</v>
      </c>
      <c r="G66">
        <f t="shared" si="1"/>
        <v>144.66666666666666</v>
      </c>
      <c r="H66">
        <v>135.5</v>
      </c>
      <c r="I66">
        <f t="shared" si="2"/>
        <v>137.13333333333333</v>
      </c>
      <c r="J66">
        <v>142.9</v>
      </c>
      <c r="K66">
        <f t="shared" si="3"/>
        <v>142.43333333333331</v>
      </c>
      <c r="L66">
        <v>123.6</v>
      </c>
      <c r="M66">
        <f t="shared" si="4"/>
        <v>123.43333333333332</v>
      </c>
      <c r="N66">
        <v>157.5</v>
      </c>
      <c r="O66">
        <f t="shared" si="5"/>
        <v>155.6</v>
      </c>
      <c r="P66">
        <v>137.80000000000001</v>
      </c>
      <c r="Q66">
        <f t="shared" si="6"/>
        <v>136.96666666666667</v>
      </c>
      <c r="R66">
        <v>127.2</v>
      </c>
      <c r="S66">
        <f t="shared" si="7"/>
        <v>128.30000000000001</v>
      </c>
      <c r="T66">
        <v>111.8</v>
      </c>
      <c r="U66">
        <f t="shared" si="8"/>
        <v>114.7</v>
      </c>
      <c r="V66">
        <v>137.4</v>
      </c>
      <c r="W66">
        <f t="shared" si="9"/>
        <v>136.96666666666667</v>
      </c>
      <c r="X66">
        <v>132.19999999999999</v>
      </c>
      <c r="Y66">
        <f t="shared" si="10"/>
        <v>131.76666666666668</v>
      </c>
      <c r="Z66">
        <v>154.30000000000001</v>
      </c>
      <c r="AA66">
        <f t="shared" si="11"/>
        <v>153.63333333333335</v>
      </c>
      <c r="AB66">
        <v>139.1</v>
      </c>
      <c r="AC66">
        <f t="shared" si="12"/>
        <v>138.76666666666665</v>
      </c>
      <c r="AD66">
        <v>157</v>
      </c>
      <c r="AE66">
        <f t="shared" si="13"/>
        <v>156.06666666666666</v>
      </c>
      <c r="AF66">
        <v>150.80000000000001</v>
      </c>
      <c r="AG66">
        <f t="shared" si="14"/>
        <v>150.03333333333333</v>
      </c>
      <c r="AH66">
        <v>144.1</v>
      </c>
      <c r="AI66">
        <f t="shared" si="15"/>
        <v>143.46666666666667</v>
      </c>
      <c r="AJ66">
        <v>149.80000000000001</v>
      </c>
      <c r="AK66">
        <f t="shared" si="16"/>
        <v>149.06666666666666</v>
      </c>
      <c r="AL66" t="s">
        <v>32</v>
      </c>
      <c r="AN66">
        <v>144.30000000000001</v>
      </c>
      <c r="AO66">
        <f t="shared" si="17"/>
        <v>143.56666666666666</v>
      </c>
      <c r="AP66">
        <v>141.80000000000001</v>
      </c>
      <c r="AQ66">
        <f t="shared" si="18"/>
        <v>140.86666666666667</v>
      </c>
      <c r="AR66">
        <v>138.4</v>
      </c>
      <c r="AS66">
        <f t="shared" si="19"/>
        <v>137.56666666666663</v>
      </c>
      <c r="AT66">
        <v>126.4</v>
      </c>
      <c r="AU66">
        <f t="shared" si="20"/>
        <v>125.43333333333332</v>
      </c>
      <c r="AV66">
        <v>136.80000000000001</v>
      </c>
      <c r="AW66">
        <f t="shared" si="21"/>
        <v>135.96666666666667</v>
      </c>
      <c r="AX66">
        <v>144.4</v>
      </c>
      <c r="AY66">
        <f t="shared" si="22"/>
        <v>143.6</v>
      </c>
      <c r="AZ66">
        <v>131.19999999999999</v>
      </c>
      <c r="BA66">
        <f t="shared" si="23"/>
        <v>130.30000000000001</v>
      </c>
      <c r="BB66">
        <v>135.1</v>
      </c>
      <c r="BC66">
        <f t="shared" si="24"/>
        <v>134.20000000000002</v>
      </c>
      <c r="BD66">
        <v>139.80000000000001</v>
      </c>
      <c r="BE66">
        <f t="shared" si="25"/>
        <v>139.19999999999999</v>
      </c>
    </row>
    <row r="67" spans="1:57">
      <c r="A67" t="s">
        <v>30</v>
      </c>
      <c r="B67">
        <v>2018</v>
      </c>
      <c r="C67" t="s">
        <v>39</v>
      </c>
      <c r="D67">
        <v>137.6</v>
      </c>
      <c r="E67">
        <f t="shared" si="0"/>
        <v>137.36666666666667</v>
      </c>
      <c r="F67">
        <v>148.1</v>
      </c>
      <c r="G67">
        <f t="shared" si="1"/>
        <v>146.1</v>
      </c>
      <c r="H67">
        <v>136.69999999999999</v>
      </c>
      <c r="I67">
        <f t="shared" si="2"/>
        <v>136.03333333333333</v>
      </c>
      <c r="J67">
        <v>143.19999999999999</v>
      </c>
      <c r="K67">
        <f t="shared" si="3"/>
        <v>142.83333333333334</v>
      </c>
      <c r="L67">
        <v>124</v>
      </c>
      <c r="M67">
        <f t="shared" si="4"/>
        <v>123.7</v>
      </c>
      <c r="N67">
        <v>154.1</v>
      </c>
      <c r="O67">
        <f t="shared" si="5"/>
        <v>156</v>
      </c>
      <c r="P67">
        <v>143.5</v>
      </c>
      <c r="Q67">
        <f t="shared" si="6"/>
        <v>138.79999999999998</v>
      </c>
      <c r="R67">
        <v>126</v>
      </c>
      <c r="S67">
        <f t="shared" si="7"/>
        <v>127.2</v>
      </c>
      <c r="T67">
        <v>112.4</v>
      </c>
      <c r="U67">
        <f t="shared" si="8"/>
        <v>113.13333333333333</v>
      </c>
      <c r="V67">
        <v>137.6</v>
      </c>
      <c r="W67">
        <f t="shared" si="9"/>
        <v>137.4</v>
      </c>
      <c r="X67">
        <v>132.80000000000001</v>
      </c>
      <c r="Y67">
        <f t="shared" si="10"/>
        <v>132.30000000000001</v>
      </c>
      <c r="Z67">
        <v>154.30000000000001</v>
      </c>
      <c r="AA67">
        <f t="shared" si="11"/>
        <v>154.13333333333335</v>
      </c>
      <c r="AB67">
        <v>140</v>
      </c>
      <c r="AC67">
        <f t="shared" si="12"/>
        <v>139.23333333333332</v>
      </c>
      <c r="AD67">
        <v>157.30000000000001</v>
      </c>
      <c r="AE67">
        <f t="shared" si="13"/>
        <v>156.80000000000001</v>
      </c>
      <c r="AF67">
        <v>151.30000000000001</v>
      </c>
      <c r="AG67">
        <f t="shared" si="14"/>
        <v>150.73333333333332</v>
      </c>
      <c r="AH67">
        <v>144.69999999999999</v>
      </c>
      <c r="AI67">
        <f t="shared" si="15"/>
        <v>144.03333333333333</v>
      </c>
      <c r="AJ67">
        <v>150.30000000000001</v>
      </c>
      <c r="AK67">
        <f t="shared" si="16"/>
        <v>149.73333333333332</v>
      </c>
      <c r="AL67" t="s">
        <v>32</v>
      </c>
      <c r="AN67">
        <v>145.1</v>
      </c>
      <c r="AO67">
        <f t="shared" si="17"/>
        <v>144.4</v>
      </c>
      <c r="AP67">
        <v>142.19999999999999</v>
      </c>
      <c r="AQ67">
        <f t="shared" si="18"/>
        <v>141.63333333333335</v>
      </c>
      <c r="AR67">
        <v>138.4</v>
      </c>
      <c r="AS67">
        <f t="shared" si="19"/>
        <v>138.13333333333333</v>
      </c>
      <c r="AT67">
        <v>127.4</v>
      </c>
      <c r="AU67">
        <f t="shared" si="20"/>
        <v>126.36666666666667</v>
      </c>
      <c r="AV67">
        <v>137.80000000000001</v>
      </c>
      <c r="AW67">
        <f t="shared" si="21"/>
        <v>136.86666666666667</v>
      </c>
      <c r="AX67">
        <v>145.1</v>
      </c>
      <c r="AY67">
        <f t="shared" si="22"/>
        <v>144.4</v>
      </c>
      <c r="AZ67">
        <v>131.4</v>
      </c>
      <c r="BA67">
        <f t="shared" si="23"/>
        <v>131</v>
      </c>
      <c r="BB67">
        <v>135.6</v>
      </c>
      <c r="BC67">
        <f t="shared" si="24"/>
        <v>134.96666666666667</v>
      </c>
      <c r="BD67">
        <v>140.5</v>
      </c>
      <c r="BE67">
        <f t="shared" si="25"/>
        <v>139.79999999999998</v>
      </c>
    </row>
    <row r="68" spans="1:57">
      <c r="A68" t="s">
        <v>30</v>
      </c>
      <c r="B68">
        <v>2018</v>
      </c>
      <c r="C68" t="s">
        <v>40</v>
      </c>
      <c r="D68">
        <v>138.4</v>
      </c>
      <c r="E68">
        <f t="shared" si="0"/>
        <v>137.79999999999998</v>
      </c>
      <c r="F68">
        <v>149.30000000000001</v>
      </c>
      <c r="G68">
        <f t="shared" si="1"/>
        <v>147.69999999999999</v>
      </c>
      <c r="H68">
        <v>139.30000000000001</v>
      </c>
      <c r="I68">
        <f t="shared" si="2"/>
        <v>137.16666666666666</v>
      </c>
      <c r="J68">
        <v>143.4</v>
      </c>
      <c r="K68">
        <f t="shared" si="3"/>
        <v>143.16666666666666</v>
      </c>
      <c r="L68">
        <v>124.1</v>
      </c>
      <c r="M68">
        <f t="shared" si="4"/>
        <v>123.89999999999999</v>
      </c>
      <c r="N68">
        <v>153.30000000000001</v>
      </c>
      <c r="O68">
        <f t="shared" si="5"/>
        <v>154.96666666666667</v>
      </c>
      <c r="P68">
        <v>154.19999999999999</v>
      </c>
      <c r="Q68">
        <f t="shared" si="6"/>
        <v>145.16666666666666</v>
      </c>
      <c r="R68">
        <v>126.4</v>
      </c>
      <c r="S68">
        <f t="shared" si="7"/>
        <v>126.53333333333335</v>
      </c>
      <c r="T68">
        <v>114.3</v>
      </c>
      <c r="U68">
        <f t="shared" si="8"/>
        <v>112.83333333333333</v>
      </c>
      <c r="V68">
        <v>138.19999999999999</v>
      </c>
      <c r="W68">
        <f t="shared" si="9"/>
        <v>137.73333333333332</v>
      </c>
      <c r="X68">
        <v>132.80000000000001</v>
      </c>
      <c r="Y68">
        <f t="shared" si="10"/>
        <v>132.6</v>
      </c>
      <c r="Z68">
        <v>154.80000000000001</v>
      </c>
      <c r="AA68">
        <f t="shared" si="11"/>
        <v>154.46666666666667</v>
      </c>
      <c r="AB68">
        <v>142</v>
      </c>
      <c r="AC68">
        <f t="shared" si="12"/>
        <v>140.36666666666667</v>
      </c>
      <c r="AD68">
        <v>156.1</v>
      </c>
      <c r="AE68">
        <f t="shared" si="13"/>
        <v>156.79999999999998</v>
      </c>
      <c r="AF68">
        <v>151.5</v>
      </c>
      <c r="AG68">
        <f t="shared" si="14"/>
        <v>151.20000000000002</v>
      </c>
      <c r="AH68">
        <v>145.1</v>
      </c>
      <c r="AI68">
        <f t="shared" si="15"/>
        <v>144.63333333333333</v>
      </c>
      <c r="AJ68">
        <v>150.6</v>
      </c>
      <c r="AK68">
        <f t="shared" si="16"/>
        <v>150.23333333333335</v>
      </c>
      <c r="AL68" t="s">
        <v>32</v>
      </c>
      <c r="AN68">
        <v>146.80000000000001</v>
      </c>
      <c r="AO68">
        <f t="shared" si="17"/>
        <v>145.4</v>
      </c>
      <c r="AP68">
        <v>143.1</v>
      </c>
      <c r="AQ68">
        <f t="shared" si="18"/>
        <v>142.36666666666667</v>
      </c>
      <c r="AR68">
        <v>139</v>
      </c>
      <c r="AS68">
        <f t="shared" si="19"/>
        <v>138.6</v>
      </c>
      <c r="AT68">
        <v>127.5</v>
      </c>
      <c r="AU68">
        <f t="shared" si="20"/>
        <v>127.10000000000001</v>
      </c>
      <c r="AV68">
        <v>138.4</v>
      </c>
      <c r="AW68">
        <f t="shared" si="21"/>
        <v>137.66666666666666</v>
      </c>
      <c r="AX68">
        <v>145.80000000000001</v>
      </c>
      <c r="AY68">
        <f t="shared" si="22"/>
        <v>145.1</v>
      </c>
      <c r="AZ68">
        <v>131.4</v>
      </c>
      <c r="BA68">
        <f t="shared" si="23"/>
        <v>131.33333333333334</v>
      </c>
      <c r="BB68">
        <v>136</v>
      </c>
      <c r="BC68">
        <f t="shared" si="24"/>
        <v>135.56666666666666</v>
      </c>
      <c r="BD68">
        <v>141.80000000000001</v>
      </c>
      <c r="BE68">
        <f t="shared" si="25"/>
        <v>140.70000000000002</v>
      </c>
    </row>
    <row r="69" spans="1:57">
      <c r="A69" t="s">
        <v>30</v>
      </c>
      <c r="B69">
        <v>2018</v>
      </c>
      <c r="C69" t="s">
        <v>41</v>
      </c>
      <c r="D69">
        <v>139.19999999999999</v>
      </c>
      <c r="E69">
        <f t="shared" ref="E69:E125" si="26">AVERAGE(D67:D69)</f>
        <v>138.4</v>
      </c>
      <c r="F69">
        <v>148.80000000000001</v>
      </c>
      <c r="G69">
        <f t="shared" ref="G69:G125" si="27">AVERAGE(F67:F69)</f>
        <v>148.73333333333332</v>
      </c>
      <c r="H69">
        <v>139.1</v>
      </c>
      <c r="I69">
        <f t="shared" ref="I69:I125" si="28">AVERAGE(H67:H69)</f>
        <v>138.36666666666667</v>
      </c>
      <c r="J69">
        <v>143.5</v>
      </c>
      <c r="K69">
        <f t="shared" ref="K69:K125" si="29">AVERAGE(J67:J69)</f>
        <v>143.36666666666667</v>
      </c>
      <c r="L69">
        <v>125</v>
      </c>
      <c r="M69">
        <f t="shared" ref="M69:M125" si="30">AVERAGE(L67:L69)</f>
        <v>124.36666666666667</v>
      </c>
      <c r="N69">
        <v>154.4</v>
      </c>
      <c r="O69">
        <f t="shared" ref="O69:O125" si="31">AVERAGE(N67:N69)</f>
        <v>153.93333333333331</v>
      </c>
      <c r="P69">
        <v>156.30000000000001</v>
      </c>
      <c r="Q69">
        <f t="shared" ref="Q69:Q125" si="32">AVERAGE(P67:P69)</f>
        <v>151.33333333333334</v>
      </c>
      <c r="R69">
        <v>126.8</v>
      </c>
      <c r="S69">
        <f t="shared" ref="S69:S125" si="33">AVERAGE(R67:R69)</f>
        <v>126.39999999999999</v>
      </c>
      <c r="T69">
        <v>115.4</v>
      </c>
      <c r="U69">
        <f t="shared" ref="U69:U125" si="34">AVERAGE(T67:T69)</f>
        <v>114.03333333333335</v>
      </c>
      <c r="V69">
        <v>138.6</v>
      </c>
      <c r="W69">
        <f t="shared" ref="W69:W125" si="35">AVERAGE(V67:V69)</f>
        <v>138.13333333333333</v>
      </c>
      <c r="X69">
        <v>133.80000000000001</v>
      </c>
      <c r="Y69">
        <f t="shared" ref="Y69:Y125" si="36">AVERAGE(X67:X69)</f>
        <v>133.13333333333335</v>
      </c>
      <c r="Z69">
        <v>155.19999999999999</v>
      </c>
      <c r="AA69">
        <f t="shared" ref="AA69:AA125" si="37">AVERAGE(Z67:Z69)</f>
        <v>154.76666666666668</v>
      </c>
      <c r="AB69">
        <v>142.69999999999999</v>
      </c>
      <c r="AC69">
        <f t="shared" ref="AC69:AC125" si="38">AVERAGE(AB67:AB69)</f>
        <v>141.56666666666666</v>
      </c>
      <c r="AD69">
        <v>156.4</v>
      </c>
      <c r="AE69">
        <f t="shared" ref="AE69:AE125" si="39">AVERAGE(AD67:AD69)</f>
        <v>156.6</v>
      </c>
      <c r="AF69">
        <v>152.1</v>
      </c>
      <c r="AG69">
        <f t="shared" ref="AG69:AG125" si="40">AVERAGE(AF67:AF69)</f>
        <v>151.63333333333333</v>
      </c>
      <c r="AH69">
        <v>145.80000000000001</v>
      </c>
      <c r="AI69">
        <f t="shared" ref="AI69:AI125" si="41">AVERAGE(AH67:AH69)</f>
        <v>145.19999999999999</v>
      </c>
      <c r="AJ69">
        <v>151.30000000000001</v>
      </c>
      <c r="AK69">
        <f t="shared" ref="AK69:AK125" si="42">AVERAGE(AJ67:AJ69)</f>
        <v>150.73333333333332</v>
      </c>
      <c r="AL69" t="s">
        <v>32</v>
      </c>
      <c r="AN69">
        <v>147.69999999999999</v>
      </c>
      <c r="AO69">
        <f t="shared" ref="AO69:AO125" si="43">AVERAGE(AN67:AN69)</f>
        <v>146.53333333333333</v>
      </c>
      <c r="AP69">
        <v>143.80000000000001</v>
      </c>
      <c r="AQ69">
        <f t="shared" ref="AQ69:AQ125" si="44">AVERAGE(AP67:AP69)</f>
        <v>143.03333333333333</v>
      </c>
      <c r="AR69">
        <v>139.4</v>
      </c>
      <c r="AS69">
        <f t="shared" ref="AS69:AS125" si="45">AVERAGE(AR67:AR69)</f>
        <v>138.93333333333331</v>
      </c>
      <c r="AT69">
        <v>128.30000000000001</v>
      </c>
      <c r="AU69">
        <f t="shared" ref="AU69:AU125" si="46">AVERAGE(AT67:AT69)</f>
        <v>127.73333333333335</v>
      </c>
      <c r="AV69">
        <v>138.6</v>
      </c>
      <c r="AW69">
        <f t="shared" ref="AW69:AW125" si="47">AVERAGE(AV67:AV69)</f>
        <v>138.26666666666668</v>
      </c>
      <c r="AX69">
        <v>146.9</v>
      </c>
      <c r="AY69">
        <f t="shared" ref="AY69:AY125" si="48">AVERAGE(AX67:AX69)</f>
        <v>145.93333333333331</v>
      </c>
      <c r="AZ69">
        <v>131.30000000000001</v>
      </c>
      <c r="BA69">
        <f t="shared" ref="BA69:BA125" si="49">AVERAGE(AZ67:AZ69)</f>
        <v>131.36666666666667</v>
      </c>
      <c r="BB69">
        <v>136.6</v>
      </c>
      <c r="BC69">
        <f t="shared" ref="BC69:BC125" si="50">AVERAGE(BB67:BB69)</f>
        <v>136.06666666666669</v>
      </c>
      <c r="BD69">
        <v>142.5</v>
      </c>
      <c r="BE69">
        <f t="shared" ref="BE69:BE125" si="51">AVERAGE(BD67:BD69)</f>
        <v>141.6</v>
      </c>
    </row>
    <row r="70" spans="1:57">
      <c r="A70" t="s">
        <v>30</v>
      </c>
      <c r="B70">
        <v>2018</v>
      </c>
      <c r="C70" t="s">
        <v>42</v>
      </c>
      <c r="D70">
        <v>139.4</v>
      </c>
      <c r="E70">
        <f t="shared" si="26"/>
        <v>139</v>
      </c>
      <c r="F70">
        <v>147.19999999999999</v>
      </c>
      <c r="G70">
        <f t="shared" si="27"/>
        <v>148.43333333333334</v>
      </c>
      <c r="H70">
        <v>136.6</v>
      </c>
      <c r="I70">
        <f t="shared" si="28"/>
        <v>138.33333333333334</v>
      </c>
      <c r="J70">
        <v>143.69999999999999</v>
      </c>
      <c r="K70">
        <f t="shared" si="29"/>
        <v>143.53333333333333</v>
      </c>
      <c r="L70">
        <v>124.6</v>
      </c>
      <c r="M70">
        <f t="shared" si="30"/>
        <v>124.56666666666666</v>
      </c>
      <c r="N70">
        <v>150.1</v>
      </c>
      <c r="O70">
        <f t="shared" si="31"/>
        <v>152.60000000000002</v>
      </c>
      <c r="P70">
        <v>149.4</v>
      </c>
      <c r="Q70">
        <f t="shared" si="32"/>
        <v>153.29999999999998</v>
      </c>
      <c r="R70">
        <v>125.4</v>
      </c>
      <c r="S70">
        <f t="shared" si="33"/>
        <v>126.2</v>
      </c>
      <c r="T70">
        <v>114.4</v>
      </c>
      <c r="U70">
        <f t="shared" si="34"/>
        <v>114.7</v>
      </c>
      <c r="V70">
        <v>138.69999999999999</v>
      </c>
      <c r="W70">
        <f t="shared" si="35"/>
        <v>138.49999999999997</v>
      </c>
      <c r="X70">
        <v>133.1</v>
      </c>
      <c r="Y70">
        <f t="shared" si="36"/>
        <v>133.23333333333335</v>
      </c>
      <c r="Z70">
        <v>155.9</v>
      </c>
      <c r="AA70">
        <f t="shared" si="37"/>
        <v>155.29999999999998</v>
      </c>
      <c r="AB70">
        <v>141.30000000000001</v>
      </c>
      <c r="AC70">
        <f t="shared" si="38"/>
        <v>142</v>
      </c>
      <c r="AD70">
        <v>157.69999999999999</v>
      </c>
      <c r="AE70">
        <f t="shared" si="39"/>
        <v>156.73333333333332</v>
      </c>
      <c r="AF70">
        <v>152.1</v>
      </c>
      <c r="AG70">
        <f t="shared" si="40"/>
        <v>151.9</v>
      </c>
      <c r="AH70">
        <v>146.1</v>
      </c>
      <c r="AI70">
        <f t="shared" si="41"/>
        <v>145.66666666666666</v>
      </c>
      <c r="AJ70">
        <v>151.30000000000001</v>
      </c>
      <c r="AK70">
        <f t="shared" si="42"/>
        <v>151.06666666666666</v>
      </c>
      <c r="AL70" t="s">
        <v>32</v>
      </c>
      <c r="AN70">
        <v>149</v>
      </c>
      <c r="AO70">
        <f t="shared" si="43"/>
        <v>147.83333333333334</v>
      </c>
      <c r="AP70">
        <v>144</v>
      </c>
      <c r="AQ70">
        <f t="shared" si="44"/>
        <v>143.63333333333333</v>
      </c>
      <c r="AR70">
        <v>140</v>
      </c>
      <c r="AS70">
        <f t="shared" si="45"/>
        <v>139.46666666666667</v>
      </c>
      <c r="AT70">
        <v>129.9</v>
      </c>
      <c r="AU70">
        <f t="shared" si="46"/>
        <v>128.56666666666669</v>
      </c>
      <c r="AV70">
        <v>140</v>
      </c>
      <c r="AW70">
        <f t="shared" si="47"/>
        <v>139</v>
      </c>
      <c r="AX70">
        <v>147.6</v>
      </c>
      <c r="AY70">
        <f t="shared" si="48"/>
        <v>146.76666666666668</v>
      </c>
      <c r="AZ70">
        <v>132</v>
      </c>
      <c r="BA70">
        <f t="shared" si="49"/>
        <v>131.56666666666669</v>
      </c>
      <c r="BB70">
        <v>137.4</v>
      </c>
      <c r="BC70">
        <f t="shared" si="50"/>
        <v>136.66666666666666</v>
      </c>
      <c r="BD70">
        <v>142.1</v>
      </c>
      <c r="BE70">
        <f t="shared" si="51"/>
        <v>142.13333333333333</v>
      </c>
    </row>
    <row r="71" spans="1:57">
      <c r="A71" t="s">
        <v>30</v>
      </c>
      <c r="B71">
        <v>2018</v>
      </c>
      <c r="C71" t="s">
        <v>43</v>
      </c>
      <c r="D71">
        <v>139.30000000000001</v>
      </c>
      <c r="E71">
        <f t="shared" si="26"/>
        <v>139.30000000000001</v>
      </c>
      <c r="F71">
        <v>147.6</v>
      </c>
      <c r="G71">
        <f t="shared" si="27"/>
        <v>147.86666666666667</v>
      </c>
      <c r="H71">
        <v>134.6</v>
      </c>
      <c r="I71">
        <f t="shared" si="28"/>
        <v>136.76666666666665</v>
      </c>
      <c r="J71">
        <v>141.9</v>
      </c>
      <c r="K71">
        <f t="shared" si="29"/>
        <v>143.03333333333333</v>
      </c>
      <c r="L71">
        <v>123.5</v>
      </c>
      <c r="M71">
        <f t="shared" si="30"/>
        <v>124.36666666666667</v>
      </c>
      <c r="N71">
        <v>144.5</v>
      </c>
      <c r="O71">
        <f t="shared" si="31"/>
        <v>149.66666666666666</v>
      </c>
      <c r="P71">
        <v>147.6</v>
      </c>
      <c r="Q71">
        <f t="shared" si="32"/>
        <v>151.10000000000002</v>
      </c>
      <c r="R71">
        <v>121.4</v>
      </c>
      <c r="S71">
        <f t="shared" si="33"/>
        <v>124.53333333333335</v>
      </c>
      <c r="T71">
        <v>112.3</v>
      </c>
      <c r="U71">
        <f t="shared" si="34"/>
        <v>114.03333333333335</v>
      </c>
      <c r="V71">
        <v>139.5</v>
      </c>
      <c r="W71">
        <f t="shared" si="35"/>
        <v>138.93333333333331</v>
      </c>
      <c r="X71">
        <v>134.6</v>
      </c>
      <c r="Y71">
        <f t="shared" si="36"/>
        <v>133.83333333333334</v>
      </c>
      <c r="Z71">
        <v>155.19999999999999</v>
      </c>
      <c r="AA71">
        <f t="shared" si="37"/>
        <v>155.43333333333334</v>
      </c>
      <c r="AB71">
        <v>140.19999999999999</v>
      </c>
      <c r="AC71">
        <f t="shared" si="38"/>
        <v>141.4</v>
      </c>
      <c r="AD71">
        <v>159.6</v>
      </c>
      <c r="AE71">
        <f t="shared" si="39"/>
        <v>157.9</v>
      </c>
      <c r="AF71">
        <v>150.69999999999999</v>
      </c>
      <c r="AG71">
        <f t="shared" si="40"/>
        <v>151.63333333333333</v>
      </c>
      <c r="AH71">
        <v>144.5</v>
      </c>
      <c r="AI71">
        <f t="shared" si="41"/>
        <v>145.46666666666667</v>
      </c>
      <c r="AJ71">
        <v>149.80000000000001</v>
      </c>
      <c r="AK71">
        <f t="shared" si="42"/>
        <v>150.80000000000001</v>
      </c>
      <c r="AL71" t="s">
        <v>32</v>
      </c>
      <c r="AN71">
        <v>149.69999999999999</v>
      </c>
      <c r="AO71">
        <f t="shared" si="43"/>
        <v>148.79999999999998</v>
      </c>
      <c r="AP71">
        <v>147.5</v>
      </c>
      <c r="AQ71">
        <f t="shared" si="44"/>
        <v>145.1</v>
      </c>
      <c r="AR71">
        <v>144.80000000000001</v>
      </c>
      <c r="AS71">
        <f t="shared" si="45"/>
        <v>141.4</v>
      </c>
      <c r="AT71">
        <v>130.80000000000001</v>
      </c>
      <c r="AU71">
        <f t="shared" si="46"/>
        <v>129.66666666666669</v>
      </c>
      <c r="AV71">
        <v>140.1</v>
      </c>
      <c r="AW71">
        <f t="shared" si="47"/>
        <v>139.56666666666669</v>
      </c>
      <c r="AX71">
        <v>148</v>
      </c>
      <c r="AY71">
        <f t="shared" si="48"/>
        <v>147.5</v>
      </c>
      <c r="AZ71">
        <v>134.4</v>
      </c>
      <c r="BA71">
        <f t="shared" si="49"/>
        <v>132.56666666666669</v>
      </c>
      <c r="BB71">
        <v>139.80000000000001</v>
      </c>
      <c r="BC71">
        <f t="shared" si="50"/>
        <v>137.93333333333334</v>
      </c>
      <c r="BD71">
        <v>142.19999999999999</v>
      </c>
      <c r="BE71">
        <f t="shared" si="51"/>
        <v>142.26666666666668</v>
      </c>
    </row>
    <row r="72" spans="1:57">
      <c r="A72" t="s">
        <v>30</v>
      </c>
      <c r="B72">
        <v>2018</v>
      </c>
      <c r="C72" t="s">
        <v>45</v>
      </c>
      <c r="D72">
        <v>137.1</v>
      </c>
      <c r="E72">
        <f t="shared" si="26"/>
        <v>138.60000000000002</v>
      </c>
      <c r="F72">
        <v>150.80000000000001</v>
      </c>
      <c r="G72">
        <f t="shared" si="27"/>
        <v>148.53333333333333</v>
      </c>
      <c r="H72">
        <v>136.69999999999999</v>
      </c>
      <c r="I72">
        <f t="shared" si="28"/>
        <v>135.96666666666667</v>
      </c>
      <c r="J72">
        <v>141.9</v>
      </c>
      <c r="K72">
        <f t="shared" si="29"/>
        <v>142.5</v>
      </c>
      <c r="L72">
        <v>122.8</v>
      </c>
      <c r="M72">
        <f t="shared" si="30"/>
        <v>123.63333333333333</v>
      </c>
      <c r="N72">
        <v>143.9</v>
      </c>
      <c r="O72">
        <f t="shared" si="31"/>
        <v>146.16666666666666</v>
      </c>
      <c r="P72">
        <v>147.5</v>
      </c>
      <c r="Q72">
        <f t="shared" si="32"/>
        <v>148.16666666666666</v>
      </c>
      <c r="R72">
        <v>121</v>
      </c>
      <c r="S72">
        <f t="shared" si="33"/>
        <v>122.60000000000001</v>
      </c>
      <c r="T72">
        <v>111.6</v>
      </c>
      <c r="U72">
        <f t="shared" si="34"/>
        <v>112.76666666666665</v>
      </c>
      <c r="V72">
        <v>140.6</v>
      </c>
      <c r="W72">
        <f t="shared" si="35"/>
        <v>139.6</v>
      </c>
      <c r="X72">
        <v>137.5</v>
      </c>
      <c r="Y72">
        <f t="shared" si="36"/>
        <v>135.06666666666666</v>
      </c>
      <c r="Z72">
        <v>156.1</v>
      </c>
      <c r="AA72">
        <f t="shared" si="37"/>
        <v>155.73333333333335</v>
      </c>
      <c r="AB72">
        <v>140</v>
      </c>
      <c r="AC72">
        <f t="shared" si="38"/>
        <v>140.5</v>
      </c>
      <c r="AD72">
        <v>161.9</v>
      </c>
      <c r="AE72">
        <f t="shared" si="39"/>
        <v>159.73333333333332</v>
      </c>
      <c r="AF72">
        <v>151.69999999999999</v>
      </c>
      <c r="AG72">
        <f t="shared" si="40"/>
        <v>151.49999999999997</v>
      </c>
      <c r="AH72">
        <v>145.5</v>
      </c>
      <c r="AI72">
        <f t="shared" si="41"/>
        <v>145.36666666666667</v>
      </c>
      <c r="AJ72">
        <v>150.80000000000001</v>
      </c>
      <c r="AK72">
        <f t="shared" si="42"/>
        <v>150.63333333333335</v>
      </c>
      <c r="AL72" t="s">
        <v>32</v>
      </c>
      <c r="AN72">
        <v>150.30000000000001</v>
      </c>
      <c r="AO72">
        <f t="shared" si="43"/>
        <v>149.66666666666666</v>
      </c>
      <c r="AP72">
        <v>148</v>
      </c>
      <c r="AQ72">
        <f t="shared" si="44"/>
        <v>146.5</v>
      </c>
      <c r="AR72">
        <v>145.4</v>
      </c>
      <c r="AS72">
        <f t="shared" si="45"/>
        <v>143.4</v>
      </c>
      <c r="AT72">
        <v>130.30000000000001</v>
      </c>
      <c r="AU72">
        <f t="shared" si="46"/>
        <v>130.33333333333334</v>
      </c>
      <c r="AV72">
        <v>143.1</v>
      </c>
      <c r="AW72">
        <f t="shared" si="47"/>
        <v>141.06666666666669</v>
      </c>
      <c r="AX72">
        <v>150.19999999999999</v>
      </c>
      <c r="AY72">
        <f t="shared" si="48"/>
        <v>148.6</v>
      </c>
      <c r="AZ72">
        <v>133.1</v>
      </c>
      <c r="BA72">
        <f t="shared" si="49"/>
        <v>133.16666666666666</v>
      </c>
      <c r="BB72">
        <v>140.1</v>
      </c>
      <c r="BC72">
        <f t="shared" si="50"/>
        <v>139.10000000000002</v>
      </c>
      <c r="BD72">
        <v>142.4</v>
      </c>
      <c r="BE72">
        <f t="shared" si="51"/>
        <v>142.23333333333332</v>
      </c>
    </row>
    <row r="73" spans="1:57">
      <c r="A73" t="s">
        <v>30</v>
      </c>
      <c r="B73">
        <v>2018</v>
      </c>
      <c r="C73" t="s">
        <v>46</v>
      </c>
      <c r="D73">
        <v>137.1</v>
      </c>
      <c r="E73">
        <f t="shared" si="26"/>
        <v>137.83333333333334</v>
      </c>
      <c r="F73">
        <v>151.9</v>
      </c>
      <c r="G73">
        <f t="shared" si="27"/>
        <v>150.1</v>
      </c>
      <c r="H73">
        <v>137.4</v>
      </c>
      <c r="I73">
        <f t="shared" si="28"/>
        <v>136.23333333333332</v>
      </c>
      <c r="J73">
        <v>142.4</v>
      </c>
      <c r="K73">
        <f t="shared" si="29"/>
        <v>142.06666666666669</v>
      </c>
      <c r="L73">
        <v>124.2</v>
      </c>
      <c r="M73">
        <f t="shared" si="30"/>
        <v>123.5</v>
      </c>
      <c r="N73">
        <v>140.19999999999999</v>
      </c>
      <c r="O73">
        <f t="shared" si="31"/>
        <v>142.86666666666665</v>
      </c>
      <c r="P73">
        <v>136.6</v>
      </c>
      <c r="Q73">
        <f t="shared" si="32"/>
        <v>143.9</v>
      </c>
      <c r="R73">
        <v>120.9</v>
      </c>
      <c r="S73">
        <f t="shared" si="33"/>
        <v>121.10000000000001</v>
      </c>
      <c r="T73">
        <v>109.9</v>
      </c>
      <c r="U73">
        <f t="shared" si="34"/>
        <v>111.26666666666665</v>
      </c>
      <c r="V73">
        <v>140.19999999999999</v>
      </c>
      <c r="W73">
        <f t="shared" si="35"/>
        <v>140.1</v>
      </c>
      <c r="X73">
        <v>137.80000000000001</v>
      </c>
      <c r="Y73">
        <f t="shared" si="36"/>
        <v>136.63333333333335</v>
      </c>
      <c r="Z73">
        <v>156</v>
      </c>
      <c r="AA73">
        <f t="shared" si="37"/>
        <v>155.76666666666665</v>
      </c>
      <c r="AB73">
        <v>138.5</v>
      </c>
      <c r="AC73">
        <f t="shared" si="38"/>
        <v>139.56666666666666</v>
      </c>
      <c r="AD73">
        <v>162.4</v>
      </c>
      <c r="AE73">
        <f t="shared" si="39"/>
        <v>161.29999999999998</v>
      </c>
      <c r="AF73">
        <v>151.6</v>
      </c>
      <c r="AG73">
        <f t="shared" si="40"/>
        <v>151.33333333333334</v>
      </c>
      <c r="AH73">
        <v>145.9</v>
      </c>
      <c r="AI73">
        <f t="shared" si="41"/>
        <v>145.29999999999998</v>
      </c>
      <c r="AJ73">
        <v>150.80000000000001</v>
      </c>
      <c r="AK73">
        <f t="shared" si="42"/>
        <v>150.46666666666667</v>
      </c>
      <c r="AL73" t="s">
        <v>32</v>
      </c>
      <c r="AN73">
        <v>149</v>
      </c>
      <c r="AO73">
        <f t="shared" si="43"/>
        <v>149.66666666666666</v>
      </c>
      <c r="AP73">
        <v>149.5</v>
      </c>
      <c r="AQ73">
        <f t="shared" si="44"/>
        <v>148.33333333333334</v>
      </c>
      <c r="AR73">
        <v>149.6</v>
      </c>
      <c r="AS73">
        <f t="shared" si="45"/>
        <v>146.60000000000002</v>
      </c>
      <c r="AT73">
        <v>128.9</v>
      </c>
      <c r="AU73">
        <f t="shared" si="46"/>
        <v>130</v>
      </c>
      <c r="AV73">
        <v>143.30000000000001</v>
      </c>
      <c r="AW73">
        <f t="shared" si="47"/>
        <v>142.16666666666666</v>
      </c>
      <c r="AX73">
        <v>155.1</v>
      </c>
      <c r="AY73">
        <f t="shared" si="48"/>
        <v>151.1</v>
      </c>
      <c r="AZ73">
        <v>133.19999999999999</v>
      </c>
      <c r="BA73">
        <f t="shared" si="49"/>
        <v>133.56666666666666</v>
      </c>
      <c r="BB73">
        <v>141.6</v>
      </c>
      <c r="BC73">
        <f t="shared" si="50"/>
        <v>140.5</v>
      </c>
      <c r="BD73">
        <v>141.9</v>
      </c>
      <c r="BE73">
        <f t="shared" si="51"/>
        <v>142.16666666666666</v>
      </c>
    </row>
    <row r="74" spans="1:57">
      <c r="A74" t="s">
        <v>30</v>
      </c>
      <c r="B74">
        <v>2019</v>
      </c>
      <c r="C74" t="s">
        <v>31</v>
      </c>
      <c r="D74">
        <v>136.6</v>
      </c>
      <c r="E74">
        <f t="shared" si="26"/>
        <v>136.93333333333331</v>
      </c>
      <c r="F74">
        <v>152.5</v>
      </c>
      <c r="G74">
        <f t="shared" si="27"/>
        <v>151.73333333333335</v>
      </c>
      <c r="H74">
        <v>138.19999999999999</v>
      </c>
      <c r="I74">
        <f t="shared" si="28"/>
        <v>137.43333333333334</v>
      </c>
      <c r="J74">
        <v>142.4</v>
      </c>
      <c r="K74">
        <f t="shared" si="29"/>
        <v>142.23333333333335</v>
      </c>
      <c r="L74">
        <v>123.9</v>
      </c>
      <c r="M74">
        <f t="shared" si="30"/>
        <v>123.63333333333333</v>
      </c>
      <c r="N74">
        <v>135.5</v>
      </c>
      <c r="O74">
        <f t="shared" si="31"/>
        <v>139.86666666666667</v>
      </c>
      <c r="P74">
        <v>131.69999999999999</v>
      </c>
      <c r="Q74">
        <f t="shared" si="32"/>
        <v>138.6</v>
      </c>
      <c r="R74">
        <v>121.3</v>
      </c>
      <c r="S74">
        <f t="shared" si="33"/>
        <v>121.06666666666666</v>
      </c>
      <c r="T74">
        <v>108.4</v>
      </c>
      <c r="U74">
        <f t="shared" si="34"/>
        <v>109.96666666666665</v>
      </c>
      <c r="V74">
        <v>138.9</v>
      </c>
      <c r="W74">
        <f t="shared" si="35"/>
        <v>139.89999999999998</v>
      </c>
      <c r="X74">
        <v>137</v>
      </c>
      <c r="Y74">
        <f t="shared" si="36"/>
        <v>137.43333333333334</v>
      </c>
      <c r="Z74">
        <v>155.80000000000001</v>
      </c>
      <c r="AA74">
        <f t="shared" si="37"/>
        <v>155.96666666666667</v>
      </c>
      <c r="AB74">
        <v>137.4</v>
      </c>
      <c r="AC74">
        <f t="shared" si="38"/>
        <v>138.63333333333333</v>
      </c>
      <c r="AD74">
        <v>162.69999999999999</v>
      </c>
      <c r="AE74">
        <f t="shared" si="39"/>
        <v>162.33333333333334</v>
      </c>
      <c r="AF74">
        <v>150.6</v>
      </c>
      <c r="AG74">
        <f t="shared" si="40"/>
        <v>151.29999999999998</v>
      </c>
      <c r="AH74">
        <v>145.1</v>
      </c>
      <c r="AI74">
        <f t="shared" si="41"/>
        <v>145.5</v>
      </c>
      <c r="AJ74">
        <v>149.9</v>
      </c>
      <c r="AK74">
        <f t="shared" si="42"/>
        <v>150.5</v>
      </c>
      <c r="AL74" t="s">
        <v>32</v>
      </c>
      <c r="AN74">
        <v>146.19999999999999</v>
      </c>
      <c r="AO74">
        <f t="shared" si="43"/>
        <v>148.5</v>
      </c>
      <c r="AP74">
        <v>150.1</v>
      </c>
      <c r="AQ74">
        <f t="shared" si="44"/>
        <v>149.20000000000002</v>
      </c>
      <c r="AR74">
        <v>149.6</v>
      </c>
      <c r="AS74">
        <f t="shared" si="45"/>
        <v>148.20000000000002</v>
      </c>
      <c r="AT74">
        <v>128.6</v>
      </c>
      <c r="AU74">
        <f t="shared" si="46"/>
        <v>129.26666666666668</v>
      </c>
      <c r="AV74">
        <v>142.9</v>
      </c>
      <c r="AW74">
        <f t="shared" si="47"/>
        <v>143.1</v>
      </c>
      <c r="AX74">
        <v>155.19999999999999</v>
      </c>
      <c r="AY74">
        <f t="shared" si="48"/>
        <v>153.49999999999997</v>
      </c>
      <c r="AZ74">
        <v>133.5</v>
      </c>
      <c r="BA74">
        <f t="shared" si="49"/>
        <v>133.26666666666665</v>
      </c>
      <c r="BB74">
        <v>141.69999999999999</v>
      </c>
      <c r="BC74">
        <f t="shared" si="50"/>
        <v>141.13333333333333</v>
      </c>
      <c r="BD74">
        <v>141</v>
      </c>
      <c r="BE74">
        <f t="shared" si="51"/>
        <v>141.76666666666668</v>
      </c>
    </row>
    <row r="75" spans="1:57">
      <c r="A75" t="s">
        <v>30</v>
      </c>
      <c r="B75">
        <v>2019</v>
      </c>
      <c r="C75" t="s">
        <v>35</v>
      </c>
      <c r="D75">
        <v>136.80000000000001</v>
      </c>
      <c r="E75">
        <f t="shared" si="26"/>
        <v>136.83333333333334</v>
      </c>
      <c r="F75">
        <v>153</v>
      </c>
      <c r="G75">
        <f t="shared" si="27"/>
        <v>152.46666666666667</v>
      </c>
      <c r="H75">
        <v>139.1</v>
      </c>
      <c r="I75">
        <f t="shared" si="28"/>
        <v>138.23333333333335</v>
      </c>
      <c r="J75">
        <v>142.5</v>
      </c>
      <c r="K75">
        <f t="shared" si="29"/>
        <v>142.43333333333334</v>
      </c>
      <c r="L75">
        <v>124.1</v>
      </c>
      <c r="M75">
        <f t="shared" si="30"/>
        <v>124.06666666666668</v>
      </c>
      <c r="N75">
        <v>135.80000000000001</v>
      </c>
      <c r="O75">
        <f t="shared" si="31"/>
        <v>137.16666666666666</v>
      </c>
      <c r="P75">
        <v>128.69999999999999</v>
      </c>
      <c r="Q75">
        <f t="shared" si="32"/>
        <v>132.33333333333331</v>
      </c>
      <c r="R75">
        <v>121.5</v>
      </c>
      <c r="S75">
        <f t="shared" si="33"/>
        <v>121.23333333333333</v>
      </c>
      <c r="T75">
        <v>108.3</v>
      </c>
      <c r="U75">
        <f t="shared" si="34"/>
        <v>108.86666666666667</v>
      </c>
      <c r="V75">
        <v>139.19999999999999</v>
      </c>
      <c r="W75">
        <f t="shared" si="35"/>
        <v>139.43333333333334</v>
      </c>
      <c r="X75">
        <v>137.4</v>
      </c>
      <c r="Y75">
        <f t="shared" si="36"/>
        <v>137.4</v>
      </c>
      <c r="Z75">
        <v>156.19999999999999</v>
      </c>
      <c r="AA75">
        <f t="shared" si="37"/>
        <v>156</v>
      </c>
      <c r="AB75">
        <v>137.19999999999999</v>
      </c>
      <c r="AC75">
        <f t="shared" si="38"/>
        <v>137.69999999999999</v>
      </c>
      <c r="AD75">
        <v>162.80000000000001</v>
      </c>
      <c r="AE75">
        <f t="shared" si="39"/>
        <v>162.63333333333335</v>
      </c>
      <c r="AF75">
        <v>150.5</v>
      </c>
      <c r="AG75">
        <f t="shared" si="40"/>
        <v>150.9</v>
      </c>
      <c r="AH75">
        <v>146.1</v>
      </c>
      <c r="AI75">
        <f t="shared" si="41"/>
        <v>145.70000000000002</v>
      </c>
      <c r="AJ75">
        <v>149.9</v>
      </c>
      <c r="AK75">
        <f t="shared" si="42"/>
        <v>150.20000000000002</v>
      </c>
      <c r="AL75" t="s">
        <v>32</v>
      </c>
      <c r="AN75">
        <v>145.30000000000001</v>
      </c>
      <c r="AO75">
        <f t="shared" si="43"/>
        <v>146.83333333333334</v>
      </c>
      <c r="AP75">
        <v>150.1</v>
      </c>
      <c r="AQ75">
        <f t="shared" si="44"/>
        <v>149.9</v>
      </c>
      <c r="AR75">
        <v>149.9</v>
      </c>
      <c r="AS75">
        <f t="shared" si="45"/>
        <v>149.70000000000002</v>
      </c>
      <c r="AT75">
        <v>129.19999999999999</v>
      </c>
      <c r="AU75">
        <f t="shared" si="46"/>
        <v>128.9</v>
      </c>
      <c r="AV75">
        <v>143.4</v>
      </c>
      <c r="AW75">
        <f t="shared" si="47"/>
        <v>143.20000000000002</v>
      </c>
      <c r="AX75">
        <v>155.5</v>
      </c>
      <c r="AY75">
        <f t="shared" si="48"/>
        <v>155.26666666666665</v>
      </c>
      <c r="AZ75">
        <v>134.9</v>
      </c>
      <c r="BA75">
        <f t="shared" si="49"/>
        <v>133.86666666666667</v>
      </c>
      <c r="BB75">
        <v>142.19999999999999</v>
      </c>
      <c r="BC75">
        <f t="shared" si="50"/>
        <v>141.83333333333331</v>
      </c>
      <c r="BD75">
        <v>141</v>
      </c>
      <c r="BE75">
        <f t="shared" si="51"/>
        <v>141.29999999999998</v>
      </c>
    </row>
    <row r="76" spans="1:57">
      <c r="A76" t="s">
        <v>30</v>
      </c>
      <c r="B76">
        <v>2019</v>
      </c>
      <c r="C76" t="s">
        <v>36</v>
      </c>
      <c r="D76">
        <v>136.9</v>
      </c>
      <c r="E76">
        <f t="shared" si="26"/>
        <v>136.76666666666665</v>
      </c>
      <c r="F76">
        <v>154.1</v>
      </c>
      <c r="G76">
        <f t="shared" si="27"/>
        <v>153.20000000000002</v>
      </c>
      <c r="H76">
        <v>138.69999999999999</v>
      </c>
      <c r="I76">
        <f t="shared" si="28"/>
        <v>138.66666666666666</v>
      </c>
      <c r="J76">
        <v>142.5</v>
      </c>
      <c r="K76">
        <f t="shared" si="29"/>
        <v>142.46666666666667</v>
      </c>
      <c r="L76">
        <v>124.1</v>
      </c>
      <c r="M76">
        <f t="shared" si="30"/>
        <v>124.03333333333335</v>
      </c>
      <c r="N76">
        <v>136.1</v>
      </c>
      <c r="O76">
        <f t="shared" si="31"/>
        <v>135.79999999999998</v>
      </c>
      <c r="P76">
        <v>128.19999999999999</v>
      </c>
      <c r="Q76">
        <f t="shared" si="32"/>
        <v>129.53333333333333</v>
      </c>
      <c r="R76">
        <v>122.3</v>
      </c>
      <c r="S76">
        <f t="shared" si="33"/>
        <v>121.7</v>
      </c>
      <c r="T76">
        <v>108.3</v>
      </c>
      <c r="U76">
        <f t="shared" si="34"/>
        <v>108.33333333333333</v>
      </c>
      <c r="V76">
        <v>138.9</v>
      </c>
      <c r="W76">
        <f t="shared" si="35"/>
        <v>139</v>
      </c>
      <c r="X76">
        <v>137.4</v>
      </c>
      <c r="Y76">
        <f t="shared" si="36"/>
        <v>137.26666666666665</v>
      </c>
      <c r="Z76">
        <v>156.4</v>
      </c>
      <c r="AA76">
        <f t="shared" si="37"/>
        <v>156.13333333333333</v>
      </c>
      <c r="AB76">
        <v>137.30000000000001</v>
      </c>
      <c r="AC76">
        <f t="shared" si="38"/>
        <v>137.30000000000001</v>
      </c>
      <c r="AD76">
        <v>162.9</v>
      </c>
      <c r="AE76">
        <f t="shared" si="39"/>
        <v>162.79999999999998</v>
      </c>
      <c r="AF76">
        <v>150.80000000000001</v>
      </c>
      <c r="AG76">
        <f t="shared" si="40"/>
        <v>150.63333333333335</v>
      </c>
      <c r="AH76">
        <v>146.1</v>
      </c>
      <c r="AI76">
        <f t="shared" si="41"/>
        <v>145.76666666666665</v>
      </c>
      <c r="AJ76">
        <v>150.1</v>
      </c>
      <c r="AK76">
        <f t="shared" si="42"/>
        <v>149.96666666666667</v>
      </c>
      <c r="AL76" t="s">
        <v>32</v>
      </c>
      <c r="AN76">
        <v>146.4</v>
      </c>
      <c r="AO76">
        <f t="shared" si="43"/>
        <v>145.96666666666667</v>
      </c>
      <c r="AP76">
        <v>150</v>
      </c>
      <c r="AQ76">
        <f t="shared" si="44"/>
        <v>150.06666666666666</v>
      </c>
      <c r="AR76">
        <v>150.4</v>
      </c>
      <c r="AS76">
        <f t="shared" si="45"/>
        <v>149.96666666666667</v>
      </c>
      <c r="AT76">
        <v>129.9</v>
      </c>
      <c r="AU76">
        <f t="shared" si="46"/>
        <v>129.23333333333332</v>
      </c>
      <c r="AV76">
        <v>143.80000000000001</v>
      </c>
      <c r="AW76">
        <f t="shared" si="47"/>
        <v>143.36666666666667</v>
      </c>
      <c r="AX76">
        <v>155.5</v>
      </c>
      <c r="AY76">
        <f t="shared" si="48"/>
        <v>155.4</v>
      </c>
      <c r="AZ76">
        <v>134</v>
      </c>
      <c r="BA76">
        <f t="shared" si="49"/>
        <v>134.13333333333333</v>
      </c>
      <c r="BB76">
        <v>142.4</v>
      </c>
      <c r="BC76">
        <f t="shared" si="50"/>
        <v>142.1</v>
      </c>
      <c r="BD76">
        <v>141.19999999999999</v>
      </c>
      <c r="BE76">
        <f t="shared" si="51"/>
        <v>141.06666666666666</v>
      </c>
    </row>
    <row r="77" spans="1:57">
      <c r="A77" t="s">
        <v>30</v>
      </c>
      <c r="B77">
        <v>2019</v>
      </c>
      <c r="C77" t="s">
        <v>38</v>
      </c>
      <c r="D77">
        <v>137.4</v>
      </c>
      <c r="E77">
        <f t="shared" si="26"/>
        <v>137.03333333333333</v>
      </c>
      <c r="F77">
        <v>159.5</v>
      </c>
      <c r="G77">
        <f t="shared" si="27"/>
        <v>155.53333333333333</v>
      </c>
      <c r="H77">
        <v>134.5</v>
      </c>
      <c r="I77">
        <f t="shared" si="28"/>
        <v>137.43333333333331</v>
      </c>
      <c r="J77">
        <v>142.6</v>
      </c>
      <c r="K77">
        <f t="shared" si="29"/>
        <v>142.53333333333333</v>
      </c>
      <c r="L77">
        <v>124</v>
      </c>
      <c r="M77">
        <f t="shared" si="30"/>
        <v>124.06666666666666</v>
      </c>
      <c r="N77">
        <v>143.69999999999999</v>
      </c>
      <c r="O77">
        <f t="shared" si="31"/>
        <v>138.53333333333333</v>
      </c>
      <c r="P77">
        <v>133.4</v>
      </c>
      <c r="Q77">
        <f t="shared" si="32"/>
        <v>130.1</v>
      </c>
      <c r="R77">
        <v>125.1</v>
      </c>
      <c r="S77">
        <f t="shared" si="33"/>
        <v>122.96666666666665</v>
      </c>
      <c r="T77">
        <v>109.3</v>
      </c>
      <c r="U77">
        <f t="shared" si="34"/>
        <v>108.63333333333333</v>
      </c>
      <c r="V77">
        <v>139.30000000000001</v>
      </c>
      <c r="W77">
        <f t="shared" si="35"/>
        <v>139.13333333333335</v>
      </c>
      <c r="X77">
        <v>137.69999999999999</v>
      </c>
      <c r="Y77">
        <f t="shared" si="36"/>
        <v>137.5</v>
      </c>
      <c r="Z77">
        <v>156.4</v>
      </c>
      <c r="AA77">
        <f t="shared" si="37"/>
        <v>156.33333333333334</v>
      </c>
      <c r="AB77">
        <v>139.19999999999999</v>
      </c>
      <c r="AC77">
        <f t="shared" si="38"/>
        <v>137.9</v>
      </c>
      <c r="AD77">
        <v>163.30000000000001</v>
      </c>
      <c r="AE77">
        <f t="shared" si="39"/>
        <v>163.00000000000003</v>
      </c>
      <c r="AF77">
        <v>151.30000000000001</v>
      </c>
      <c r="AG77">
        <f t="shared" si="40"/>
        <v>150.86666666666667</v>
      </c>
      <c r="AH77">
        <v>146.6</v>
      </c>
      <c r="AI77">
        <f t="shared" si="41"/>
        <v>146.26666666666665</v>
      </c>
      <c r="AJ77">
        <v>150.69999999999999</v>
      </c>
      <c r="AK77">
        <f t="shared" si="42"/>
        <v>150.23333333333332</v>
      </c>
      <c r="AL77" t="s">
        <v>32</v>
      </c>
      <c r="AN77">
        <v>146.9</v>
      </c>
      <c r="AO77">
        <f t="shared" si="43"/>
        <v>146.20000000000002</v>
      </c>
      <c r="AP77">
        <v>149.5</v>
      </c>
      <c r="AQ77">
        <f t="shared" si="44"/>
        <v>149.86666666666667</v>
      </c>
      <c r="AR77">
        <v>151.30000000000001</v>
      </c>
      <c r="AS77">
        <f t="shared" si="45"/>
        <v>150.53333333333333</v>
      </c>
      <c r="AT77">
        <v>130.19999999999999</v>
      </c>
      <c r="AU77">
        <f t="shared" si="46"/>
        <v>129.76666666666668</v>
      </c>
      <c r="AV77">
        <v>145.9</v>
      </c>
      <c r="AW77">
        <f t="shared" si="47"/>
        <v>144.36666666666667</v>
      </c>
      <c r="AX77">
        <v>156.69999999999999</v>
      </c>
      <c r="AY77">
        <f t="shared" si="48"/>
        <v>155.9</v>
      </c>
      <c r="AZ77">
        <v>133.9</v>
      </c>
      <c r="BA77">
        <f t="shared" si="49"/>
        <v>134.26666666666665</v>
      </c>
      <c r="BB77">
        <v>142.9</v>
      </c>
      <c r="BC77">
        <f t="shared" si="50"/>
        <v>142.5</v>
      </c>
      <c r="BD77">
        <v>142.4</v>
      </c>
      <c r="BE77">
        <f t="shared" si="51"/>
        <v>141.53333333333333</v>
      </c>
    </row>
    <row r="78" spans="1:57">
      <c r="A78" t="s">
        <v>30</v>
      </c>
      <c r="B78">
        <v>2019</v>
      </c>
      <c r="C78" t="s">
        <v>39</v>
      </c>
      <c r="D78">
        <v>137.80000000000001</v>
      </c>
      <c r="E78">
        <f t="shared" si="26"/>
        <v>137.36666666666667</v>
      </c>
      <c r="F78">
        <v>163.5</v>
      </c>
      <c r="G78">
        <f t="shared" si="27"/>
        <v>159.03333333333333</v>
      </c>
      <c r="H78">
        <v>136.19999999999999</v>
      </c>
      <c r="I78">
        <f t="shared" si="28"/>
        <v>136.46666666666667</v>
      </c>
      <c r="J78">
        <v>143.19999999999999</v>
      </c>
      <c r="K78">
        <f t="shared" si="29"/>
        <v>142.76666666666668</v>
      </c>
      <c r="L78">
        <v>124.3</v>
      </c>
      <c r="M78">
        <f t="shared" si="30"/>
        <v>124.13333333333333</v>
      </c>
      <c r="N78">
        <v>143.30000000000001</v>
      </c>
      <c r="O78">
        <f t="shared" si="31"/>
        <v>141.03333333333333</v>
      </c>
      <c r="P78">
        <v>140.6</v>
      </c>
      <c r="Q78">
        <f t="shared" si="32"/>
        <v>134.06666666666669</v>
      </c>
      <c r="R78">
        <v>128.69999999999999</v>
      </c>
      <c r="S78">
        <f t="shared" si="33"/>
        <v>125.36666666666666</v>
      </c>
      <c r="T78">
        <v>110.6</v>
      </c>
      <c r="U78">
        <f t="shared" si="34"/>
        <v>109.39999999999999</v>
      </c>
      <c r="V78">
        <v>140.4</v>
      </c>
      <c r="W78">
        <f t="shared" si="35"/>
        <v>139.53333333333333</v>
      </c>
      <c r="X78">
        <v>138</v>
      </c>
      <c r="Y78">
        <f t="shared" si="36"/>
        <v>137.70000000000002</v>
      </c>
      <c r="Z78">
        <v>156.6</v>
      </c>
      <c r="AA78">
        <f t="shared" si="37"/>
        <v>156.46666666666667</v>
      </c>
      <c r="AB78">
        <v>141</v>
      </c>
      <c r="AC78">
        <f t="shared" si="38"/>
        <v>139.16666666666666</v>
      </c>
      <c r="AD78">
        <v>164.2</v>
      </c>
      <c r="AE78">
        <f t="shared" si="39"/>
        <v>163.46666666666667</v>
      </c>
      <c r="AF78">
        <v>151.4</v>
      </c>
      <c r="AG78">
        <f t="shared" si="40"/>
        <v>151.16666666666666</v>
      </c>
      <c r="AH78">
        <v>146.5</v>
      </c>
      <c r="AI78">
        <f t="shared" si="41"/>
        <v>146.4</v>
      </c>
      <c r="AJ78">
        <v>150.69999999999999</v>
      </c>
      <c r="AK78">
        <f t="shared" si="42"/>
        <v>150.49999999999997</v>
      </c>
      <c r="AL78" t="s">
        <v>32</v>
      </c>
      <c r="AN78">
        <v>147.80000000000001</v>
      </c>
      <c r="AO78">
        <f t="shared" si="43"/>
        <v>147.03333333333333</v>
      </c>
      <c r="AP78">
        <v>149.6</v>
      </c>
      <c r="AQ78">
        <f t="shared" si="44"/>
        <v>149.70000000000002</v>
      </c>
      <c r="AR78">
        <v>151.69999999999999</v>
      </c>
      <c r="AS78">
        <f t="shared" si="45"/>
        <v>151.13333333333335</v>
      </c>
      <c r="AT78">
        <v>130.19999999999999</v>
      </c>
      <c r="AU78">
        <f t="shared" si="46"/>
        <v>130.1</v>
      </c>
      <c r="AV78">
        <v>146.4</v>
      </c>
      <c r="AW78">
        <f t="shared" si="47"/>
        <v>145.36666666666667</v>
      </c>
      <c r="AX78">
        <v>157.69999999999999</v>
      </c>
      <c r="AY78">
        <f t="shared" si="48"/>
        <v>156.63333333333333</v>
      </c>
      <c r="AZ78">
        <v>134.80000000000001</v>
      </c>
      <c r="BA78">
        <f t="shared" si="49"/>
        <v>134.23333333333332</v>
      </c>
      <c r="BB78">
        <v>143.30000000000001</v>
      </c>
      <c r="BC78">
        <f t="shared" si="50"/>
        <v>142.86666666666667</v>
      </c>
      <c r="BD78">
        <v>143.6</v>
      </c>
      <c r="BE78">
        <f t="shared" si="51"/>
        <v>142.4</v>
      </c>
    </row>
    <row r="79" spans="1:57">
      <c r="A79" t="s">
        <v>30</v>
      </c>
      <c r="B79">
        <v>2019</v>
      </c>
      <c r="C79" t="s">
        <v>40</v>
      </c>
      <c r="D79">
        <v>138.4</v>
      </c>
      <c r="E79">
        <f t="shared" si="26"/>
        <v>137.86666666666667</v>
      </c>
      <c r="F79">
        <v>164</v>
      </c>
      <c r="G79">
        <f t="shared" si="27"/>
        <v>162.33333333333334</v>
      </c>
      <c r="H79">
        <v>138.4</v>
      </c>
      <c r="I79">
        <f t="shared" si="28"/>
        <v>136.36666666666667</v>
      </c>
      <c r="J79">
        <v>143.9</v>
      </c>
      <c r="K79">
        <f t="shared" si="29"/>
        <v>143.23333333333332</v>
      </c>
      <c r="L79">
        <v>124.4</v>
      </c>
      <c r="M79">
        <f t="shared" si="30"/>
        <v>124.23333333333335</v>
      </c>
      <c r="N79">
        <v>146.4</v>
      </c>
      <c r="O79">
        <f t="shared" si="31"/>
        <v>144.46666666666667</v>
      </c>
      <c r="P79">
        <v>150.1</v>
      </c>
      <c r="Q79">
        <f t="shared" si="32"/>
        <v>141.36666666666667</v>
      </c>
      <c r="R79">
        <v>130.6</v>
      </c>
      <c r="S79">
        <f t="shared" si="33"/>
        <v>128.13333333333333</v>
      </c>
      <c r="T79">
        <v>110.8</v>
      </c>
      <c r="U79">
        <f t="shared" si="34"/>
        <v>110.23333333333333</v>
      </c>
      <c r="V79">
        <v>141.69999999999999</v>
      </c>
      <c r="W79">
        <f t="shared" si="35"/>
        <v>140.46666666666667</v>
      </c>
      <c r="X79">
        <v>138.5</v>
      </c>
      <c r="Y79">
        <f t="shared" si="36"/>
        <v>138.06666666666666</v>
      </c>
      <c r="Z79">
        <v>156.69999999999999</v>
      </c>
      <c r="AA79">
        <f t="shared" si="37"/>
        <v>156.56666666666666</v>
      </c>
      <c r="AB79">
        <v>143</v>
      </c>
      <c r="AC79">
        <f t="shared" si="38"/>
        <v>141.06666666666666</v>
      </c>
      <c r="AD79">
        <v>164.5</v>
      </c>
      <c r="AE79">
        <f t="shared" si="39"/>
        <v>164</v>
      </c>
      <c r="AF79">
        <v>151.6</v>
      </c>
      <c r="AG79">
        <f t="shared" si="40"/>
        <v>151.43333333333337</v>
      </c>
      <c r="AH79">
        <v>146.6</v>
      </c>
      <c r="AI79">
        <f t="shared" si="41"/>
        <v>146.56666666666669</v>
      </c>
      <c r="AJ79">
        <v>150.9</v>
      </c>
      <c r="AK79">
        <f t="shared" si="42"/>
        <v>150.76666666666665</v>
      </c>
      <c r="AL79" t="s">
        <v>32</v>
      </c>
      <c r="AN79">
        <v>146.80000000000001</v>
      </c>
      <c r="AO79">
        <f t="shared" si="43"/>
        <v>147.16666666666669</v>
      </c>
      <c r="AP79">
        <v>150</v>
      </c>
      <c r="AQ79">
        <f t="shared" si="44"/>
        <v>149.70000000000002</v>
      </c>
      <c r="AR79">
        <v>152.19999999999999</v>
      </c>
      <c r="AS79">
        <f t="shared" si="45"/>
        <v>151.73333333333332</v>
      </c>
      <c r="AT79">
        <v>131.19999999999999</v>
      </c>
      <c r="AU79">
        <f t="shared" si="46"/>
        <v>130.53333333333333</v>
      </c>
      <c r="AV79">
        <v>147.5</v>
      </c>
      <c r="AW79">
        <f t="shared" si="47"/>
        <v>146.6</v>
      </c>
      <c r="AX79">
        <v>159.1</v>
      </c>
      <c r="AY79">
        <f t="shared" si="48"/>
        <v>157.83333333333334</v>
      </c>
      <c r="AZ79">
        <v>136.1</v>
      </c>
      <c r="BA79">
        <f t="shared" si="49"/>
        <v>134.93333333333337</v>
      </c>
      <c r="BB79">
        <v>144.19999999999999</v>
      </c>
      <c r="BC79">
        <f t="shared" si="50"/>
        <v>143.46666666666667</v>
      </c>
      <c r="BD79">
        <v>144.9</v>
      </c>
      <c r="BE79">
        <f t="shared" si="51"/>
        <v>143.63333333333333</v>
      </c>
    </row>
    <row r="80" spans="1:57">
      <c r="A80" t="s">
        <v>30</v>
      </c>
      <c r="B80">
        <v>2019</v>
      </c>
      <c r="C80" t="s">
        <v>41</v>
      </c>
      <c r="D80">
        <v>139.19999999999999</v>
      </c>
      <c r="E80">
        <f t="shared" si="26"/>
        <v>138.46666666666667</v>
      </c>
      <c r="F80">
        <v>161.9</v>
      </c>
      <c r="G80">
        <f t="shared" si="27"/>
        <v>163.13333333333333</v>
      </c>
      <c r="H80">
        <v>137.1</v>
      </c>
      <c r="I80">
        <f t="shared" si="28"/>
        <v>137.23333333333335</v>
      </c>
      <c r="J80">
        <v>144.6</v>
      </c>
      <c r="K80">
        <f t="shared" si="29"/>
        <v>143.9</v>
      </c>
      <c r="L80">
        <v>124.7</v>
      </c>
      <c r="M80">
        <f t="shared" si="30"/>
        <v>124.46666666666665</v>
      </c>
      <c r="N80">
        <v>145.5</v>
      </c>
      <c r="O80">
        <f t="shared" si="31"/>
        <v>145.06666666666669</v>
      </c>
      <c r="P80">
        <v>156.19999999999999</v>
      </c>
      <c r="Q80">
        <f t="shared" si="32"/>
        <v>148.96666666666667</v>
      </c>
      <c r="R80">
        <v>131.5</v>
      </c>
      <c r="S80">
        <f t="shared" si="33"/>
        <v>130.26666666666665</v>
      </c>
      <c r="T80">
        <v>111.7</v>
      </c>
      <c r="U80">
        <f t="shared" si="34"/>
        <v>111.03333333333332</v>
      </c>
      <c r="V80">
        <v>142.69999999999999</v>
      </c>
      <c r="W80">
        <f t="shared" si="35"/>
        <v>141.6</v>
      </c>
      <c r="X80">
        <v>138.5</v>
      </c>
      <c r="Y80">
        <f t="shared" si="36"/>
        <v>138.33333333333334</v>
      </c>
      <c r="Z80">
        <v>156.9</v>
      </c>
      <c r="AA80">
        <f t="shared" si="37"/>
        <v>156.73333333333332</v>
      </c>
      <c r="AB80">
        <v>144</v>
      </c>
      <c r="AC80">
        <f t="shared" si="38"/>
        <v>142.66666666666666</v>
      </c>
      <c r="AD80">
        <v>165.1</v>
      </c>
      <c r="AE80">
        <f t="shared" si="39"/>
        <v>164.6</v>
      </c>
      <c r="AF80">
        <v>151.80000000000001</v>
      </c>
      <c r="AG80">
        <f t="shared" si="40"/>
        <v>151.6</v>
      </c>
      <c r="AH80">
        <v>146.6</v>
      </c>
      <c r="AI80">
        <f t="shared" si="41"/>
        <v>146.56666666666669</v>
      </c>
      <c r="AJ80">
        <v>151.1</v>
      </c>
      <c r="AK80">
        <f t="shared" si="42"/>
        <v>150.9</v>
      </c>
      <c r="AL80" t="s">
        <v>32</v>
      </c>
      <c r="AN80">
        <v>146.4</v>
      </c>
      <c r="AO80">
        <f t="shared" si="43"/>
        <v>147</v>
      </c>
      <c r="AP80">
        <v>150.19999999999999</v>
      </c>
      <c r="AQ80">
        <f t="shared" si="44"/>
        <v>149.93333333333334</v>
      </c>
      <c r="AR80">
        <v>152.69999999999999</v>
      </c>
      <c r="AS80">
        <f t="shared" si="45"/>
        <v>152.19999999999999</v>
      </c>
      <c r="AT80">
        <v>131.4</v>
      </c>
      <c r="AU80">
        <f t="shared" si="46"/>
        <v>130.93333333333331</v>
      </c>
      <c r="AV80">
        <v>148</v>
      </c>
      <c r="AW80">
        <f t="shared" si="47"/>
        <v>147.29999999999998</v>
      </c>
      <c r="AX80">
        <v>159.69999999999999</v>
      </c>
      <c r="AY80">
        <f t="shared" si="48"/>
        <v>158.83333333333331</v>
      </c>
      <c r="AZ80">
        <v>138.80000000000001</v>
      </c>
      <c r="BA80">
        <f t="shared" si="49"/>
        <v>136.56666666666666</v>
      </c>
      <c r="BB80">
        <v>144.9</v>
      </c>
      <c r="BC80">
        <f t="shared" si="50"/>
        <v>144.13333333333333</v>
      </c>
      <c r="BD80">
        <v>145.69999999999999</v>
      </c>
      <c r="BE80">
        <f t="shared" si="51"/>
        <v>144.73333333333332</v>
      </c>
    </row>
    <row r="81" spans="1:57">
      <c r="A81" t="s">
        <v>30</v>
      </c>
      <c r="B81">
        <v>2019</v>
      </c>
      <c r="C81" t="s">
        <v>42</v>
      </c>
      <c r="D81">
        <v>140.1</v>
      </c>
      <c r="E81">
        <f t="shared" si="26"/>
        <v>139.23333333333335</v>
      </c>
      <c r="F81">
        <v>161.9</v>
      </c>
      <c r="G81">
        <f t="shared" si="27"/>
        <v>162.6</v>
      </c>
      <c r="H81">
        <v>138.30000000000001</v>
      </c>
      <c r="I81">
        <f t="shared" si="28"/>
        <v>137.93333333333334</v>
      </c>
      <c r="J81">
        <v>145.69999999999999</v>
      </c>
      <c r="K81">
        <f t="shared" si="29"/>
        <v>144.73333333333332</v>
      </c>
      <c r="L81">
        <v>125.1</v>
      </c>
      <c r="M81">
        <f t="shared" si="30"/>
        <v>124.73333333333335</v>
      </c>
      <c r="N81">
        <v>143.80000000000001</v>
      </c>
      <c r="O81">
        <f t="shared" si="31"/>
        <v>145.23333333333332</v>
      </c>
      <c r="P81">
        <v>163.4</v>
      </c>
      <c r="Q81">
        <f t="shared" si="32"/>
        <v>156.56666666666663</v>
      </c>
      <c r="R81">
        <v>132.19999999999999</v>
      </c>
      <c r="S81">
        <f t="shared" si="33"/>
        <v>131.43333333333334</v>
      </c>
      <c r="T81">
        <v>112.8</v>
      </c>
      <c r="U81">
        <f t="shared" si="34"/>
        <v>111.76666666666667</v>
      </c>
      <c r="V81">
        <v>144.19999999999999</v>
      </c>
      <c r="W81">
        <f t="shared" si="35"/>
        <v>142.86666666666665</v>
      </c>
      <c r="X81">
        <v>138.5</v>
      </c>
      <c r="Y81">
        <f t="shared" si="36"/>
        <v>138.5</v>
      </c>
      <c r="Z81">
        <v>157.19999999999999</v>
      </c>
      <c r="AA81">
        <f t="shared" si="37"/>
        <v>156.93333333333334</v>
      </c>
      <c r="AB81">
        <v>145.5</v>
      </c>
      <c r="AC81">
        <f t="shared" si="38"/>
        <v>144.16666666666666</v>
      </c>
      <c r="AD81">
        <v>165.7</v>
      </c>
      <c r="AE81">
        <f t="shared" si="39"/>
        <v>165.1</v>
      </c>
      <c r="AF81">
        <v>151.69999999999999</v>
      </c>
      <c r="AG81">
        <f t="shared" si="40"/>
        <v>151.69999999999999</v>
      </c>
      <c r="AH81">
        <v>146.6</v>
      </c>
      <c r="AI81">
        <f t="shared" si="41"/>
        <v>146.6</v>
      </c>
      <c r="AJ81">
        <v>151</v>
      </c>
      <c r="AK81">
        <f t="shared" si="42"/>
        <v>151</v>
      </c>
      <c r="AL81" t="s">
        <v>32</v>
      </c>
      <c r="AN81">
        <v>146.9</v>
      </c>
      <c r="AO81">
        <f t="shared" si="43"/>
        <v>146.70000000000002</v>
      </c>
      <c r="AP81">
        <v>150.30000000000001</v>
      </c>
      <c r="AQ81">
        <f t="shared" si="44"/>
        <v>150.16666666666666</v>
      </c>
      <c r="AR81">
        <v>153.4</v>
      </c>
      <c r="AS81">
        <f t="shared" si="45"/>
        <v>152.76666666666665</v>
      </c>
      <c r="AT81">
        <v>131.6</v>
      </c>
      <c r="AU81">
        <f t="shared" si="46"/>
        <v>131.4</v>
      </c>
      <c r="AV81">
        <v>148.30000000000001</v>
      </c>
      <c r="AW81">
        <f t="shared" si="47"/>
        <v>147.93333333333334</v>
      </c>
      <c r="AX81">
        <v>160.19999999999999</v>
      </c>
      <c r="AY81">
        <f t="shared" si="48"/>
        <v>159.66666666666666</v>
      </c>
      <c r="AZ81">
        <v>140.19999999999999</v>
      </c>
      <c r="BA81">
        <f t="shared" si="49"/>
        <v>138.36666666666665</v>
      </c>
      <c r="BB81">
        <v>145.4</v>
      </c>
      <c r="BC81">
        <f t="shared" si="50"/>
        <v>144.83333333333334</v>
      </c>
      <c r="BD81">
        <v>146.69999999999999</v>
      </c>
      <c r="BE81">
        <f t="shared" si="51"/>
        <v>145.76666666666668</v>
      </c>
    </row>
    <row r="82" spans="1:57">
      <c r="A82" t="s">
        <v>30</v>
      </c>
      <c r="B82">
        <v>2019</v>
      </c>
      <c r="C82" t="s">
        <v>43</v>
      </c>
      <c r="D82">
        <v>141</v>
      </c>
      <c r="E82">
        <f t="shared" si="26"/>
        <v>140.1</v>
      </c>
      <c r="F82">
        <v>161.6</v>
      </c>
      <c r="G82">
        <f t="shared" si="27"/>
        <v>161.79999999999998</v>
      </c>
      <c r="H82">
        <v>141.19999999999999</v>
      </c>
      <c r="I82">
        <f t="shared" si="28"/>
        <v>138.86666666666665</v>
      </c>
      <c r="J82">
        <v>146.5</v>
      </c>
      <c r="K82">
        <f t="shared" si="29"/>
        <v>145.6</v>
      </c>
      <c r="L82">
        <v>125.6</v>
      </c>
      <c r="M82">
        <f t="shared" si="30"/>
        <v>125.13333333333333</v>
      </c>
      <c r="N82">
        <v>145.69999999999999</v>
      </c>
      <c r="O82">
        <f t="shared" si="31"/>
        <v>145</v>
      </c>
      <c r="P82">
        <v>178.8</v>
      </c>
      <c r="Q82">
        <f t="shared" si="32"/>
        <v>166.13333333333335</v>
      </c>
      <c r="R82">
        <v>133.1</v>
      </c>
      <c r="S82">
        <f t="shared" si="33"/>
        <v>132.26666666666665</v>
      </c>
      <c r="T82">
        <v>113.6</v>
      </c>
      <c r="U82">
        <f t="shared" si="34"/>
        <v>112.7</v>
      </c>
      <c r="V82">
        <v>145.5</v>
      </c>
      <c r="W82">
        <f t="shared" si="35"/>
        <v>144.13333333333333</v>
      </c>
      <c r="X82">
        <v>138.6</v>
      </c>
      <c r="Y82">
        <f t="shared" si="36"/>
        <v>138.53333333333333</v>
      </c>
      <c r="Z82">
        <v>157.4</v>
      </c>
      <c r="AA82">
        <f t="shared" si="37"/>
        <v>157.16666666666666</v>
      </c>
      <c r="AB82">
        <v>148.30000000000001</v>
      </c>
      <c r="AC82">
        <f t="shared" si="38"/>
        <v>145.93333333333334</v>
      </c>
      <c r="AD82">
        <v>166.3</v>
      </c>
      <c r="AE82">
        <f t="shared" si="39"/>
        <v>165.7</v>
      </c>
      <c r="AF82">
        <v>151.69999999999999</v>
      </c>
      <c r="AG82">
        <f t="shared" si="40"/>
        <v>151.73333333333332</v>
      </c>
      <c r="AH82">
        <v>146.69999999999999</v>
      </c>
      <c r="AI82">
        <f t="shared" si="41"/>
        <v>146.63333333333333</v>
      </c>
      <c r="AJ82">
        <v>151</v>
      </c>
      <c r="AK82">
        <f t="shared" si="42"/>
        <v>151.03333333333333</v>
      </c>
      <c r="AL82" t="s">
        <v>32</v>
      </c>
      <c r="AN82">
        <v>147.69999999999999</v>
      </c>
      <c r="AO82">
        <f t="shared" si="43"/>
        <v>147</v>
      </c>
      <c r="AP82">
        <v>150.6</v>
      </c>
      <c r="AQ82">
        <f t="shared" si="44"/>
        <v>150.36666666666667</v>
      </c>
      <c r="AR82">
        <v>153.69999999999999</v>
      </c>
      <c r="AS82">
        <f t="shared" si="45"/>
        <v>153.26666666666668</v>
      </c>
      <c r="AT82">
        <v>131.69999999999999</v>
      </c>
      <c r="AU82">
        <f t="shared" si="46"/>
        <v>131.56666666666666</v>
      </c>
      <c r="AV82">
        <v>148.69999999999999</v>
      </c>
      <c r="AW82">
        <f t="shared" si="47"/>
        <v>148.33333333333334</v>
      </c>
      <c r="AX82">
        <v>160.69999999999999</v>
      </c>
      <c r="AY82">
        <f t="shared" si="48"/>
        <v>160.19999999999999</v>
      </c>
      <c r="AZ82">
        <v>140.30000000000001</v>
      </c>
      <c r="BA82">
        <f t="shared" si="49"/>
        <v>139.76666666666668</v>
      </c>
      <c r="BB82">
        <v>145.69999999999999</v>
      </c>
      <c r="BC82">
        <f t="shared" si="50"/>
        <v>145.33333333333334</v>
      </c>
      <c r="BD82">
        <v>148.30000000000001</v>
      </c>
      <c r="BE82">
        <f t="shared" si="51"/>
        <v>146.9</v>
      </c>
    </row>
    <row r="83" spans="1:57">
      <c r="A83" t="s">
        <v>30</v>
      </c>
      <c r="B83">
        <v>2019</v>
      </c>
      <c r="C83" t="s">
        <v>45</v>
      </c>
      <c r="D83">
        <v>141.80000000000001</v>
      </c>
      <c r="E83">
        <f t="shared" si="26"/>
        <v>140.96666666666667</v>
      </c>
      <c r="F83">
        <v>163.69999999999999</v>
      </c>
      <c r="G83">
        <f t="shared" si="27"/>
        <v>162.4</v>
      </c>
      <c r="H83">
        <v>143.80000000000001</v>
      </c>
      <c r="I83">
        <f t="shared" si="28"/>
        <v>141.1</v>
      </c>
      <c r="J83">
        <v>147.1</v>
      </c>
      <c r="K83">
        <f t="shared" si="29"/>
        <v>146.43333333333331</v>
      </c>
      <c r="L83">
        <v>126</v>
      </c>
      <c r="M83">
        <f t="shared" si="30"/>
        <v>125.56666666666666</v>
      </c>
      <c r="N83">
        <v>146.19999999999999</v>
      </c>
      <c r="O83">
        <f t="shared" si="31"/>
        <v>145.23333333333332</v>
      </c>
      <c r="P83">
        <v>191.4</v>
      </c>
      <c r="Q83">
        <f t="shared" si="32"/>
        <v>177.86666666666667</v>
      </c>
      <c r="R83">
        <v>136.19999999999999</v>
      </c>
      <c r="S83">
        <f t="shared" si="33"/>
        <v>133.83333333333331</v>
      </c>
      <c r="T83">
        <v>113.8</v>
      </c>
      <c r="U83">
        <f t="shared" si="34"/>
        <v>113.39999999999999</v>
      </c>
      <c r="V83">
        <v>147.30000000000001</v>
      </c>
      <c r="W83">
        <f t="shared" si="35"/>
        <v>145.66666666666666</v>
      </c>
      <c r="X83">
        <v>138.69999999999999</v>
      </c>
      <c r="Y83">
        <f t="shared" si="36"/>
        <v>138.6</v>
      </c>
      <c r="Z83">
        <v>157.69999999999999</v>
      </c>
      <c r="AA83">
        <f t="shared" si="37"/>
        <v>157.43333333333334</v>
      </c>
      <c r="AB83">
        <v>150.9</v>
      </c>
      <c r="AC83">
        <f t="shared" si="38"/>
        <v>148.23333333333335</v>
      </c>
      <c r="AD83">
        <v>167.2</v>
      </c>
      <c r="AE83">
        <f t="shared" si="39"/>
        <v>166.4</v>
      </c>
      <c r="AF83">
        <v>152.30000000000001</v>
      </c>
      <c r="AG83">
        <f t="shared" si="40"/>
        <v>151.9</v>
      </c>
      <c r="AH83">
        <v>147</v>
      </c>
      <c r="AI83">
        <f t="shared" si="41"/>
        <v>146.76666666666665</v>
      </c>
      <c r="AJ83">
        <v>151.5</v>
      </c>
      <c r="AK83">
        <f t="shared" si="42"/>
        <v>151.16666666666666</v>
      </c>
      <c r="AL83" t="s">
        <v>32</v>
      </c>
      <c r="AN83">
        <v>148.4</v>
      </c>
      <c r="AO83">
        <f t="shared" si="43"/>
        <v>147.66666666666666</v>
      </c>
      <c r="AP83">
        <v>150.9</v>
      </c>
      <c r="AQ83">
        <f t="shared" si="44"/>
        <v>150.6</v>
      </c>
      <c r="AR83">
        <v>154.30000000000001</v>
      </c>
      <c r="AS83">
        <f t="shared" si="45"/>
        <v>153.80000000000001</v>
      </c>
      <c r="AT83">
        <v>132.1</v>
      </c>
      <c r="AU83">
        <f t="shared" si="46"/>
        <v>131.79999999999998</v>
      </c>
      <c r="AV83">
        <v>149.1</v>
      </c>
      <c r="AW83">
        <f t="shared" si="47"/>
        <v>148.70000000000002</v>
      </c>
      <c r="AX83">
        <v>160.80000000000001</v>
      </c>
      <c r="AY83">
        <f t="shared" si="48"/>
        <v>160.56666666666666</v>
      </c>
      <c r="AZ83">
        <v>140.6</v>
      </c>
      <c r="BA83">
        <f t="shared" si="49"/>
        <v>140.36666666666667</v>
      </c>
      <c r="BB83">
        <v>146.1</v>
      </c>
      <c r="BC83">
        <f t="shared" si="50"/>
        <v>145.73333333333335</v>
      </c>
      <c r="BD83">
        <v>149.9</v>
      </c>
      <c r="BE83">
        <f t="shared" si="51"/>
        <v>148.29999999999998</v>
      </c>
    </row>
    <row r="84" spans="1:57">
      <c r="A84" t="s">
        <v>30</v>
      </c>
      <c r="B84">
        <v>2019</v>
      </c>
      <c r="C84" t="s">
        <v>46</v>
      </c>
      <c r="D84">
        <v>142.80000000000001</v>
      </c>
      <c r="E84">
        <f t="shared" si="26"/>
        <v>141.86666666666667</v>
      </c>
      <c r="F84">
        <v>165.3</v>
      </c>
      <c r="G84">
        <f t="shared" si="27"/>
        <v>163.53333333333333</v>
      </c>
      <c r="H84">
        <v>149.5</v>
      </c>
      <c r="I84">
        <f t="shared" si="28"/>
        <v>144.83333333333334</v>
      </c>
      <c r="J84">
        <v>148.69999999999999</v>
      </c>
      <c r="K84">
        <f t="shared" si="29"/>
        <v>147.43333333333334</v>
      </c>
      <c r="L84">
        <v>127.5</v>
      </c>
      <c r="M84">
        <f t="shared" si="30"/>
        <v>126.36666666666667</v>
      </c>
      <c r="N84">
        <v>144.30000000000001</v>
      </c>
      <c r="O84">
        <f t="shared" si="31"/>
        <v>145.4</v>
      </c>
      <c r="P84">
        <v>209.5</v>
      </c>
      <c r="Q84">
        <f t="shared" si="32"/>
        <v>193.23333333333335</v>
      </c>
      <c r="R84">
        <v>138.80000000000001</v>
      </c>
      <c r="S84">
        <f t="shared" si="33"/>
        <v>136.03333333333333</v>
      </c>
      <c r="T84">
        <v>113.6</v>
      </c>
      <c r="U84">
        <f t="shared" si="34"/>
        <v>113.66666666666667</v>
      </c>
      <c r="V84">
        <v>149.1</v>
      </c>
      <c r="W84">
        <f t="shared" si="35"/>
        <v>147.29999999999998</v>
      </c>
      <c r="X84">
        <v>139.30000000000001</v>
      </c>
      <c r="Y84">
        <f t="shared" si="36"/>
        <v>138.86666666666665</v>
      </c>
      <c r="Z84">
        <v>158.30000000000001</v>
      </c>
      <c r="AA84">
        <f t="shared" si="37"/>
        <v>157.80000000000001</v>
      </c>
      <c r="AB84">
        <v>154.30000000000001</v>
      </c>
      <c r="AC84">
        <f t="shared" si="38"/>
        <v>151.16666666666669</v>
      </c>
      <c r="AD84">
        <v>167.8</v>
      </c>
      <c r="AE84">
        <f t="shared" si="39"/>
        <v>167.1</v>
      </c>
      <c r="AF84">
        <v>152.6</v>
      </c>
      <c r="AG84">
        <f t="shared" si="40"/>
        <v>152.20000000000002</v>
      </c>
      <c r="AH84">
        <v>147.30000000000001</v>
      </c>
      <c r="AI84">
        <f t="shared" si="41"/>
        <v>147</v>
      </c>
      <c r="AJ84">
        <v>151.9</v>
      </c>
      <c r="AK84">
        <f t="shared" si="42"/>
        <v>151.46666666666667</v>
      </c>
      <c r="AL84" t="s">
        <v>32</v>
      </c>
      <c r="AN84">
        <v>149.9</v>
      </c>
      <c r="AO84">
        <f t="shared" si="43"/>
        <v>148.66666666666666</v>
      </c>
      <c r="AP84">
        <v>151.19999999999999</v>
      </c>
      <c r="AQ84">
        <f t="shared" si="44"/>
        <v>150.9</v>
      </c>
      <c r="AR84">
        <v>154.80000000000001</v>
      </c>
      <c r="AS84">
        <f t="shared" si="45"/>
        <v>154.26666666666668</v>
      </c>
      <c r="AT84">
        <v>135</v>
      </c>
      <c r="AU84">
        <f t="shared" si="46"/>
        <v>132.93333333333331</v>
      </c>
      <c r="AV84">
        <v>149.5</v>
      </c>
      <c r="AW84">
        <f t="shared" si="47"/>
        <v>149.1</v>
      </c>
      <c r="AX84">
        <v>161.1</v>
      </c>
      <c r="AY84">
        <f t="shared" si="48"/>
        <v>160.86666666666667</v>
      </c>
      <c r="AZ84">
        <v>140.6</v>
      </c>
      <c r="BA84">
        <f t="shared" si="49"/>
        <v>140.5</v>
      </c>
      <c r="BB84">
        <v>147.1</v>
      </c>
      <c r="BC84">
        <f t="shared" si="50"/>
        <v>146.29999999999998</v>
      </c>
      <c r="BD84">
        <v>152.30000000000001</v>
      </c>
      <c r="BE84">
        <f t="shared" si="51"/>
        <v>150.16666666666669</v>
      </c>
    </row>
    <row r="85" spans="1:57">
      <c r="A85" t="s">
        <v>30</v>
      </c>
      <c r="B85">
        <v>2020</v>
      </c>
      <c r="C85" t="s">
        <v>31</v>
      </c>
      <c r="D85">
        <v>143.69999999999999</v>
      </c>
      <c r="E85">
        <f t="shared" si="26"/>
        <v>142.76666666666668</v>
      </c>
      <c r="F85">
        <v>167.3</v>
      </c>
      <c r="G85">
        <f t="shared" si="27"/>
        <v>165.43333333333334</v>
      </c>
      <c r="H85">
        <v>153.5</v>
      </c>
      <c r="I85">
        <f t="shared" si="28"/>
        <v>148.93333333333334</v>
      </c>
      <c r="J85">
        <v>150.5</v>
      </c>
      <c r="K85">
        <f t="shared" si="29"/>
        <v>148.76666666666665</v>
      </c>
      <c r="L85">
        <v>132</v>
      </c>
      <c r="M85">
        <f t="shared" si="30"/>
        <v>128.5</v>
      </c>
      <c r="N85">
        <v>142.19999999999999</v>
      </c>
      <c r="O85">
        <f t="shared" si="31"/>
        <v>144.23333333333332</v>
      </c>
      <c r="P85">
        <v>191.5</v>
      </c>
      <c r="Q85">
        <f t="shared" si="32"/>
        <v>197.46666666666667</v>
      </c>
      <c r="R85">
        <v>141.1</v>
      </c>
      <c r="S85">
        <f t="shared" si="33"/>
        <v>138.70000000000002</v>
      </c>
      <c r="T85">
        <v>113.8</v>
      </c>
      <c r="U85">
        <f t="shared" si="34"/>
        <v>113.73333333333333</v>
      </c>
      <c r="V85">
        <v>151.6</v>
      </c>
      <c r="W85">
        <f t="shared" si="35"/>
        <v>149.33333333333334</v>
      </c>
      <c r="X85">
        <v>139.69999999999999</v>
      </c>
      <c r="Y85">
        <f t="shared" si="36"/>
        <v>139.23333333333332</v>
      </c>
      <c r="Z85">
        <v>158.69999999999999</v>
      </c>
      <c r="AA85">
        <f t="shared" si="37"/>
        <v>158.23333333333332</v>
      </c>
      <c r="AB85">
        <v>153</v>
      </c>
      <c r="AC85">
        <f t="shared" si="38"/>
        <v>152.73333333333335</v>
      </c>
      <c r="AD85">
        <v>168.6</v>
      </c>
      <c r="AE85">
        <f t="shared" si="39"/>
        <v>167.86666666666667</v>
      </c>
      <c r="AF85">
        <v>152.80000000000001</v>
      </c>
      <c r="AG85">
        <f t="shared" si="40"/>
        <v>152.56666666666666</v>
      </c>
      <c r="AH85">
        <v>147.4</v>
      </c>
      <c r="AI85">
        <f t="shared" si="41"/>
        <v>147.23333333333335</v>
      </c>
      <c r="AJ85">
        <v>152.1</v>
      </c>
      <c r="AK85">
        <f t="shared" si="42"/>
        <v>151.83333333333334</v>
      </c>
      <c r="AL85" t="s">
        <v>32</v>
      </c>
      <c r="AN85">
        <v>150.4</v>
      </c>
      <c r="AO85">
        <f t="shared" si="43"/>
        <v>149.56666666666669</v>
      </c>
      <c r="AP85">
        <v>151.69999999999999</v>
      </c>
      <c r="AQ85">
        <f t="shared" si="44"/>
        <v>151.26666666666668</v>
      </c>
      <c r="AR85">
        <v>155.69999999999999</v>
      </c>
      <c r="AS85">
        <f t="shared" si="45"/>
        <v>154.93333333333334</v>
      </c>
      <c r="AT85">
        <v>136.30000000000001</v>
      </c>
      <c r="AU85">
        <f t="shared" si="46"/>
        <v>134.46666666666667</v>
      </c>
      <c r="AV85">
        <v>150.1</v>
      </c>
      <c r="AW85">
        <f t="shared" si="47"/>
        <v>149.56666666666669</v>
      </c>
      <c r="AX85">
        <v>161.69999999999999</v>
      </c>
      <c r="AY85">
        <f t="shared" si="48"/>
        <v>161.19999999999999</v>
      </c>
      <c r="AZ85">
        <v>142.5</v>
      </c>
      <c r="BA85">
        <f t="shared" si="49"/>
        <v>141.23333333333332</v>
      </c>
      <c r="BB85">
        <v>148.1</v>
      </c>
      <c r="BC85">
        <f t="shared" si="50"/>
        <v>147.1</v>
      </c>
      <c r="BD85">
        <v>151.9</v>
      </c>
      <c r="BE85">
        <f t="shared" si="51"/>
        <v>151.36666666666667</v>
      </c>
    </row>
    <row r="86" spans="1:57">
      <c r="A86" t="s">
        <v>30</v>
      </c>
      <c r="B86">
        <v>2020</v>
      </c>
      <c r="C86" t="s">
        <v>35</v>
      </c>
      <c r="D86">
        <v>144.19999999999999</v>
      </c>
      <c r="E86">
        <f t="shared" si="26"/>
        <v>143.56666666666666</v>
      </c>
      <c r="F86">
        <v>167.5</v>
      </c>
      <c r="G86">
        <f t="shared" si="27"/>
        <v>166.70000000000002</v>
      </c>
      <c r="H86">
        <v>150.9</v>
      </c>
      <c r="I86">
        <f t="shared" si="28"/>
        <v>151.29999999999998</v>
      </c>
      <c r="J86">
        <v>150.9</v>
      </c>
      <c r="K86">
        <f t="shared" si="29"/>
        <v>150.03333333333333</v>
      </c>
      <c r="L86">
        <v>133.69999999999999</v>
      </c>
      <c r="M86">
        <f t="shared" si="30"/>
        <v>131.06666666666666</v>
      </c>
      <c r="N86">
        <v>140.69999999999999</v>
      </c>
      <c r="O86">
        <f t="shared" si="31"/>
        <v>142.4</v>
      </c>
      <c r="P86">
        <v>165.1</v>
      </c>
      <c r="Q86">
        <f t="shared" si="32"/>
        <v>188.70000000000002</v>
      </c>
      <c r="R86">
        <v>141.80000000000001</v>
      </c>
      <c r="S86">
        <f t="shared" si="33"/>
        <v>140.56666666666666</v>
      </c>
      <c r="T86">
        <v>113.1</v>
      </c>
      <c r="U86">
        <f t="shared" si="34"/>
        <v>113.5</v>
      </c>
      <c r="V86">
        <v>152.80000000000001</v>
      </c>
      <c r="W86">
        <f t="shared" si="35"/>
        <v>151.16666666666666</v>
      </c>
      <c r="X86">
        <v>140.1</v>
      </c>
      <c r="Y86">
        <f t="shared" si="36"/>
        <v>139.70000000000002</v>
      </c>
      <c r="Z86">
        <v>159.19999999999999</v>
      </c>
      <c r="AA86">
        <f t="shared" si="37"/>
        <v>158.73333333333332</v>
      </c>
      <c r="AB86">
        <v>149.80000000000001</v>
      </c>
      <c r="AC86">
        <f t="shared" si="38"/>
        <v>152.36666666666667</v>
      </c>
      <c r="AD86">
        <v>169.4</v>
      </c>
      <c r="AE86">
        <f t="shared" si="39"/>
        <v>168.6</v>
      </c>
      <c r="AF86">
        <v>153</v>
      </c>
      <c r="AG86">
        <f t="shared" si="40"/>
        <v>152.79999999999998</v>
      </c>
      <c r="AH86">
        <v>147.5</v>
      </c>
      <c r="AI86">
        <f t="shared" si="41"/>
        <v>147.4</v>
      </c>
      <c r="AJ86">
        <v>152.30000000000001</v>
      </c>
      <c r="AK86">
        <f t="shared" si="42"/>
        <v>152.1</v>
      </c>
      <c r="AL86" t="s">
        <v>32</v>
      </c>
      <c r="AN86">
        <v>152.30000000000001</v>
      </c>
      <c r="AO86">
        <f t="shared" si="43"/>
        <v>150.86666666666667</v>
      </c>
      <c r="AP86">
        <v>151.80000000000001</v>
      </c>
      <c r="AQ86">
        <f t="shared" si="44"/>
        <v>151.56666666666666</v>
      </c>
      <c r="AR86">
        <v>156.19999999999999</v>
      </c>
      <c r="AS86">
        <f t="shared" si="45"/>
        <v>155.56666666666666</v>
      </c>
      <c r="AT86">
        <v>136</v>
      </c>
      <c r="AU86">
        <f t="shared" si="46"/>
        <v>135.76666666666668</v>
      </c>
      <c r="AV86">
        <v>150.4</v>
      </c>
      <c r="AW86">
        <f t="shared" si="47"/>
        <v>150</v>
      </c>
      <c r="AX86">
        <v>161.9</v>
      </c>
      <c r="AY86">
        <f t="shared" si="48"/>
        <v>161.56666666666663</v>
      </c>
      <c r="AZ86">
        <v>143.4</v>
      </c>
      <c r="BA86">
        <f t="shared" si="49"/>
        <v>142.16666666666666</v>
      </c>
      <c r="BB86">
        <v>148.4</v>
      </c>
      <c r="BC86">
        <f t="shared" si="50"/>
        <v>147.86666666666667</v>
      </c>
      <c r="BD86">
        <v>150.4</v>
      </c>
      <c r="BE86">
        <f t="shared" si="51"/>
        <v>151.53333333333333</v>
      </c>
    </row>
    <row r="87" spans="1:57">
      <c r="A87" t="s">
        <v>30</v>
      </c>
      <c r="B87">
        <v>2020</v>
      </c>
      <c r="C87" t="s">
        <v>36</v>
      </c>
      <c r="D87">
        <v>144.4</v>
      </c>
      <c r="E87">
        <f t="shared" si="26"/>
        <v>144.1</v>
      </c>
      <c r="F87">
        <v>166.8</v>
      </c>
      <c r="G87">
        <f t="shared" si="27"/>
        <v>167.20000000000002</v>
      </c>
      <c r="H87">
        <v>147.6</v>
      </c>
      <c r="I87">
        <f t="shared" si="28"/>
        <v>150.66666666666666</v>
      </c>
      <c r="J87">
        <v>151.69999999999999</v>
      </c>
      <c r="K87">
        <f t="shared" si="29"/>
        <v>151.03333333333333</v>
      </c>
      <c r="L87">
        <v>133.30000000000001</v>
      </c>
      <c r="M87">
        <f t="shared" si="30"/>
        <v>133</v>
      </c>
      <c r="N87">
        <v>141.80000000000001</v>
      </c>
      <c r="O87">
        <f t="shared" si="31"/>
        <v>141.56666666666666</v>
      </c>
      <c r="P87">
        <v>152.30000000000001</v>
      </c>
      <c r="Q87">
        <f t="shared" si="32"/>
        <v>169.63333333333335</v>
      </c>
      <c r="R87">
        <v>141.80000000000001</v>
      </c>
      <c r="S87">
        <f t="shared" si="33"/>
        <v>141.56666666666666</v>
      </c>
      <c r="T87">
        <v>112.6</v>
      </c>
      <c r="U87">
        <f t="shared" si="34"/>
        <v>113.16666666666667</v>
      </c>
      <c r="V87">
        <v>154</v>
      </c>
      <c r="W87">
        <f t="shared" si="35"/>
        <v>152.79999999999998</v>
      </c>
      <c r="X87">
        <v>140.1</v>
      </c>
      <c r="Y87">
        <f t="shared" si="36"/>
        <v>139.96666666666667</v>
      </c>
      <c r="Z87">
        <v>160</v>
      </c>
      <c r="AA87">
        <f t="shared" si="37"/>
        <v>159.29999999999998</v>
      </c>
      <c r="AB87">
        <v>148.19999999999999</v>
      </c>
      <c r="AC87">
        <f t="shared" si="38"/>
        <v>150.33333333333334</v>
      </c>
      <c r="AD87">
        <v>170.5</v>
      </c>
      <c r="AE87">
        <f t="shared" si="39"/>
        <v>169.5</v>
      </c>
      <c r="AF87">
        <v>153.4</v>
      </c>
      <c r="AG87">
        <f t="shared" si="40"/>
        <v>153.06666666666669</v>
      </c>
      <c r="AH87">
        <v>147.6</v>
      </c>
      <c r="AI87">
        <f t="shared" si="41"/>
        <v>147.5</v>
      </c>
      <c r="AJ87">
        <v>152.5</v>
      </c>
      <c r="AK87">
        <f t="shared" si="42"/>
        <v>152.29999999999998</v>
      </c>
      <c r="AL87" t="s">
        <v>32</v>
      </c>
      <c r="AN87">
        <v>153.4</v>
      </c>
      <c r="AO87">
        <f t="shared" si="43"/>
        <v>152.03333333333333</v>
      </c>
      <c r="AP87">
        <v>151.5</v>
      </c>
      <c r="AQ87">
        <f t="shared" si="44"/>
        <v>151.66666666666666</v>
      </c>
      <c r="AR87">
        <v>156.69999999999999</v>
      </c>
      <c r="AS87">
        <f t="shared" si="45"/>
        <v>156.19999999999999</v>
      </c>
      <c r="AT87">
        <v>135.80000000000001</v>
      </c>
      <c r="AU87">
        <f t="shared" si="46"/>
        <v>136.03333333333333</v>
      </c>
      <c r="AV87">
        <v>151.19999999999999</v>
      </c>
      <c r="AW87">
        <f t="shared" si="47"/>
        <v>150.56666666666666</v>
      </c>
      <c r="AX87">
        <v>161.19999999999999</v>
      </c>
      <c r="AY87">
        <f t="shared" si="48"/>
        <v>161.6</v>
      </c>
      <c r="AZ87">
        <v>145.1</v>
      </c>
      <c r="BA87">
        <f t="shared" si="49"/>
        <v>143.66666666666666</v>
      </c>
      <c r="BB87">
        <v>148.6</v>
      </c>
      <c r="BC87">
        <f t="shared" si="50"/>
        <v>148.36666666666667</v>
      </c>
      <c r="BD87">
        <v>149.80000000000001</v>
      </c>
      <c r="BE87">
        <f t="shared" si="51"/>
        <v>150.70000000000002</v>
      </c>
    </row>
    <row r="88" spans="1:57">
      <c r="A88" t="s">
        <v>30</v>
      </c>
      <c r="B88">
        <v>2020</v>
      </c>
      <c r="C88" t="s">
        <v>37</v>
      </c>
      <c r="D88">
        <v>147.19999999999999</v>
      </c>
      <c r="E88">
        <f t="shared" si="26"/>
        <v>145.26666666666668</v>
      </c>
      <c r="F88" t="s">
        <v>32</v>
      </c>
      <c r="G88">
        <f t="shared" si="27"/>
        <v>167.15</v>
      </c>
      <c r="H88">
        <v>146.9</v>
      </c>
      <c r="I88">
        <f t="shared" si="28"/>
        <v>148.46666666666667</v>
      </c>
      <c r="J88">
        <v>155.6</v>
      </c>
      <c r="K88">
        <f t="shared" si="29"/>
        <v>152.73333333333335</v>
      </c>
      <c r="L88">
        <v>137.1</v>
      </c>
      <c r="M88">
        <f t="shared" si="30"/>
        <v>134.70000000000002</v>
      </c>
      <c r="N88">
        <v>147.30000000000001</v>
      </c>
      <c r="O88">
        <f t="shared" si="31"/>
        <v>143.26666666666668</v>
      </c>
      <c r="P88">
        <v>162.69999999999999</v>
      </c>
      <c r="Q88">
        <f t="shared" si="32"/>
        <v>160.03333333333333</v>
      </c>
      <c r="R88">
        <v>150.19999999999999</v>
      </c>
      <c r="S88">
        <f t="shared" si="33"/>
        <v>144.6</v>
      </c>
      <c r="T88">
        <v>119.8</v>
      </c>
      <c r="U88">
        <f t="shared" si="34"/>
        <v>115.16666666666667</v>
      </c>
      <c r="V88">
        <v>158.69999999999999</v>
      </c>
      <c r="W88">
        <f t="shared" si="35"/>
        <v>155.16666666666666</v>
      </c>
      <c r="X88">
        <v>139.19999999999999</v>
      </c>
      <c r="Y88">
        <f t="shared" si="36"/>
        <v>139.79999999999998</v>
      </c>
      <c r="Z88" t="s">
        <v>32</v>
      </c>
      <c r="AA88">
        <f t="shared" si="37"/>
        <v>159.6</v>
      </c>
      <c r="AB88">
        <v>150.1</v>
      </c>
      <c r="AC88">
        <f t="shared" si="38"/>
        <v>149.36666666666667</v>
      </c>
      <c r="AD88" t="s">
        <v>32</v>
      </c>
      <c r="AE88">
        <f t="shared" si="39"/>
        <v>169.95</v>
      </c>
      <c r="AF88" t="s">
        <v>32</v>
      </c>
      <c r="AG88">
        <f t="shared" si="40"/>
        <v>153.19999999999999</v>
      </c>
      <c r="AH88" t="s">
        <v>32</v>
      </c>
      <c r="AI88">
        <f t="shared" si="41"/>
        <v>147.55000000000001</v>
      </c>
      <c r="AJ88" t="s">
        <v>32</v>
      </c>
      <c r="AK88">
        <f t="shared" si="42"/>
        <v>152.4</v>
      </c>
      <c r="AL88" t="s">
        <v>32</v>
      </c>
      <c r="AN88">
        <v>148.4</v>
      </c>
      <c r="AO88">
        <f t="shared" si="43"/>
        <v>151.36666666666667</v>
      </c>
      <c r="AP88" t="s">
        <v>32</v>
      </c>
      <c r="AQ88">
        <f t="shared" si="44"/>
        <v>151.65</v>
      </c>
      <c r="AR88">
        <v>154.30000000000001</v>
      </c>
      <c r="AS88">
        <f t="shared" si="45"/>
        <v>155.73333333333332</v>
      </c>
      <c r="AT88" t="s">
        <v>32</v>
      </c>
      <c r="AU88">
        <f t="shared" si="46"/>
        <v>135.9</v>
      </c>
      <c r="AV88" t="s">
        <v>32</v>
      </c>
      <c r="AW88">
        <f t="shared" si="47"/>
        <v>150.80000000000001</v>
      </c>
      <c r="AX88" t="s">
        <v>32</v>
      </c>
      <c r="AY88">
        <f t="shared" si="48"/>
        <v>161.55000000000001</v>
      </c>
      <c r="AZ88" t="s">
        <v>32</v>
      </c>
      <c r="BA88">
        <f t="shared" si="49"/>
        <v>144.25</v>
      </c>
      <c r="BB88" t="s">
        <v>32</v>
      </c>
      <c r="BC88">
        <f t="shared" si="50"/>
        <v>148.5</v>
      </c>
      <c r="BD88" t="s">
        <v>32</v>
      </c>
      <c r="BE88">
        <f t="shared" si="51"/>
        <v>150.10000000000002</v>
      </c>
    </row>
    <row r="89" spans="1:57">
      <c r="A89" t="s">
        <v>30</v>
      </c>
      <c r="B89">
        <v>2020</v>
      </c>
      <c r="C89" t="s">
        <v>38</v>
      </c>
      <c r="D89" t="s">
        <v>32</v>
      </c>
      <c r="E89">
        <f t="shared" si="26"/>
        <v>145.80000000000001</v>
      </c>
      <c r="F89" t="s">
        <v>32</v>
      </c>
      <c r="G89">
        <f t="shared" si="27"/>
        <v>166.8</v>
      </c>
      <c r="H89" t="s">
        <v>32</v>
      </c>
      <c r="I89">
        <f t="shared" si="28"/>
        <v>147.25</v>
      </c>
      <c r="J89" t="s">
        <v>32</v>
      </c>
      <c r="K89">
        <f t="shared" si="29"/>
        <v>153.64999999999998</v>
      </c>
      <c r="L89" t="s">
        <v>32</v>
      </c>
      <c r="M89">
        <f t="shared" si="30"/>
        <v>135.19999999999999</v>
      </c>
      <c r="N89" t="s">
        <v>32</v>
      </c>
      <c r="O89">
        <f t="shared" si="31"/>
        <v>144.55000000000001</v>
      </c>
      <c r="P89" t="s">
        <v>32</v>
      </c>
      <c r="Q89">
        <f t="shared" si="32"/>
        <v>157.5</v>
      </c>
      <c r="R89" t="s">
        <v>32</v>
      </c>
      <c r="S89">
        <f t="shared" si="33"/>
        <v>146</v>
      </c>
      <c r="T89" t="s">
        <v>32</v>
      </c>
      <c r="U89">
        <f t="shared" si="34"/>
        <v>116.19999999999999</v>
      </c>
      <c r="V89" t="s">
        <v>32</v>
      </c>
      <c r="W89">
        <f t="shared" si="35"/>
        <v>156.35</v>
      </c>
      <c r="X89" t="s">
        <v>32</v>
      </c>
      <c r="Y89">
        <f t="shared" si="36"/>
        <v>139.64999999999998</v>
      </c>
      <c r="Z89" t="s">
        <v>32</v>
      </c>
      <c r="AA89">
        <f t="shared" si="37"/>
        <v>160</v>
      </c>
      <c r="AB89" t="s">
        <v>32</v>
      </c>
      <c r="AC89">
        <f t="shared" si="38"/>
        <v>149.14999999999998</v>
      </c>
      <c r="AD89" t="s">
        <v>32</v>
      </c>
      <c r="AE89">
        <f t="shared" si="39"/>
        <v>170.5</v>
      </c>
      <c r="AF89" t="s">
        <v>32</v>
      </c>
      <c r="AG89">
        <f t="shared" si="40"/>
        <v>153.4</v>
      </c>
      <c r="AH89" t="s">
        <v>32</v>
      </c>
      <c r="AI89">
        <f t="shared" si="41"/>
        <v>147.6</v>
      </c>
      <c r="AJ89" t="s">
        <v>32</v>
      </c>
      <c r="AK89">
        <f t="shared" si="42"/>
        <v>152.5</v>
      </c>
      <c r="AL89" t="s">
        <v>32</v>
      </c>
      <c r="AN89" t="s">
        <v>32</v>
      </c>
      <c r="AO89">
        <f t="shared" si="43"/>
        <v>150.9</v>
      </c>
      <c r="AP89" t="s">
        <v>32</v>
      </c>
      <c r="AQ89">
        <f t="shared" si="44"/>
        <v>151.5</v>
      </c>
      <c r="AR89" t="s">
        <v>32</v>
      </c>
      <c r="AS89">
        <f t="shared" si="45"/>
        <v>155.5</v>
      </c>
      <c r="AT89" t="s">
        <v>32</v>
      </c>
      <c r="AU89">
        <f t="shared" si="46"/>
        <v>135.80000000000001</v>
      </c>
      <c r="AV89" t="s">
        <v>32</v>
      </c>
      <c r="AW89">
        <f t="shared" si="47"/>
        <v>151.19999999999999</v>
      </c>
      <c r="AX89" t="s">
        <v>32</v>
      </c>
      <c r="AY89">
        <f t="shared" si="48"/>
        <v>161.19999999999999</v>
      </c>
      <c r="AZ89" t="s">
        <v>32</v>
      </c>
      <c r="BA89">
        <f t="shared" si="49"/>
        <v>145.1</v>
      </c>
      <c r="BB89" t="s">
        <v>32</v>
      </c>
      <c r="BC89">
        <f t="shared" si="50"/>
        <v>148.6</v>
      </c>
      <c r="BD89" t="s">
        <v>32</v>
      </c>
      <c r="BE89">
        <f t="shared" si="51"/>
        <v>149.80000000000001</v>
      </c>
    </row>
    <row r="90" spans="1:57">
      <c r="A90" t="s">
        <v>30</v>
      </c>
      <c r="B90">
        <v>2020</v>
      </c>
      <c r="C90" t="s">
        <v>39</v>
      </c>
      <c r="D90">
        <v>148.19999999999999</v>
      </c>
      <c r="E90">
        <f t="shared" si="26"/>
        <v>147.69999999999999</v>
      </c>
      <c r="F90">
        <v>190.3</v>
      </c>
      <c r="G90">
        <f t="shared" si="27"/>
        <v>190.3</v>
      </c>
      <c r="H90">
        <v>149.4</v>
      </c>
      <c r="I90">
        <f t="shared" si="28"/>
        <v>148.15</v>
      </c>
      <c r="J90">
        <v>153.30000000000001</v>
      </c>
      <c r="K90">
        <f t="shared" si="29"/>
        <v>154.44999999999999</v>
      </c>
      <c r="L90">
        <v>138.19999999999999</v>
      </c>
      <c r="M90">
        <f t="shared" si="30"/>
        <v>137.64999999999998</v>
      </c>
      <c r="N90">
        <v>143.19999999999999</v>
      </c>
      <c r="O90">
        <f t="shared" si="31"/>
        <v>145.25</v>
      </c>
      <c r="P90">
        <v>148.9</v>
      </c>
      <c r="Q90">
        <f t="shared" si="32"/>
        <v>155.80000000000001</v>
      </c>
      <c r="R90">
        <v>150.30000000000001</v>
      </c>
      <c r="S90">
        <f t="shared" si="33"/>
        <v>150.25</v>
      </c>
      <c r="T90">
        <v>113.2</v>
      </c>
      <c r="U90">
        <f t="shared" si="34"/>
        <v>116.5</v>
      </c>
      <c r="V90">
        <v>159.80000000000001</v>
      </c>
      <c r="W90">
        <f t="shared" si="35"/>
        <v>159.25</v>
      </c>
      <c r="X90">
        <v>142.1</v>
      </c>
      <c r="Y90">
        <f t="shared" si="36"/>
        <v>140.64999999999998</v>
      </c>
      <c r="Z90">
        <v>161.80000000000001</v>
      </c>
      <c r="AA90">
        <f t="shared" si="37"/>
        <v>161.80000000000001</v>
      </c>
      <c r="AB90">
        <v>152.30000000000001</v>
      </c>
      <c r="AC90">
        <f t="shared" si="38"/>
        <v>151.19999999999999</v>
      </c>
      <c r="AD90">
        <v>182.4</v>
      </c>
      <c r="AE90">
        <f t="shared" si="39"/>
        <v>182.4</v>
      </c>
      <c r="AF90">
        <v>154.69999999999999</v>
      </c>
      <c r="AG90">
        <f t="shared" si="40"/>
        <v>154.69999999999999</v>
      </c>
      <c r="AH90">
        <v>150</v>
      </c>
      <c r="AI90">
        <f t="shared" si="41"/>
        <v>150</v>
      </c>
      <c r="AJ90">
        <v>154.1</v>
      </c>
      <c r="AK90">
        <f t="shared" si="42"/>
        <v>154.1</v>
      </c>
      <c r="AL90" t="s">
        <v>32</v>
      </c>
      <c r="AN90">
        <v>144.9</v>
      </c>
      <c r="AO90">
        <f t="shared" si="43"/>
        <v>146.65</v>
      </c>
      <c r="AP90">
        <v>151.69999999999999</v>
      </c>
      <c r="AQ90">
        <f t="shared" si="44"/>
        <v>151.69999999999999</v>
      </c>
      <c r="AR90">
        <v>158.19999999999999</v>
      </c>
      <c r="AS90">
        <f t="shared" si="45"/>
        <v>156.25</v>
      </c>
      <c r="AT90">
        <v>141.4</v>
      </c>
      <c r="AU90">
        <f t="shared" si="46"/>
        <v>141.4</v>
      </c>
      <c r="AV90">
        <v>153.19999999999999</v>
      </c>
      <c r="AW90">
        <f t="shared" si="47"/>
        <v>153.19999999999999</v>
      </c>
      <c r="AX90">
        <v>161.80000000000001</v>
      </c>
      <c r="AY90">
        <f t="shared" si="48"/>
        <v>161.80000000000001</v>
      </c>
      <c r="AZ90">
        <v>151.19999999999999</v>
      </c>
      <c r="BA90">
        <f t="shared" si="49"/>
        <v>151.19999999999999</v>
      </c>
      <c r="BB90">
        <v>151.69999999999999</v>
      </c>
      <c r="BC90">
        <f t="shared" si="50"/>
        <v>151.69999999999999</v>
      </c>
      <c r="BD90">
        <v>152.69999999999999</v>
      </c>
      <c r="BE90">
        <f t="shared" si="51"/>
        <v>152.69999999999999</v>
      </c>
    </row>
    <row r="91" spans="1:57">
      <c r="A91" t="s">
        <v>30</v>
      </c>
      <c r="B91">
        <v>2020</v>
      </c>
      <c r="C91" t="s">
        <v>40</v>
      </c>
      <c r="D91">
        <v>148.19999999999999</v>
      </c>
      <c r="E91">
        <f t="shared" si="26"/>
        <v>148.19999999999999</v>
      </c>
      <c r="F91">
        <v>190.3</v>
      </c>
      <c r="G91">
        <f t="shared" si="27"/>
        <v>190.3</v>
      </c>
      <c r="H91">
        <v>149.4</v>
      </c>
      <c r="I91">
        <f t="shared" si="28"/>
        <v>149.4</v>
      </c>
      <c r="J91">
        <v>153.30000000000001</v>
      </c>
      <c r="K91">
        <f t="shared" si="29"/>
        <v>153.30000000000001</v>
      </c>
      <c r="L91">
        <v>138.19999999999999</v>
      </c>
      <c r="M91">
        <f t="shared" si="30"/>
        <v>138.19999999999999</v>
      </c>
      <c r="N91">
        <v>143.19999999999999</v>
      </c>
      <c r="O91">
        <f t="shared" si="31"/>
        <v>143.19999999999999</v>
      </c>
      <c r="P91">
        <v>148.9</v>
      </c>
      <c r="Q91">
        <f t="shared" si="32"/>
        <v>148.9</v>
      </c>
      <c r="R91">
        <v>150.30000000000001</v>
      </c>
      <c r="S91">
        <f t="shared" si="33"/>
        <v>150.30000000000001</v>
      </c>
      <c r="T91">
        <v>113.2</v>
      </c>
      <c r="U91">
        <f t="shared" si="34"/>
        <v>113.2</v>
      </c>
      <c r="V91">
        <v>159.80000000000001</v>
      </c>
      <c r="W91">
        <f t="shared" si="35"/>
        <v>159.80000000000001</v>
      </c>
      <c r="X91">
        <v>142.1</v>
      </c>
      <c r="Y91">
        <f t="shared" si="36"/>
        <v>142.1</v>
      </c>
      <c r="Z91">
        <v>161.80000000000001</v>
      </c>
      <c r="AA91">
        <f t="shared" si="37"/>
        <v>161.80000000000001</v>
      </c>
      <c r="AB91">
        <v>152.30000000000001</v>
      </c>
      <c r="AC91">
        <f t="shared" si="38"/>
        <v>152.30000000000001</v>
      </c>
      <c r="AD91">
        <v>182.4</v>
      </c>
      <c r="AE91">
        <f t="shared" si="39"/>
        <v>182.4</v>
      </c>
      <c r="AF91">
        <v>154.69999999999999</v>
      </c>
      <c r="AG91">
        <f t="shared" si="40"/>
        <v>154.69999999999999</v>
      </c>
      <c r="AH91">
        <v>150</v>
      </c>
      <c r="AI91">
        <f t="shared" si="41"/>
        <v>150</v>
      </c>
      <c r="AJ91">
        <v>154.1</v>
      </c>
      <c r="AK91">
        <f t="shared" si="42"/>
        <v>154.1</v>
      </c>
      <c r="AL91" t="s">
        <v>32</v>
      </c>
      <c r="AN91">
        <v>144.9</v>
      </c>
      <c r="AO91">
        <f t="shared" si="43"/>
        <v>144.9</v>
      </c>
      <c r="AP91">
        <v>151.69999999999999</v>
      </c>
      <c r="AQ91">
        <f t="shared" si="44"/>
        <v>151.69999999999999</v>
      </c>
      <c r="AR91">
        <v>158.19999999999999</v>
      </c>
      <c r="AS91">
        <f t="shared" si="45"/>
        <v>158.19999999999999</v>
      </c>
      <c r="AT91">
        <v>141.4</v>
      </c>
      <c r="AU91">
        <f t="shared" si="46"/>
        <v>141.4</v>
      </c>
      <c r="AV91">
        <v>153.19999999999999</v>
      </c>
      <c r="AW91">
        <f t="shared" si="47"/>
        <v>153.19999999999999</v>
      </c>
      <c r="AX91">
        <v>161.80000000000001</v>
      </c>
      <c r="AY91">
        <f t="shared" si="48"/>
        <v>161.80000000000001</v>
      </c>
      <c r="AZ91">
        <v>151.19999999999999</v>
      </c>
      <c r="BA91">
        <f t="shared" si="49"/>
        <v>151.19999999999999</v>
      </c>
      <c r="BB91">
        <v>151.69999999999999</v>
      </c>
      <c r="BC91">
        <f t="shared" si="50"/>
        <v>151.69999999999999</v>
      </c>
      <c r="BD91">
        <v>152.69999999999999</v>
      </c>
      <c r="BE91">
        <f t="shared" si="51"/>
        <v>152.69999999999999</v>
      </c>
    </row>
    <row r="92" spans="1:57">
      <c r="A92" t="s">
        <v>30</v>
      </c>
      <c r="B92">
        <v>2020</v>
      </c>
      <c r="C92" t="s">
        <v>41</v>
      </c>
      <c r="D92">
        <v>147.6</v>
      </c>
      <c r="E92">
        <f t="shared" si="26"/>
        <v>148</v>
      </c>
      <c r="F92">
        <v>187.2</v>
      </c>
      <c r="G92">
        <f t="shared" si="27"/>
        <v>189.26666666666665</v>
      </c>
      <c r="H92">
        <v>148.4</v>
      </c>
      <c r="I92">
        <f t="shared" si="28"/>
        <v>149.06666666666669</v>
      </c>
      <c r="J92">
        <v>153.30000000000001</v>
      </c>
      <c r="K92">
        <f t="shared" si="29"/>
        <v>153.30000000000001</v>
      </c>
      <c r="L92">
        <v>139.80000000000001</v>
      </c>
      <c r="M92">
        <f t="shared" si="30"/>
        <v>138.73333333333332</v>
      </c>
      <c r="N92">
        <v>146.9</v>
      </c>
      <c r="O92">
        <f t="shared" si="31"/>
        <v>144.43333333333331</v>
      </c>
      <c r="P92">
        <v>171</v>
      </c>
      <c r="Q92">
        <f t="shared" si="32"/>
        <v>156.26666666666668</v>
      </c>
      <c r="R92">
        <v>149.9</v>
      </c>
      <c r="S92">
        <f t="shared" si="33"/>
        <v>150.16666666666666</v>
      </c>
      <c r="T92">
        <v>114.2</v>
      </c>
      <c r="U92">
        <f t="shared" si="34"/>
        <v>113.53333333333335</v>
      </c>
      <c r="V92">
        <v>160</v>
      </c>
      <c r="W92">
        <f t="shared" si="35"/>
        <v>159.86666666666667</v>
      </c>
      <c r="X92">
        <v>143.5</v>
      </c>
      <c r="Y92">
        <f t="shared" si="36"/>
        <v>142.56666666666666</v>
      </c>
      <c r="Z92">
        <v>161.5</v>
      </c>
      <c r="AA92">
        <f t="shared" si="37"/>
        <v>161.70000000000002</v>
      </c>
      <c r="AB92">
        <v>155.30000000000001</v>
      </c>
      <c r="AC92">
        <f t="shared" si="38"/>
        <v>153.30000000000001</v>
      </c>
      <c r="AD92">
        <v>180.9</v>
      </c>
      <c r="AE92">
        <f t="shared" si="39"/>
        <v>181.9</v>
      </c>
      <c r="AF92">
        <v>155.1</v>
      </c>
      <c r="AG92">
        <f t="shared" si="40"/>
        <v>154.83333333333334</v>
      </c>
      <c r="AH92">
        <v>149.30000000000001</v>
      </c>
      <c r="AI92">
        <f t="shared" si="41"/>
        <v>149.76666666666668</v>
      </c>
      <c r="AJ92">
        <v>154.30000000000001</v>
      </c>
      <c r="AK92">
        <f t="shared" si="42"/>
        <v>154.16666666666666</v>
      </c>
      <c r="AL92" t="s">
        <v>32</v>
      </c>
      <c r="AN92">
        <v>145.80000000000001</v>
      </c>
      <c r="AO92">
        <f t="shared" si="43"/>
        <v>145.20000000000002</v>
      </c>
      <c r="AP92">
        <v>151.9</v>
      </c>
      <c r="AQ92">
        <f t="shared" si="44"/>
        <v>151.76666666666665</v>
      </c>
      <c r="AR92">
        <v>158.80000000000001</v>
      </c>
      <c r="AS92">
        <f t="shared" si="45"/>
        <v>158.4</v>
      </c>
      <c r="AT92">
        <v>143.6</v>
      </c>
      <c r="AU92">
        <f t="shared" si="46"/>
        <v>142.13333333333333</v>
      </c>
      <c r="AV92">
        <v>152.19999999999999</v>
      </c>
      <c r="AW92">
        <f t="shared" si="47"/>
        <v>152.86666666666665</v>
      </c>
      <c r="AX92">
        <v>162.69999999999999</v>
      </c>
      <c r="AY92">
        <f t="shared" si="48"/>
        <v>162.1</v>
      </c>
      <c r="AZ92">
        <v>153.6</v>
      </c>
      <c r="BA92">
        <f t="shared" si="49"/>
        <v>152</v>
      </c>
      <c r="BB92">
        <v>153</v>
      </c>
      <c r="BC92">
        <f t="shared" si="50"/>
        <v>152.13333333333333</v>
      </c>
      <c r="BD92">
        <v>154.69999999999999</v>
      </c>
      <c r="BE92">
        <f t="shared" si="51"/>
        <v>153.36666666666665</v>
      </c>
    </row>
    <row r="93" spans="1:57">
      <c r="A93" t="s">
        <v>30</v>
      </c>
      <c r="B93">
        <v>2020</v>
      </c>
      <c r="C93" t="s">
        <v>42</v>
      </c>
      <c r="D93">
        <v>146.9</v>
      </c>
      <c r="E93">
        <f t="shared" si="26"/>
        <v>147.56666666666663</v>
      </c>
      <c r="F93">
        <v>183.9</v>
      </c>
      <c r="G93">
        <f t="shared" si="27"/>
        <v>187.13333333333333</v>
      </c>
      <c r="H93">
        <v>149.5</v>
      </c>
      <c r="I93">
        <f t="shared" si="28"/>
        <v>149.1</v>
      </c>
      <c r="J93">
        <v>153.4</v>
      </c>
      <c r="K93">
        <f t="shared" si="29"/>
        <v>153.33333333333334</v>
      </c>
      <c r="L93">
        <v>140.4</v>
      </c>
      <c r="M93">
        <f t="shared" si="30"/>
        <v>139.46666666666667</v>
      </c>
      <c r="N93">
        <v>147</v>
      </c>
      <c r="O93">
        <f t="shared" si="31"/>
        <v>145.70000000000002</v>
      </c>
      <c r="P93">
        <v>178.8</v>
      </c>
      <c r="Q93">
        <f t="shared" si="32"/>
        <v>166.23333333333332</v>
      </c>
      <c r="R93">
        <v>149.30000000000001</v>
      </c>
      <c r="S93">
        <f t="shared" si="33"/>
        <v>149.83333333333334</v>
      </c>
      <c r="T93">
        <v>115.1</v>
      </c>
      <c r="U93">
        <f t="shared" si="34"/>
        <v>114.16666666666667</v>
      </c>
      <c r="V93">
        <v>160</v>
      </c>
      <c r="W93">
        <f t="shared" si="35"/>
        <v>159.93333333333334</v>
      </c>
      <c r="X93">
        <v>145.4</v>
      </c>
      <c r="Y93">
        <f t="shared" si="36"/>
        <v>143.66666666666666</v>
      </c>
      <c r="Z93">
        <v>161.6</v>
      </c>
      <c r="AA93">
        <f t="shared" si="37"/>
        <v>161.63333333333333</v>
      </c>
      <c r="AB93">
        <v>156.1</v>
      </c>
      <c r="AC93">
        <f t="shared" si="38"/>
        <v>154.56666666666669</v>
      </c>
      <c r="AD93">
        <v>182.9</v>
      </c>
      <c r="AE93">
        <f t="shared" si="39"/>
        <v>182.06666666666669</v>
      </c>
      <c r="AF93">
        <v>155.4</v>
      </c>
      <c r="AG93">
        <f t="shared" si="40"/>
        <v>155.06666666666663</v>
      </c>
      <c r="AH93">
        <v>149.9</v>
      </c>
      <c r="AI93">
        <f t="shared" si="41"/>
        <v>149.73333333333335</v>
      </c>
      <c r="AJ93">
        <v>154.6</v>
      </c>
      <c r="AK93">
        <f t="shared" si="42"/>
        <v>154.33333333333334</v>
      </c>
      <c r="AL93" t="s">
        <v>32</v>
      </c>
      <c r="AN93">
        <v>146.4</v>
      </c>
      <c r="AO93">
        <f t="shared" si="43"/>
        <v>145.70000000000002</v>
      </c>
      <c r="AP93">
        <v>151.6</v>
      </c>
      <c r="AQ93">
        <f t="shared" si="44"/>
        <v>151.73333333333335</v>
      </c>
      <c r="AR93">
        <v>159.1</v>
      </c>
      <c r="AS93">
        <f t="shared" si="45"/>
        <v>158.70000000000002</v>
      </c>
      <c r="AT93">
        <v>144.6</v>
      </c>
      <c r="AU93">
        <f t="shared" si="46"/>
        <v>143.20000000000002</v>
      </c>
      <c r="AV93">
        <v>152.80000000000001</v>
      </c>
      <c r="AW93">
        <f t="shared" si="47"/>
        <v>152.73333333333332</v>
      </c>
      <c r="AX93">
        <v>161.1</v>
      </c>
      <c r="AY93">
        <f t="shared" si="48"/>
        <v>161.86666666666667</v>
      </c>
      <c r="AZ93">
        <v>157.4</v>
      </c>
      <c r="BA93">
        <f t="shared" si="49"/>
        <v>154.06666666666663</v>
      </c>
      <c r="BB93">
        <v>153.69999999999999</v>
      </c>
      <c r="BC93">
        <f t="shared" si="50"/>
        <v>152.79999999999998</v>
      </c>
      <c r="BD93">
        <v>155.4</v>
      </c>
      <c r="BE93">
        <f t="shared" si="51"/>
        <v>154.26666666666665</v>
      </c>
    </row>
    <row r="94" spans="1:57">
      <c r="A94" t="s">
        <v>30</v>
      </c>
      <c r="B94">
        <v>2020</v>
      </c>
      <c r="C94" t="s">
        <v>43</v>
      </c>
      <c r="D94">
        <v>146</v>
      </c>
      <c r="E94">
        <f t="shared" si="26"/>
        <v>146.83333333333334</v>
      </c>
      <c r="F94">
        <v>186.3</v>
      </c>
      <c r="G94">
        <f t="shared" si="27"/>
        <v>185.80000000000004</v>
      </c>
      <c r="H94">
        <v>159.19999999999999</v>
      </c>
      <c r="I94">
        <f t="shared" si="28"/>
        <v>152.36666666666665</v>
      </c>
      <c r="J94">
        <v>153.6</v>
      </c>
      <c r="K94">
        <f t="shared" si="29"/>
        <v>153.43333333333337</v>
      </c>
      <c r="L94">
        <v>142.6</v>
      </c>
      <c r="M94">
        <f t="shared" si="30"/>
        <v>140.93333333333337</v>
      </c>
      <c r="N94">
        <v>147.19999999999999</v>
      </c>
      <c r="O94">
        <f t="shared" si="31"/>
        <v>147.03333333333333</v>
      </c>
      <c r="P94">
        <v>200.6</v>
      </c>
      <c r="Q94">
        <f t="shared" si="32"/>
        <v>183.46666666666667</v>
      </c>
      <c r="R94">
        <v>150.30000000000001</v>
      </c>
      <c r="S94">
        <f t="shared" si="33"/>
        <v>149.83333333333334</v>
      </c>
      <c r="T94">
        <v>115.3</v>
      </c>
      <c r="U94">
        <f t="shared" si="34"/>
        <v>114.86666666666667</v>
      </c>
      <c r="V94">
        <v>160.9</v>
      </c>
      <c r="W94">
        <f t="shared" si="35"/>
        <v>160.29999999999998</v>
      </c>
      <c r="X94">
        <v>147.4</v>
      </c>
      <c r="Y94">
        <f t="shared" si="36"/>
        <v>145.43333333333331</v>
      </c>
      <c r="Z94">
        <v>161.9</v>
      </c>
      <c r="AA94">
        <f t="shared" si="37"/>
        <v>161.66666666666666</v>
      </c>
      <c r="AB94">
        <v>159.6</v>
      </c>
      <c r="AC94">
        <f t="shared" si="38"/>
        <v>157</v>
      </c>
      <c r="AD94">
        <v>182.7</v>
      </c>
      <c r="AE94">
        <f t="shared" si="39"/>
        <v>182.16666666666666</v>
      </c>
      <c r="AF94">
        <v>155.69999999999999</v>
      </c>
      <c r="AG94">
        <f t="shared" si="40"/>
        <v>155.4</v>
      </c>
      <c r="AH94">
        <v>150.6</v>
      </c>
      <c r="AI94">
        <f t="shared" si="41"/>
        <v>149.93333333333337</v>
      </c>
      <c r="AJ94">
        <v>155</v>
      </c>
      <c r="AK94">
        <f t="shared" si="42"/>
        <v>154.63333333333333</v>
      </c>
      <c r="AL94" t="s">
        <v>32</v>
      </c>
      <c r="AN94">
        <v>146.80000000000001</v>
      </c>
      <c r="AO94">
        <f t="shared" si="43"/>
        <v>146.33333333333334</v>
      </c>
      <c r="AP94">
        <v>152</v>
      </c>
      <c r="AQ94">
        <f t="shared" si="44"/>
        <v>151.83333333333334</v>
      </c>
      <c r="AR94">
        <v>159.5</v>
      </c>
      <c r="AS94">
        <f t="shared" si="45"/>
        <v>159.13333333333333</v>
      </c>
      <c r="AT94">
        <v>146.4</v>
      </c>
      <c r="AU94">
        <f t="shared" si="46"/>
        <v>144.86666666666667</v>
      </c>
      <c r="AV94">
        <v>152.4</v>
      </c>
      <c r="AW94">
        <f t="shared" si="47"/>
        <v>152.46666666666667</v>
      </c>
      <c r="AX94">
        <v>162.5</v>
      </c>
      <c r="AY94">
        <f t="shared" si="48"/>
        <v>162.1</v>
      </c>
      <c r="AZ94">
        <v>156.19999999999999</v>
      </c>
      <c r="BA94">
        <f t="shared" si="49"/>
        <v>155.73333333333332</v>
      </c>
      <c r="BB94">
        <v>154.30000000000001</v>
      </c>
      <c r="BC94">
        <f t="shared" si="50"/>
        <v>153.66666666666666</v>
      </c>
      <c r="BD94">
        <v>157.5</v>
      </c>
      <c r="BE94">
        <f t="shared" si="51"/>
        <v>155.86666666666667</v>
      </c>
    </row>
    <row r="95" spans="1:57">
      <c r="A95" t="s">
        <v>30</v>
      </c>
      <c r="B95">
        <v>2020</v>
      </c>
      <c r="C95" t="s">
        <v>45</v>
      </c>
      <c r="D95">
        <v>145.4</v>
      </c>
      <c r="E95">
        <f t="shared" si="26"/>
        <v>146.1</v>
      </c>
      <c r="F95">
        <v>188.6</v>
      </c>
      <c r="G95">
        <f t="shared" si="27"/>
        <v>186.26666666666668</v>
      </c>
      <c r="H95">
        <v>171.6</v>
      </c>
      <c r="I95">
        <f t="shared" si="28"/>
        <v>160.1</v>
      </c>
      <c r="J95">
        <v>153.80000000000001</v>
      </c>
      <c r="K95">
        <f t="shared" si="29"/>
        <v>153.6</v>
      </c>
      <c r="L95">
        <v>145.4</v>
      </c>
      <c r="M95">
        <f t="shared" si="30"/>
        <v>142.79999999999998</v>
      </c>
      <c r="N95">
        <v>146.5</v>
      </c>
      <c r="O95">
        <f t="shared" si="31"/>
        <v>146.9</v>
      </c>
      <c r="P95">
        <v>222.2</v>
      </c>
      <c r="Q95">
        <f t="shared" si="32"/>
        <v>200.5333333333333</v>
      </c>
      <c r="R95">
        <v>155.9</v>
      </c>
      <c r="S95">
        <f t="shared" si="33"/>
        <v>151.83333333333334</v>
      </c>
      <c r="T95">
        <v>114.9</v>
      </c>
      <c r="U95">
        <f t="shared" si="34"/>
        <v>115.09999999999998</v>
      </c>
      <c r="V95">
        <v>162</v>
      </c>
      <c r="W95">
        <f t="shared" si="35"/>
        <v>160.96666666666667</v>
      </c>
      <c r="X95">
        <v>150</v>
      </c>
      <c r="Y95">
        <f t="shared" si="36"/>
        <v>147.6</v>
      </c>
      <c r="Z95">
        <v>162.69999999999999</v>
      </c>
      <c r="AA95">
        <f t="shared" si="37"/>
        <v>162.06666666666666</v>
      </c>
      <c r="AB95">
        <v>163.4</v>
      </c>
      <c r="AC95">
        <f t="shared" si="38"/>
        <v>159.70000000000002</v>
      </c>
      <c r="AD95">
        <v>183.4</v>
      </c>
      <c r="AE95">
        <f t="shared" si="39"/>
        <v>183</v>
      </c>
      <c r="AF95">
        <v>156.30000000000001</v>
      </c>
      <c r="AG95">
        <f t="shared" si="40"/>
        <v>155.80000000000001</v>
      </c>
      <c r="AH95">
        <v>151</v>
      </c>
      <c r="AI95">
        <f t="shared" si="41"/>
        <v>150.5</v>
      </c>
      <c r="AJ95">
        <v>155.5</v>
      </c>
      <c r="AK95">
        <f t="shared" si="42"/>
        <v>155.03333333333333</v>
      </c>
      <c r="AL95" t="s">
        <v>32</v>
      </c>
      <c r="AN95">
        <v>147.5</v>
      </c>
      <c r="AO95">
        <f t="shared" si="43"/>
        <v>146.9</v>
      </c>
      <c r="AP95">
        <v>152.80000000000001</v>
      </c>
      <c r="AQ95">
        <f t="shared" si="44"/>
        <v>152.13333333333335</v>
      </c>
      <c r="AR95">
        <v>160.4</v>
      </c>
      <c r="AS95">
        <f t="shared" si="45"/>
        <v>159.66666666666666</v>
      </c>
      <c r="AT95">
        <v>146.1</v>
      </c>
      <c r="AU95">
        <f t="shared" si="46"/>
        <v>145.70000000000002</v>
      </c>
      <c r="AV95">
        <v>153.6</v>
      </c>
      <c r="AW95">
        <f t="shared" si="47"/>
        <v>152.93333333333337</v>
      </c>
      <c r="AX95">
        <v>161.6</v>
      </c>
      <c r="AY95">
        <f t="shared" si="48"/>
        <v>161.73333333333335</v>
      </c>
      <c r="AZ95">
        <v>156.19999999999999</v>
      </c>
      <c r="BA95">
        <f t="shared" si="49"/>
        <v>156.6</v>
      </c>
      <c r="BB95">
        <v>154.5</v>
      </c>
      <c r="BC95">
        <f t="shared" si="50"/>
        <v>154.16666666666666</v>
      </c>
      <c r="BD95">
        <v>159.80000000000001</v>
      </c>
      <c r="BE95">
        <f t="shared" si="51"/>
        <v>157.56666666666666</v>
      </c>
    </row>
    <row r="96" spans="1:57">
      <c r="A96" t="s">
        <v>30</v>
      </c>
      <c r="B96">
        <v>2020</v>
      </c>
      <c r="C96" t="s">
        <v>46</v>
      </c>
      <c r="D96">
        <v>144.6</v>
      </c>
      <c r="E96">
        <f t="shared" si="26"/>
        <v>145.33333333333334</v>
      </c>
      <c r="F96">
        <v>188.5</v>
      </c>
      <c r="G96">
        <f t="shared" si="27"/>
        <v>187.79999999999998</v>
      </c>
      <c r="H96">
        <v>173.4</v>
      </c>
      <c r="I96">
        <f t="shared" si="28"/>
        <v>168.06666666666663</v>
      </c>
      <c r="J96">
        <v>154</v>
      </c>
      <c r="K96">
        <f t="shared" si="29"/>
        <v>153.79999999999998</v>
      </c>
      <c r="L96">
        <v>150</v>
      </c>
      <c r="M96">
        <f t="shared" si="30"/>
        <v>146</v>
      </c>
      <c r="N96">
        <v>145.9</v>
      </c>
      <c r="O96">
        <f t="shared" si="31"/>
        <v>146.53333333333333</v>
      </c>
      <c r="P96">
        <v>225.2</v>
      </c>
      <c r="Q96">
        <f t="shared" si="32"/>
        <v>216</v>
      </c>
      <c r="R96">
        <v>159.5</v>
      </c>
      <c r="S96">
        <f t="shared" si="33"/>
        <v>155.23333333333335</v>
      </c>
      <c r="T96">
        <v>114.4</v>
      </c>
      <c r="U96">
        <f t="shared" si="34"/>
        <v>114.86666666666667</v>
      </c>
      <c r="V96">
        <v>163.5</v>
      </c>
      <c r="W96">
        <f t="shared" si="35"/>
        <v>162.13333333333333</v>
      </c>
      <c r="X96">
        <v>153.4</v>
      </c>
      <c r="Y96">
        <f t="shared" si="36"/>
        <v>150.26666666666665</v>
      </c>
      <c r="Z96">
        <v>163.6</v>
      </c>
      <c r="AA96">
        <f t="shared" si="37"/>
        <v>162.73333333333335</v>
      </c>
      <c r="AB96">
        <v>164.5</v>
      </c>
      <c r="AC96">
        <f t="shared" si="38"/>
        <v>162.5</v>
      </c>
      <c r="AD96">
        <v>183.6</v>
      </c>
      <c r="AE96">
        <f t="shared" si="39"/>
        <v>183.23333333333335</v>
      </c>
      <c r="AF96">
        <v>157</v>
      </c>
      <c r="AG96">
        <f t="shared" si="40"/>
        <v>156.33333333333334</v>
      </c>
      <c r="AH96">
        <v>151.6</v>
      </c>
      <c r="AI96">
        <f t="shared" si="41"/>
        <v>151.06666666666669</v>
      </c>
      <c r="AJ96">
        <v>156.30000000000001</v>
      </c>
      <c r="AK96">
        <f t="shared" si="42"/>
        <v>155.6</v>
      </c>
      <c r="AL96" t="s">
        <v>32</v>
      </c>
      <c r="AN96">
        <v>148.69999999999999</v>
      </c>
      <c r="AO96">
        <f t="shared" si="43"/>
        <v>147.66666666666666</v>
      </c>
      <c r="AP96">
        <v>153.4</v>
      </c>
      <c r="AQ96">
        <f t="shared" si="44"/>
        <v>152.73333333333335</v>
      </c>
      <c r="AR96">
        <v>161.6</v>
      </c>
      <c r="AS96">
        <f t="shared" si="45"/>
        <v>160.5</v>
      </c>
      <c r="AT96">
        <v>146.4</v>
      </c>
      <c r="AU96">
        <f t="shared" si="46"/>
        <v>146.29999999999998</v>
      </c>
      <c r="AV96">
        <v>153.9</v>
      </c>
      <c r="AW96">
        <f t="shared" si="47"/>
        <v>153.29999999999998</v>
      </c>
      <c r="AX96">
        <v>162.9</v>
      </c>
      <c r="AY96">
        <f t="shared" si="48"/>
        <v>162.33333333333334</v>
      </c>
      <c r="AZ96">
        <v>156.6</v>
      </c>
      <c r="BA96">
        <f t="shared" si="49"/>
        <v>156.33333333333334</v>
      </c>
      <c r="BB96">
        <v>155.19999999999999</v>
      </c>
      <c r="BC96">
        <f t="shared" si="50"/>
        <v>154.66666666666666</v>
      </c>
      <c r="BD96">
        <v>160.69999999999999</v>
      </c>
      <c r="BE96">
        <f t="shared" si="51"/>
        <v>159.33333333333334</v>
      </c>
    </row>
    <row r="97" spans="1:57">
      <c r="A97" t="s">
        <v>30</v>
      </c>
      <c r="B97">
        <v>2021</v>
      </c>
      <c r="C97" t="s">
        <v>31</v>
      </c>
      <c r="D97">
        <v>143.4</v>
      </c>
      <c r="E97">
        <f t="shared" si="26"/>
        <v>144.46666666666667</v>
      </c>
      <c r="F97">
        <v>187.5</v>
      </c>
      <c r="G97">
        <f t="shared" si="27"/>
        <v>188.20000000000002</v>
      </c>
      <c r="H97">
        <v>173.4</v>
      </c>
      <c r="I97">
        <f t="shared" si="28"/>
        <v>172.79999999999998</v>
      </c>
      <c r="J97">
        <v>154</v>
      </c>
      <c r="K97">
        <f t="shared" si="29"/>
        <v>153.93333333333334</v>
      </c>
      <c r="L97">
        <v>154.80000000000001</v>
      </c>
      <c r="M97">
        <f t="shared" si="30"/>
        <v>150.06666666666666</v>
      </c>
      <c r="N97">
        <v>147</v>
      </c>
      <c r="O97">
        <f t="shared" si="31"/>
        <v>146.46666666666667</v>
      </c>
      <c r="P97">
        <v>187.8</v>
      </c>
      <c r="Q97">
        <f t="shared" si="32"/>
        <v>211.73333333333335</v>
      </c>
      <c r="R97">
        <v>159.5</v>
      </c>
      <c r="S97">
        <f t="shared" si="33"/>
        <v>158.29999999999998</v>
      </c>
      <c r="T97">
        <v>113.8</v>
      </c>
      <c r="U97">
        <f t="shared" si="34"/>
        <v>114.36666666666667</v>
      </c>
      <c r="V97">
        <v>164.5</v>
      </c>
      <c r="W97">
        <f t="shared" si="35"/>
        <v>163.33333333333334</v>
      </c>
      <c r="X97">
        <v>156.1</v>
      </c>
      <c r="Y97">
        <f t="shared" si="36"/>
        <v>153.16666666666666</v>
      </c>
      <c r="Z97">
        <v>164.3</v>
      </c>
      <c r="AA97">
        <f t="shared" si="37"/>
        <v>163.53333333333333</v>
      </c>
      <c r="AB97">
        <v>159.6</v>
      </c>
      <c r="AC97">
        <f t="shared" si="38"/>
        <v>162.5</v>
      </c>
      <c r="AD97">
        <v>184.6</v>
      </c>
      <c r="AE97">
        <f t="shared" si="39"/>
        <v>183.86666666666667</v>
      </c>
      <c r="AF97">
        <v>157.5</v>
      </c>
      <c r="AG97">
        <f t="shared" si="40"/>
        <v>156.93333333333334</v>
      </c>
      <c r="AH97">
        <v>152.4</v>
      </c>
      <c r="AI97">
        <f t="shared" si="41"/>
        <v>151.66666666666666</v>
      </c>
      <c r="AJ97">
        <v>156.80000000000001</v>
      </c>
      <c r="AK97">
        <f t="shared" si="42"/>
        <v>156.20000000000002</v>
      </c>
      <c r="AL97" t="s">
        <v>32</v>
      </c>
      <c r="AN97">
        <v>150.9</v>
      </c>
      <c r="AO97">
        <f t="shared" si="43"/>
        <v>149.03333333333333</v>
      </c>
      <c r="AP97">
        <v>153.9</v>
      </c>
      <c r="AQ97">
        <f t="shared" si="44"/>
        <v>153.36666666666667</v>
      </c>
      <c r="AR97">
        <v>162.5</v>
      </c>
      <c r="AS97">
        <f t="shared" si="45"/>
        <v>161.5</v>
      </c>
      <c r="AT97">
        <v>147.5</v>
      </c>
      <c r="AU97">
        <f t="shared" si="46"/>
        <v>146.66666666666666</v>
      </c>
      <c r="AV97">
        <v>155.1</v>
      </c>
      <c r="AW97">
        <f t="shared" si="47"/>
        <v>154.20000000000002</v>
      </c>
      <c r="AX97">
        <v>163.5</v>
      </c>
      <c r="AY97">
        <f t="shared" si="48"/>
        <v>162.66666666666666</v>
      </c>
      <c r="AZ97">
        <v>156.19999999999999</v>
      </c>
      <c r="BA97">
        <f t="shared" si="49"/>
        <v>156.33333333333331</v>
      </c>
      <c r="BB97">
        <v>155.9</v>
      </c>
      <c r="BC97">
        <f t="shared" si="50"/>
        <v>155.20000000000002</v>
      </c>
      <c r="BD97">
        <v>158.5</v>
      </c>
      <c r="BE97">
        <f t="shared" si="51"/>
        <v>159.66666666666666</v>
      </c>
    </row>
    <row r="98" spans="1:57">
      <c r="A98" t="s">
        <v>30</v>
      </c>
      <c r="B98">
        <v>2021</v>
      </c>
      <c r="C98" t="s">
        <v>35</v>
      </c>
      <c r="D98">
        <v>142.80000000000001</v>
      </c>
      <c r="E98">
        <f t="shared" si="26"/>
        <v>143.6</v>
      </c>
      <c r="F98">
        <v>184</v>
      </c>
      <c r="G98">
        <f t="shared" si="27"/>
        <v>186.66666666666666</v>
      </c>
      <c r="H98">
        <v>168</v>
      </c>
      <c r="I98">
        <f t="shared" si="28"/>
        <v>171.6</v>
      </c>
      <c r="J98">
        <v>154.4</v>
      </c>
      <c r="K98">
        <f t="shared" si="29"/>
        <v>154.13333333333333</v>
      </c>
      <c r="L98">
        <v>163</v>
      </c>
      <c r="M98">
        <f t="shared" si="30"/>
        <v>155.93333333333334</v>
      </c>
      <c r="N98">
        <v>147.80000000000001</v>
      </c>
      <c r="O98">
        <f t="shared" si="31"/>
        <v>146.9</v>
      </c>
      <c r="P98">
        <v>149.69999999999999</v>
      </c>
      <c r="Q98">
        <f t="shared" si="32"/>
        <v>187.56666666666669</v>
      </c>
      <c r="R98">
        <v>158.30000000000001</v>
      </c>
      <c r="S98">
        <f t="shared" si="33"/>
        <v>159.1</v>
      </c>
      <c r="T98">
        <v>111.8</v>
      </c>
      <c r="U98">
        <f t="shared" si="34"/>
        <v>113.33333333333333</v>
      </c>
      <c r="V98">
        <v>165</v>
      </c>
      <c r="W98">
        <f t="shared" si="35"/>
        <v>164.33333333333334</v>
      </c>
      <c r="X98">
        <v>160</v>
      </c>
      <c r="Y98">
        <f t="shared" si="36"/>
        <v>156.5</v>
      </c>
      <c r="Z98">
        <v>165.8</v>
      </c>
      <c r="AA98">
        <f t="shared" si="37"/>
        <v>164.56666666666666</v>
      </c>
      <c r="AB98">
        <v>154.69999999999999</v>
      </c>
      <c r="AC98">
        <f t="shared" si="38"/>
        <v>159.6</v>
      </c>
      <c r="AD98">
        <v>186.5</v>
      </c>
      <c r="AE98">
        <f t="shared" si="39"/>
        <v>184.9</v>
      </c>
      <c r="AF98">
        <v>159.1</v>
      </c>
      <c r="AG98">
        <f t="shared" si="40"/>
        <v>157.86666666666667</v>
      </c>
      <c r="AH98">
        <v>153.9</v>
      </c>
      <c r="AI98">
        <f t="shared" si="41"/>
        <v>152.63333333333333</v>
      </c>
      <c r="AJ98">
        <v>158.4</v>
      </c>
      <c r="AK98">
        <f t="shared" si="42"/>
        <v>157.16666666666666</v>
      </c>
      <c r="AL98" t="s">
        <v>32</v>
      </c>
      <c r="AN98">
        <v>154.4</v>
      </c>
      <c r="AO98">
        <f t="shared" si="43"/>
        <v>151.33333333333334</v>
      </c>
      <c r="AP98">
        <v>154.80000000000001</v>
      </c>
      <c r="AQ98">
        <f t="shared" si="44"/>
        <v>154.03333333333333</v>
      </c>
      <c r="AR98">
        <v>164.3</v>
      </c>
      <c r="AS98">
        <f t="shared" si="45"/>
        <v>162.80000000000001</v>
      </c>
      <c r="AT98">
        <v>150.19999999999999</v>
      </c>
      <c r="AU98">
        <f t="shared" si="46"/>
        <v>148.03333333333333</v>
      </c>
      <c r="AV98">
        <v>157</v>
      </c>
      <c r="AW98">
        <f t="shared" si="47"/>
        <v>155.33333333333334</v>
      </c>
      <c r="AX98">
        <v>163.6</v>
      </c>
      <c r="AY98">
        <f t="shared" si="48"/>
        <v>163.33333333333334</v>
      </c>
      <c r="AZ98">
        <v>155.19999999999999</v>
      </c>
      <c r="BA98">
        <f t="shared" si="49"/>
        <v>155.99999999999997</v>
      </c>
      <c r="BB98">
        <v>157.19999999999999</v>
      </c>
      <c r="BC98">
        <f t="shared" si="50"/>
        <v>156.1</v>
      </c>
      <c r="BD98">
        <v>156.69999999999999</v>
      </c>
      <c r="BE98">
        <f t="shared" si="51"/>
        <v>158.63333333333333</v>
      </c>
    </row>
    <row r="99" spans="1:57">
      <c r="A99" t="s">
        <v>30</v>
      </c>
      <c r="B99">
        <v>2021</v>
      </c>
      <c r="C99" t="s">
        <v>36</v>
      </c>
      <c r="D99">
        <v>142.5</v>
      </c>
      <c r="E99">
        <f t="shared" si="26"/>
        <v>142.9</v>
      </c>
      <c r="F99">
        <v>189.4</v>
      </c>
      <c r="G99">
        <f t="shared" si="27"/>
        <v>186.96666666666667</v>
      </c>
      <c r="H99">
        <v>163.19999999999999</v>
      </c>
      <c r="I99">
        <f t="shared" si="28"/>
        <v>168.2</v>
      </c>
      <c r="J99">
        <v>154.5</v>
      </c>
      <c r="K99">
        <f t="shared" si="29"/>
        <v>154.29999999999998</v>
      </c>
      <c r="L99">
        <v>168.2</v>
      </c>
      <c r="M99">
        <f t="shared" si="30"/>
        <v>162</v>
      </c>
      <c r="N99">
        <v>150.5</v>
      </c>
      <c r="O99">
        <f t="shared" si="31"/>
        <v>148.43333333333334</v>
      </c>
      <c r="P99">
        <v>141</v>
      </c>
      <c r="Q99">
        <f t="shared" si="32"/>
        <v>159.5</v>
      </c>
      <c r="R99">
        <v>159.19999999999999</v>
      </c>
      <c r="S99">
        <f t="shared" si="33"/>
        <v>159</v>
      </c>
      <c r="T99">
        <v>111.7</v>
      </c>
      <c r="U99">
        <f t="shared" si="34"/>
        <v>112.43333333333334</v>
      </c>
      <c r="V99">
        <v>164</v>
      </c>
      <c r="W99">
        <f t="shared" si="35"/>
        <v>164.5</v>
      </c>
      <c r="X99">
        <v>160.6</v>
      </c>
      <c r="Y99">
        <f t="shared" si="36"/>
        <v>158.9</v>
      </c>
      <c r="Z99">
        <v>166.4</v>
      </c>
      <c r="AA99">
        <f t="shared" si="37"/>
        <v>165.5</v>
      </c>
      <c r="AB99">
        <v>154.5</v>
      </c>
      <c r="AC99">
        <f t="shared" si="38"/>
        <v>156.26666666666665</v>
      </c>
      <c r="AD99">
        <v>186.1</v>
      </c>
      <c r="AE99">
        <f t="shared" si="39"/>
        <v>185.73333333333335</v>
      </c>
      <c r="AF99">
        <v>159.6</v>
      </c>
      <c r="AG99">
        <f t="shared" si="40"/>
        <v>158.73333333333335</v>
      </c>
      <c r="AH99">
        <v>154.4</v>
      </c>
      <c r="AI99">
        <f t="shared" si="41"/>
        <v>153.56666666666669</v>
      </c>
      <c r="AJ99">
        <v>158.9</v>
      </c>
      <c r="AK99">
        <f t="shared" si="42"/>
        <v>158.03333333333333</v>
      </c>
      <c r="AL99" t="s">
        <v>48</v>
      </c>
      <c r="AN99">
        <v>156</v>
      </c>
      <c r="AO99">
        <f t="shared" si="43"/>
        <v>153.76666666666668</v>
      </c>
      <c r="AP99">
        <v>154.80000000000001</v>
      </c>
      <c r="AQ99">
        <f t="shared" si="44"/>
        <v>154.50000000000003</v>
      </c>
      <c r="AR99">
        <v>164.6</v>
      </c>
      <c r="AS99">
        <f t="shared" si="45"/>
        <v>163.79999999999998</v>
      </c>
      <c r="AT99">
        <v>151.30000000000001</v>
      </c>
      <c r="AU99">
        <f t="shared" si="46"/>
        <v>149.66666666666666</v>
      </c>
      <c r="AV99">
        <v>157.80000000000001</v>
      </c>
      <c r="AW99">
        <f t="shared" si="47"/>
        <v>156.63333333333335</v>
      </c>
      <c r="AX99">
        <v>163.80000000000001</v>
      </c>
      <c r="AY99">
        <f t="shared" si="48"/>
        <v>163.63333333333335</v>
      </c>
      <c r="AZ99">
        <v>153.1</v>
      </c>
      <c r="BA99">
        <f t="shared" si="49"/>
        <v>154.83333333333334</v>
      </c>
      <c r="BB99">
        <v>157.30000000000001</v>
      </c>
      <c r="BC99">
        <f t="shared" si="50"/>
        <v>156.80000000000001</v>
      </c>
      <c r="BD99">
        <v>156.69999999999999</v>
      </c>
      <c r="BE99">
        <f t="shared" si="51"/>
        <v>157.29999999999998</v>
      </c>
    </row>
    <row r="100" spans="1:57">
      <c r="A100" t="s">
        <v>30</v>
      </c>
      <c r="B100">
        <v>2021</v>
      </c>
      <c r="C100" t="s">
        <v>37</v>
      </c>
      <c r="D100">
        <v>142.69999999999999</v>
      </c>
      <c r="E100">
        <f t="shared" si="26"/>
        <v>142.66666666666666</v>
      </c>
      <c r="F100">
        <v>195.5</v>
      </c>
      <c r="G100">
        <f t="shared" si="27"/>
        <v>189.63333333333333</v>
      </c>
      <c r="H100">
        <v>163.4</v>
      </c>
      <c r="I100">
        <f t="shared" si="28"/>
        <v>164.86666666666667</v>
      </c>
      <c r="J100">
        <v>155</v>
      </c>
      <c r="K100">
        <f t="shared" si="29"/>
        <v>154.63333333333333</v>
      </c>
      <c r="L100">
        <v>175.2</v>
      </c>
      <c r="M100">
        <f t="shared" si="30"/>
        <v>168.79999999999998</v>
      </c>
      <c r="N100">
        <v>160.6</v>
      </c>
      <c r="O100">
        <f t="shared" si="31"/>
        <v>152.96666666666667</v>
      </c>
      <c r="P100">
        <v>135.1</v>
      </c>
      <c r="Q100">
        <f t="shared" si="32"/>
        <v>141.93333333333331</v>
      </c>
      <c r="R100">
        <v>161.1</v>
      </c>
      <c r="S100">
        <f t="shared" si="33"/>
        <v>159.53333333333333</v>
      </c>
      <c r="T100">
        <v>112.2</v>
      </c>
      <c r="U100">
        <f t="shared" si="34"/>
        <v>111.89999999999999</v>
      </c>
      <c r="V100">
        <v>164.4</v>
      </c>
      <c r="W100">
        <f t="shared" si="35"/>
        <v>164.46666666666667</v>
      </c>
      <c r="X100">
        <v>161.9</v>
      </c>
      <c r="Y100">
        <f t="shared" si="36"/>
        <v>160.83333333333334</v>
      </c>
      <c r="Z100">
        <v>166.8</v>
      </c>
      <c r="AA100">
        <f t="shared" si="37"/>
        <v>166.33333333333334</v>
      </c>
      <c r="AB100">
        <v>155.6</v>
      </c>
      <c r="AC100">
        <f t="shared" si="38"/>
        <v>154.93333333333331</v>
      </c>
      <c r="AD100">
        <v>186.8</v>
      </c>
      <c r="AE100">
        <f t="shared" si="39"/>
        <v>186.4666666666667</v>
      </c>
      <c r="AF100">
        <v>160.69999999999999</v>
      </c>
      <c r="AG100">
        <f t="shared" si="40"/>
        <v>159.79999999999998</v>
      </c>
      <c r="AH100">
        <v>155.1</v>
      </c>
      <c r="AI100">
        <f t="shared" si="41"/>
        <v>154.46666666666667</v>
      </c>
      <c r="AJ100">
        <v>159.9</v>
      </c>
      <c r="AK100">
        <f t="shared" si="42"/>
        <v>159.06666666666669</v>
      </c>
      <c r="AL100" t="s">
        <v>48</v>
      </c>
      <c r="AN100">
        <v>156</v>
      </c>
      <c r="AO100">
        <f t="shared" si="43"/>
        <v>155.46666666666667</v>
      </c>
      <c r="AP100">
        <v>155.5</v>
      </c>
      <c r="AQ100">
        <f t="shared" si="44"/>
        <v>155.03333333333333</v>
      </c>
      <c r="AR100">
        <v>165.3</v>
      </c>
      <c r="AS100">
        <f t="shared" si="45"/>
        <v>164.73333333333332</v>
      </c>
      <c r="AT100">
        <v>151.69999999999999</v>
      </c>
      <c r="AU100">
        <f t="shared" si="46"/>
        <v>151.06666666666666</v>
      </c>
      <c r="AV100">
        <v>158.6</v>
      </c>
      <c r="AW100">
        <f t="shared" si="47"/>
        <v>157.79999999999998</v>
      </c>
      <c r="AX100">
        <v>164.1</v>
      </c>
      <c r="AY100">
        <f t="shared" si="48"/>
        <v>163.83333333333334</v>
      </c>
      <c r="AZ100">
        <v>154.6</v>
      </c>
      <c r="BA100">
        <f t="shared" si="49"/>
        <v>154.29999999999998</v>
      </c>
      <c r="BB100">
        <v>158</v>
      </c>
      <c r="BC100">
        <f t="shared" si="50"/>
        <v>157.5</v>
      </c>
      <c r="BD100">
        <v>157.6</v>
      </c>
      <c r="BE100">
        <f t="shared" si="51"/>
        <v>157</v>
      </c>
    </row>
    <row r="101" spans="1:57">
      <c r="A101" t="s">
        <v>30</v>
      </c>
      <c r="B101">
        <v>2021</v>
      </c>
      <c r="C101" t="s">
        <v>38</v>
      </c>
      <c r="D101">
        <v>145.1</v>
      </c>
      <c r="E101">
        <f t="shared" si="26"/>
        <v>143.43333333333331</v>
      </c>
      <c r="F101">
        <v>198.5</v>
      </c>
      <c r="G101">
        <f t="shared" si="27"/>
        <v>194.46666666666667</v>
      </c>
      <c r="H101">
        <v>168.6</v>
      </c>
      <c r="I101">
        <f t="shared" si="28"/>
        <v>165.06666666666669</v>
      </c>
      <c r="J101">
        <v>155.80000000000001</v>
      </c>
      <c r="K101">
        <f t="shared" si="29"/>
        <v>155.1</v>
      </c>
      <c r="L101">
        <v>184.4</v>
      </c>
      <c r="M101">
        <f t="shared" si="30"/>
        <v>175.93333333333331</v>
      </c>
      <c r="N101">
        <v>162.30000000000001</v>
      </c>
      <c r="O101">
        <f t="shared" si="31"/>
        <v>157.80000000000001</v>
      </c>
      <c r="P101">
        <v>138.4</v>
      </c>
      <c r="Q101">
        <f t="shared" si="32"/>
        <v>138.16666666666666</v>
      </c>
      <c r="R101">
        <v>165.1</v>
      </c>
      <c r="S101">
        <f t="shared" si="33"/>
        <v>161.79999999999998</v>
      </c>
      <c r="T101">
        <v>114.3</v>
      </c>
      <c r="U101">
        <f t="shared" si="34"/>
        <v>112.73333333333333</v>
      </c>
      <c r="V101">
        <v>169.7</v>
      </c>
      <c r="W101">
        <f t="shared" si="35"/>
        <v>166.03333333333333</v>
      </c>
      <c r="X101">
        <v>164.6</v>
      </c>
      <c r="Y101">
        <f t="shared" si="36"/>
        <v>162.36666666666667</v>
      </c>
      <c r="Z101">
        <v>169.8</v>
      </c>
      <c r="AA101">
        <f t="shared" si="37"/>
        <v>167.66666666666669</v>
      </c>
      <c r="AB101">
        <v>158.69999999999999</v>
      </c>
      <c r="AC101">
        <f t="shared" si="38"/>
        <v>156.26666666666668</v>
      </c>
      <c r="AD101">
        <v>189.6</v>
      </c>
      <c r="AE101">
        <f t="shared" si="39"/>
        <v>187.5</v>
      </c>
      <c r="AF101">
        <v>165.3</v>
      </c>
      <c r="AG101">
        <f t="shared" si="40"/>
        <v>161.86666666666665</v>
      </c>
      <c r="AH101">
        <v>160.6</v>
      </c>
      <c r="AI101">
        <f t="shared" si="41"/>
        <v>156.70000000000002</v>
      </c>
      <c r="AJ101">
        <v>164.5</v>
      </c>
      <c r="AK101">
        <f t="shared" si="42"/>
        <v>161.1</v>
      </c>
      <c r="AL101" t="s">
        <v>32</v>
      </c>
      <c r="AN101">
        <v>161.69999999999999</v>
      </c>
      <c r="AO101">
        <f t="shared" si="43"/>
        <v>157.9</v>
      </c>
      <c r="AP101">
        <v>158.80000000000001</v>
      </c>
      <c r="AQ101">
        <f t="shared" si="44"/>
        <v>156.36666666666667</v>
      </c>
      <c r="AR101">
        <v>169.1</v>
      </c>
      <c r="AS101">
        <f t="shared" si="45"/>
        <v>166.33333333333334</v>
      </c>
      <c r="AT101">
        <v>153.19999999999999</v>
      </c>
      <c r="AU101">
        <f t="shared" si="46"/>
        <v>152.06666666666666</v>
      </c>
      <c r="AV101">
        <v>160</v>
      </c>
      <c r="AW101">
        <f t="shared" si="47"/>
        <v>158.79999999999998</v>
      </c>
      <c r="AX101">
        <v>167.6</v>
      </c>
      <c r="AY101">
        <f t="shared" si="48"/>
        <v>165.16666666666666</v>
      </c>
      <c r="AZ101">
        <v>159.30000000000001</v>
      </c>
      <c r="BA101">
        <f t="shared" si="49"/>
        <v>155.66666666666666</v>
      </c>
      <c r="BB101">
        <v>161.1</v>
      </c>
      <c r="BC101">
        <f t="shared" si="50"/>
        <v>158.79999999999998</v>
      </c>
      <c r="BD101">
        <v>161.1</v>
      </c>
      <c r="BE101">
        <f t="shared" si="51"/>
        <v>158.46666666666667</v>
      </c>
    </row>
    <row r="102" spans="1:57">
      <c r="A102" t="s">
        <v>30</v>
      </c>
      <c r="B102">
        <v>2021</v>
      </c>
      <c r="C102" t="s">
        <v>39</v>
      </c>
      <c r="D102">
        <v>145.6</v>
      </c>
      <c r="E102">
        <f t="shared" si="26"/>
        <v>144.46666666666667</v>
      </c>
      <c r="F102">
        <v>200.1</v>
      </c>
      <c r="G102">
        <f t="shared" si="27"/>
        <v>198.03333333333333</v>
      </c>
      <c r="H102">
        <v>179.3</v>
      </c>
      <c r="I102">
        <f t="shared" si="28"/>
        <v>170.43333333333334</v>
      </c>
      <c r="J102">
        <v>156.1</v>
      </c>
      <c r="K102">
        <f t="shared" si="29"/>
        <v>155.63333333333333</v>
      </c>
      <c r="L102">
        <v>190.4</v>
      </c>
      <c r="M102">
        <f t="shared" si="30"/>
        <v>183.33333333333334</v>
      </c>
      <c r="N102">
        <v>158.6</v>
      </c>
      <c r="O102">
        <f t="shared" si="31"/>
        <v>160.5</v>
      </c>
      <c r="P102">
        <v>144.69999999999999</v>
      </c>
      <c r="Q102">
        <f t="shared" si="32"/>
        <v>139.4</v>
      </c>
      <c r="R102">
        <v>165.5</v>
      </c>
      <c r="S102">
        <f t="shared" si="33"/>
        <v>163.9</v>
      </c>
      <c r="T102">
        <v>114.6</v>
      </c>
      <c r="U102">
        <f t="shared" si="34"/>
        <v>113.7</v>
      </c>
      <c r="V102">
        <v>170</v>
      </c>
      <c r="W102">
        <f t="shared" si="35"/>
        <v>168.03333333333333</v>
      </c>
      <c r="X102">
        <v>165.5</v>
      </c>
      <c r="Y102">
        <f t="shared" si="36"/>
        <v>164</v>
      </c>
      <c r="Z102">
        <v>171.7</v>
      </c>
      <c r="AA102">
        <f t="shared" si="37"/>
        <v>169.43333333333334</v>
      </c>
      <c r="AB102">
        <v>160.5</v>
      </c>
      <c r="AC102">
        <f t="shared" si="38"/>
        <v>158.26666666666665</v>
      </c>
      <c r="AD102">
        <v>189.1</v>
      </c>
      <c r="AE102">
        <f t="shared" si="39"/>
        <v>188.5</v>
      </c>
      <c r="AF102">
        <v>165.3</v>
      </c>
      <c r="AG102">
        <f t="shared" si="40"/>
        <v>163.76666666666668</v>
      </c>
      <c r="AH102">
        <v>159.9</v>
      </c>
      <c r="AI102">
        <f t="shared" si="41"/>
        <v>158.53333333333333</v>
      </c>
      <c r="AJ102">
        <v>164.6</v>
      </c>
      <c r="AK102">
        <f t="shared" si="42"/>
        <v>163</v>
      </c>
      <c r="AL102" t="s">
        <v>32</v>
      </c>
      <c r="AN102">
        <v>162.1</v>
      </c>
      <c r="AO102">
        <f t="shared" si="43"/>
        <v>159.93333333333331</v>
      </c>
      <c r="AP102">
        <v>159.19999999999999</v>
      </c>
      <c r="AQ102">
        <f t="shared" si="44"/>
        <v>157.83333333333334</v>
      </c>
      <c r="AR102">
        <v>169.7</v>
      </c>
      <c r="AS102">
        <f t="shared" si="45"/>
        <v>168.03333333333333</v>
      </c>
      <c r="AT102">
        <v>154.19999999999999</v>
      </c>
      <c r="AU102">
        <f t="shared" si="46"/>
        <v>153.03333333333333</v>
      </c>
      <c r="AV102">
        <v>160.4</v>
      </c>
      <c r="AW102">
        <f t="shared" si="47"/>
        <v>159.66666666666666</v>
      </c>
      <c r="AX102">
        <v>166.8</v>
      </c>
      <c r="AY102">
        <f t="shared" si="48"/>
        <v>166.16666666666666</v>
      </c>
      <c r="AZ102">
        <v>159.4</v>
      </c>
      <c r="BA102">
        <f t="shared" si="49"/>
        <v>157.76666666666665</v>
      </c>
      <c r="BB102">
        <v>161.5</v>
      </c>
      <c r="BC102">
        <f t="shared" si="50"/>
        <v>160.20000000000002</v>
      </c>
      <c r="BD102">
        <v>162.1</v>
      </c>
      <c r="BE102">
        <f t="shared" si="51"/>
        <v>160.26666666666665</v>
      </c>
    </row>
    <row r="103" spans="1:57">
      <c r="A103" t="s">
        <v>30</v>
      </c>
      <c r="B103">
        <v>2021</v>
      </c>
      <c r="C103" t="s">
        <v>40</v>
      </c>
      <c r="D103">
        <v>145.1</v>
      </c>
      <c r="E103">
        <f t="shared" si="26"/>
        <v>145.26666666666665</v>
      </c>
      <c r="F103">
        <v>204.5</v>
      </c>
      <c r="G103">
        <f t="shared" si="27"/>
        <v>201.03333333333333</v>
      </c>
      <c r="H103">
        <v>180.4</v>
      </c>
      <c r="I103">
        <f t="shared" si="28"/>
        <v>176.1</v>
      </c>
      <c r="J103">
        <v>157.1</v>
      </c>
      <c r="K103">
        <f t="shared" si="29"/>
        <v>156.33333333333334</v>
      </c>
      <c r="L103">
        <v>188.7</v>
      </c>
      <c r="M103">
        <f t="shared" si="30"/>
        <v>187.83333333333334</v>
      </c>
      <c r="N103">
        <v>157.69999999999999</v>
      </c>
      <c r="O103">
        <f t="shared" si="31"/>
        <v>159.53333333333333</v>
      </c>
      <c r="P103">
        <v>152.80000000000001</v>
      </c>
      <c r="Q103">
        <f t="shared" si="32"/>
        <v>145.30000000000001</v>
      </c>
      <c r="R103">
        <v>163.6</v>
      </c>
      <c r="S103">
        <f t="shared" si="33"/>
        <v>164.73333333333335</v>
      </c>
      <c r="T103">
        <v>113.9</v>
      </c>
      <c r="U103">
        <f t="shared" si="34"/>
        <v>114.26666666666665</v>
      </c>
      <c r="V103">
        <v>169.7</v>
      </c>
      <c r="W103">
        <f t="shared" si="35"/>
        <v>169.79999999999998</v>
      </c>
      <c r="X103">
        <v>166.2</v>
      </c>
      <c r="Y103">
        <f t="shared" si="36"/>
        <v>165.43333333333334</v>
      </c>
      <c r="Z103">
        <v>171</v>
      </c>
      <c r="AA103">
        <f t="shared" si="37"/>
        <v>170.83333333333334</v>
      </c>
      <c r="AB103">
        <v>161.69999999999999</v>
      </c>
      <c r="AC103">
        <f t="shared" si="38"/>
        <v>160.29999999999998</v>
      </c>
      <c r="AD103">
        <v>189.7</v>
      </c>
      <c r="AE103">
        <f t="shared" si="39"/>
        <v>189.46666666666667</v>
      </c>
      <c r="AF103">
        <v>166</v>
      </c>
      <c r="AG103">
        <f t="shared" si="40"/>
        <v>165.53333333333333</v>
      </c>
      <c r="AH103">
        <v>161.1</v>
      </c>
      <c r="AI103">
        <f t="shared" si="41"/>
        <v>160.53333333333333</v>
      </c>
      <c r="AJ103">
        <v>165.3</v>
      </c>
      <c r="AK103">
        <f t="shared" si="42"/>
        <v>164.8</v>
      </c>
      <c r="AL103" t="s">
        <v>32</v>
      </c>
      <c r="AN103">
        <v>162.5</v>
      </c>
      <c r="AO103">
        <f t="shared" si="43"/>
        <v>162.1</v>
      </c>
      <c r="AP103">
        <v>160.30000000000001</v>
      </c>
      <c r="AQ103">
        <f t="shared" si="44"/>
        <v>159.43333333333334</v>
      </c>
      <c r="AR103">
        <v>170.4</v>
      </c>
      <c r="AS103">
        <f t="shared" si="45"/>
        <v>169.73333333333332</v>
      </c>
      <c r="AT103">
        <v>157.1</v>
      </c>
      <c r="AU103">
        <f t="shared" si="46"/>
        <v>154.83333333333334</v>
      </c>
      <c r="AV103">
        <v>160.69999999999999</v>
      </c>
      <c r="AW103">
        <f t="shared" si="47"/>
        <v>160.36666666666665</v>
      </c>
      <c r="AX103">
        <v>167.2</v>
      </c>
      <c r="AY103">
        <f t="shared" si="48"/>
        <v>167.2</v>
      </c>
      <c r="AZ103">
        <v>160.4</v>
      </c>
      <c r="BA103">
        <f t="shared" si="49"/>
        <v>159.70000000000002</v>
      </c>
      <c r="BB103">
        <v>162.80000000000001</v>
      </c>
      <c r="BC103">
        <f t="shared" si="50"/>
        <v>161.80000000000001</v>
      </c>
      <c r="BD103">
        <v>163.19999999999999</v>
      </c>
      <c r="BE103">
        <f t="shared" si="51"/>
        <v>162.13333333333333</v>
      </c>
    </row>
    <row r="104" spans="1:57">
      <c r="A104" t="s">
        <v>30</v>
      </c>
      <c r="B104">
        <v>2021</v>
      </c>
      <c r="C104" t="s">
        <v>41</v>
      </c>
      <c r="D104">
        <v>144.9</v>
      </c>
      <c r="E104">
        <f t="shared" si="26"/>
        <v>145.20000000000002</v>
      </c>
      <c r="F104">
        <v>202.3</v>
      </c>
      <c r="G104">
        <f t="shared" si="27"/>
        <v>202.30000000000004</v>
      </c>
      <c r="H104">
        <v>176.5</v>
      </c>
      <c r="I104">
        <f t="shared" si="28"/>
        <v>178.73333333333335</v>
      </c>
      <c r="J104">
        <v>157.5</v>
      </c>
      <c r="K104">
        <f t="shared" si="29"/>
        <v>156.9</v>
      </c>
      <c r="L104">
        <v>190.9</v>
      </c>
      <c r="M104">
        <f t="shared" si="30"/>
        <v>190</v>
      </c>
      <c r="N104">
        <v>155.69999999999999</v>
      </c>
      <c r="O104">
        <f t="shared" si="31"/>
        <v>157.33333333333331</v>
      </c>
      <c r="P104">
        <v>153.9</v>
      </c>
      <c r="Q104">
        <f t="shared" si="32"/>
        <v>150.46666666666667</v>
      </c>
      <c r="R104">
        <v>162.80000000000001</v>
      </c>
      <c r="S104">
        <f t="shared" si="33"/>
        <v>163.96666666666667</v>
      </c>
      <c r="T104">
        <v>115.2</v>
      </c>
      <c r="U104">
        <f t="shared" si="34"/>
        <v>114.56666666666666</v>
      </c>
      <c r="V104">
        <v>169.8</v>
      </c>
      <c r="W104">
        <f t="shared" si="35"/>
        <v>169.83333333333334</v>
      </c>
      <c r="X104">
        <v>167.6</v>
      </c>
      <c r="Y104">
        <f t="shared" si="36"/>
        <v>166.43333333333331</v>
      </c>
      <c r="Z104">
        <v>171.9</v>
      </c>
      <c r="AA104">
        <f t="shared" si="37"/>
        <v>171.53333333333333</v>
      </c>
      <c r="AB104">
        <v>161.80000000000001</v>
      </c>
      <c r="AC104">
        <f t="shared" si="38"/>
        <v>161.33333333333334</v>
      </c>
      <c r="AD104">
        <v>190.2</v>
      </c>
      <c r="AE104">
        <f t="shared" si="39"/>
        <v>189.66666666666666</v>
      </c>
      <c r="AF104">
        <v>167</v>
      </c>
      <c r="AG104">
        <f t="shared" si="40"/>
        <v>166.1</v>
      </c>
      <c r="AH104">
        <v>162.6</v>
      </c>
      <c r="AI104">
        <f t="shared" si="41"/>
        <v>161.20000000000002</v>
      </c>
      <c r="AJ104">
        <v>166.3</v>
      </c>
      <c r="AK104">
        <f t="shared" si="42"/>
        <v>165.4</v>
      </c>
      <c r="AL104" t="s">
        <v>32</v>
      </c>
      <c r="AN104">
        <v>163.1</v>
      </c>
      <c r="AO104">
        <f t="shared" si="43"/>
        <v>162.56666666666669</v>
      </c>
      <c r="AP104">
        <v>160.9</v>
      </c>
      <c r="AQ104">
        <f t="shared" si="44"/>
        <v>160.13333333333333</v>
      </c>
      <c r="AR104">
        <v>171.1</v>
      </c>
      <c r="AS104">
        <f t="shared" si="45"/>
        <v>170.4</v>
      </c>
      <c r="AT104">
        <v>157.69999999999999</v>
      </c>
      <c r="AU104">
        <f t="shared" si="46"/>
        <v>156.33333333333331</v>
      </c>
      <c r="AV104">
        <v>161.1</v>
      </c>
      <c r="AW104">
        <f t="shared" si="47"/>
        <v>160.73333333333335</v>
      </c>
      <c r="AX104">
        <v>167.5</v>
      </c>
      <c r="AY104">
        <f t="shared" si="48"/>
        <v>167.16666666666666</v>
      </c>
      <c r="AZ104">
        <v>160.30000000000001</v>
      </c>
      <c r="BA104">
        <f t="shared" si="49"/>
        <v>160.03333333333333</v>
      </c>
      <c r="BB104">
        <v>163.30000000000001</v>
      </c>
      <c r="BC104">
        <f t="shared" si="50"/>
        <v>162.53333333333333</v>
      </c>
      <c r="BD104">
        <v>163.6</v>
      </c>
      <c r="BE104">
        <f t="shared" si="51"/>
        <v>162.96666666666667</v>
      </c>
    </row>
    <row r="105" spans="1:57">
      <c r="A105" t="s">
        <v>30</v>
      </c>
      <c r="B105">
        <v>2021</v>
      </c>
      <c r="C105" t="s">
        <v>42</v>
      </c>
      <c r="D105">
        <v>145.4</v>
      </c>
      <c r="E105">
        <f t="shared" si="26"/>
        <v>145.13333333333333</v>
      </c>
      <c r="F105">
        <v>202.1</v>
      </c>
      <c r="G105">
        <f t="shared" si="27"/>
        <v>202.96666666666667</v>
      </c>
      <c r="H105">
        <v>172</v>
      </c>
      <c r="I105">
        <f t="shared" si="28"/>
        <v>176.29999999999998</v>
      </c>
      <c r="J105">
        <v>158</v>
      </c>
      <c r="K105">
        <f t="shared" si="29"/>
        <v>157.53333333333333</v>
      </c>
      <c r="L105">
        <v>195.5</v>
      </c>
      <c r="M105">
        <f t="shared" si="30"/>
        <v>191.70000000000002</v>
      </c>
      <c r="N105">
        <v>152.69999999999999</v>
      </c>
      <c r="O105">
        <f t="shared" si="31"/>
        <v>155.36666666666665</v>
      </c>
      <c r="P105">
        <v>151.4</v>
      </c>
      <c r="Q105">
        <f t="shared" si="32"/>
        <v>152.70000000000002</v>
      </c>
      <c r="R105">
        <v>163.9</v>
      </c>
      <c r="S105">
        <f t="shared" si="33"/>
        <v>163.43333333333331</v>
      </c>
      <c r="T105">
        <v>119.3</v>
      </c>
      <c r="U105">
        <f t="shared" si="34"/>
        <v>116.13333333333334</v>
      </c>
      <c r="V105">
        <v>170.1</v>
      </c>
      <c r="W105">
        <f t="shared" si="35"/>
        <v>169.86666666666667</v>
      </c>
      <c r="X105">
        <v>168.3</v>
      </c>
      <c r="Y105">
        <f t="shared" si="36"/>
        <v>167.36666666666665</v>
      </c>
      <c r="Z105">
        <v>172.8</v>
      </c>
      <c r="AA105">
        <f t="shared" si="37"/>
        <v>171.9</v>
      </c>
      <c r="AB105">
        <v>162.1</v>
      </c>
      <c r="AC105">
        <f t="shared" si="38"/>
        <v>161.86666666666667</v>
      </c>
      <c r="AD105">
        <v>190.5</v>
      </c>
      <c r="AE105">
        <f t="shared" si="39"/>
        <v>190.13333333333333</v>
      </c>
      <c r="AF105">
        <v>167.7</v>
      </c>
      <c r="AG105">
        <f t="shared" si="40"/>
        <v>166.9</v>
      </c>
      <c r="AH105">
        <v>163.6</v>
      </c>
      <c r="AI105">
        <f t="shared" si="41"/>
        <v>162.43333333333331</v>
      </c>
      <c r="AJ105">
        <v>167.1</v>
      </c>
      <c r="AK105">
        <f t="shared" si="42"/>
        <v>166.23333333333335</v>
      </c>
      <c r="AL105" t="s">
        <v>32</v>
      </c>
      <c r="AN105">
        <v>163.69999999999999</v>
      </c>
      <c r="AO105">
        <f t="shared" si="43"/>
        <v>163.1</v>
      </c>
      <c r="AP105">
        <v>161.30000000000001</v>
      </c>
      <c r="AQ105">
        <f t="shared" si="44"/>
        <v>160.83333333333334</v>
      </c>
      <c r="AR105">
        <v>171.9</v>
      </c>
      <c r="AS105">
        <f t="shared" si="45"/>
        <v>171.13333333333333</v>
      </c>
      <c r="AT105">
        <v>157.80000000000001</v>
      </c>
      <c r="AU105">
        <f t="shared" si="46"/>
        <v>157.53333333333333</v>
      </c>
      <c r="AV105">
        <v>162.69999999999999</v>
      </c>
      <c r="AW105">
        <f t="shared" si="47"/>
        <v>161.49999999999997</v>
      </c>
      <c r="AX105">
        <v>168.5</v>
      </c>
      <c r="AY105">
        <f t="shared" si="48"/>
        <v>167.73333333333332</v>
      </c>
      <c r="AZ105">
        <v>160.19999999999999</v>
      </c>
      <c r="BA105">
        <f t="shared" si="49"/>
        <v>160.30000000000001</v>
      </c>
      <c r="BB105">
        <v>163.80000000000001</v>
      </c>
      <c r="BC105">
        <f t="shared" si="50"/>
        <v>163.30000000000001</v>
      </c>
      <c r="BD105">
        <v>164</v>
      </c>
      <c r="BE105">
        <f t="shared" si="51"/>
        <v>163.6</v>
      </c>
    </row>
    <row r="106" spans="1:57">
      <c r="A106" t="s">
        <v>30</v>
      </c>
      <c r="B106">
        <v>2021</v>
      </c>
      <c r="C106" t="s">
        <v>43</v>
      </c>
      <c r="D106">
        <v>146.1</v>
      </c>
      <c r="E106">
        <f t="shared" si="26"/>
        <v>145.46666666666667</v>
      </c>
      <c r="F106">
        <v>202.5</v>
      </c>
      <c r="G106">
        <f t="shared" si="27"/>
        <v>202.29999999999998</v>
      </c>
      <c r="H106">
        <v>170.1</v>
      </c>
      <c r="I106">
        <f t="shared" si="28"/>
        <v>172.86666666666667</v>
      </c>
      <c r="J106">
        <v>158.4</v>
      </c>
      <c r="K106">
        <f t="shared" si="29"/>
        <v>157.96666666666667</v>
      </c>
      <c r="L106">
        <v>198.8</v>
      </c>
      <c r="M106">
        <f t="shared" si="30"/>
        <v>195.06666666666669</v>
      </c>
      <c r="N106">
        <v>152.6</v>
      </c>
      <c r="O106">
        <f t="shared" si="31"/>
        <v>153.66666666666666</v>
      </c>
      <c r="P106">
        <v>170.4</v>
      </c>
      <c r="Q106">
        <f t="shared" si="32"/>
        <v>158.56666666666669</v>
      </c>
      <c r="R106">
        <v>165.2</v>
      </c>
      <c r="S106">
        <f t="shared" si="33"/>
        <v>163.96666666666667</v>
      </c>
      <c r="T106">
        <v>121.6</v>
      </c>
      <c r="U106">
        <f t="shared" si="34"/>
        <v>118.7</v>
      </c>
      <c r="V106">
        <v>170.6</v>
      </c>
      <c r="W106">
        <f t="shared" si="35"/>
        <v>170.16666666666666</v>
      </c>
      <c r="X106">
        <v>168.8</v>
      </c>
      <c r="Y106">
        <f t="shared" si="36"/>
        <v>168.23333333333332</v>
      </c>
      <c r="Z106">
        <v>173.6</v>
      </c>
      <c r="AA106">
        <f t="shared" si="37"/>
        <v>172.76666666666668</v>
      </c>
      <c r="AB106">
        <v>165.5</v>
      </c>
      <c r="AC106">
        <f t="shared" si="38"/>
        <v>163.13333333333333</v>
      </c>
      <c r="AD106">
        <v>191.2</v>
      </c>
      <c r="AE106">
        <f t="shared" si="39"/>
        <v>190.63333333333333</v>
      </c>
      <c r="AF106">
        <v>168.9</v>
      </c>
      <c r="AG106">
        <f t="shared" si="40"/>
        <v>167.86666666666667</v>
      </c>
      <c r="AH106">
        <v>164.8</v>
      </c>
      <c r="AI106">
        <f t="shared" si="41"/>
        <v>163.66666666666666</v>
      </c>
      <c r="AJ106">
        <v>168.3</v>
      </c>
      <c r="AK106">
        <f t="shared" si="42"/>
        <v>167.23333333333332</v>
      </c>
      <c r="AL106" t="s">
        <v>32</v>
      </c>
      <c r="AN106">
        <v>165.5</v>
      </c>
      <c r="AO106">
        <f t="shared" si="43"/>
        <v>164.1</v>
      </c>
      <c r="AP106">
        <v>162</v>
      </c>
      <c r="AQ106">
        <f t="shared" si="44"/>
        <v>161.4</v>
      </c>
      <c r="AR106">
        <v>172.5</v>
      </c>
      <c r="AS106">
        <f t="shared" si="45"/>
        <v>171.83333333333334</v>
      </c>
      <c r="AT106">
        <v>159.5</v>
      </c>
      <c r="AU106">
        <f t="shared" si="46"/>
        <v>158.33333333333334</v>
      </c>
      <c r="AV106">
        <v>163.19999999999999</v>
      </c>
      <c r="AW106">
        <f t="shared" si="47"/>
        <v>162.33333333333331</v>
      </c>
      <c r="AX106">
        <v>169</v>
      </c>
      <c r="AY106">
        <f t="shared" si="48"/>
        <v>168.33333333333334</v>
      </c>
      <c r="AZ106">
        <v>161.1</v>
      </c>
      <c r="BA106">
        <f t="shared" si="49"/>
        <v>160.53333333333333</v>
      </c>
      <c r="BB106">
        <v>164.7</v>
      </c>
      <c r="BC106">
        <f t="shared" si="50"/>
        <v>163.93333333333334</v>
      </c>
      <c r="BD106">
        <v>166.3</v>
      </c>
      <c r="BE106">
        <f t="shared" si="51"/>
        <v>164.63333333333335</v>
      </c>
    </row>
    <row r="107" spans="1:57">
      <c r="A107" t="s">
        <v>30</v>
      </c>
      <c r="B107">
        <v>2021</v>
      </c>
      <c r="C107" t="s">
        <v>45</v>
      </c>
      <c r="D107">
        <v>146.9</v>
      </c>
      <c r="E107">
        <f t="shared" si="26"/>
        <v>146.13333333333333</v>
      </c>
      <c r="F107">
        <v>199.8</v>
      </c>
      <c r="G107">
        <f t="shared" si="27"/>
        <v>201.4666666666667</v>
      </c>
      <c r="H107">
        <v>171.5</v>
      </c>
      <c r="I107">
        <f t="shared" si="28"/>
        <v>171.20000000000002</v>
      </c>
      <c r="J107">
        <v>159.1</v>
      </c>
      <c r="K107">
        <f t="shared" si="29"/>
        <v>158.5</v>
      </c>
      <c r="L107">
        <v>198.4</v>
      </c>
      <c r="M107">
        <f t="shared" si="30"/>
        <v>197.56666666666669</v>
      </c>
      <c r="N107">
        <v>153.19999999999999</v>
      </c>
      <c r="O107">
        <f t="shared" si="31"/>
        <v>152.83333333333331</v>
      </c>
      <c r="P107">
        <v>183.9</v>
      </c>
      <c r="Q107">
        <f t="shared" si="32"/>
        <v>168.56666666666669</v>
      </c>
      <c r="R107">
        <v>165.4</v>
      </c>
      <c r="S107">
        <f t="shared" si="33"/>
        <v>164.83333333333334</v>
      </c>
      <c r="T107">
        <v>122.1</v>
      </c>
      <c r="U107">
        <f t="shared" si="34"/>
        <v>121</v>
      </c>
      <c r="V107">
        <v>170.8</v>
      </c>
      <c r="W107">
        <f t="shared" si="35"/>
        <v>170.5</v>
      </c>
      <c r="X107">
        <v>169.1</v>
      </c>
      <c r="Y107">
        <f t="shared" si="36"/>
        <v>168.73333333333335</v>
      </c>
      <c r="Z107">
        <v>174.3</v>
      </c>
      <c r="AA107">
        <f t="shared" si="37"/>
        <v>173.56666666666669</v>
      </c>
      <c r="AB107">
        <v>167.5</v>
      </c>
      <c r="AC107">
        <f t="shared" si="38"/>
        <v>165.03333333333333</v>
      </c>
      <c r="AD107">
        <v>191.4</v>
      </c>
      <c r="AE107">
        <f t="shared" si="39"/>
        <v>191.03333333333333</v>
      </c>
      <c r="AF107">
        <v>170.4</v>
      </c>
      <c r="AG107">
        <f t="shared" si="40"/>
        <v>169</v>
      </c>
      <c r="AH107">
        <v>166</v>
      </c>
      <c r="AI107">
        <f t="shared" si="41"/>
        <v>164.79999999999998</v>
      </c>
      <c r="AJ107">
        <v>169.8</v>
      </c>
      <c r="AK107">
        <f t="shared" si="42"/>
        <v>168.4</v>
      </c>
      <c r="AL107" t="s">
        <v>32</v>
      </c>
      <c r="AN107">
        <v>165.3</v>
      </c>
      <c r="AO107">
        <f t="shared" si="43"/>
        <v>164.83333333333334</v>
      </c>
      <c r="AP107">
        <v>162.9</v>
      </c>
      <c r="AQ107">
        <f t="shared" si="44"/>
        <v>162.06666666666669</v>
      </c>
      <c r="AR107">
        <v>173.4</v>
      </c>
      <c r="AS107">
        <f t="shared" si="45"/>
        <v>172.6</v>
      </c>
      <c r="AT107">
        <v>158.9</v>
      </c>
      <c r="AU107">
        <f t="shared" si="46"/>
        <v>158.73333333333335</v>
      </c>
      <c r="AV107">
        <v>163.80000000000001</v>
      </c>
      <c r="AW107">
        <f t="shared" si="47"/>
        <v>163.23333333333332</v>
      </c>
      <c r="AX107">
        <v>169.3</v>
      </c>
      <c r="AY107">
        <f t="shared" si="48"/>
        <v>168.93333333333334</v>
      </c>
      <c r="AZ107">
        <v>162.4</v>
      </c>
      <c r="BA107">
        <f t="shared" si="49"/>
        <v>161.23333333333332</v>
      </c>
      <c r="BB107">
        <v>165.2</v>
      </c>
      <c r="BC107">
        <f t="shared" si="50"/>
        <v>164.56666666666666</v>
      </c>
      <c r="BD107">
        <v>167.6</v>
      </c>
      <c r="BE107">
        <f t="shared" si="51"/>
        <v>165.96666666666667</v>
      </c>
    </row>
    <row r="108" spans="1:57">
      <c r="A108" t="s">
        <v>30</v>
      </c>
      <c r="B108">
        <v>2021</v>
      </c>
      <c r="C108" t="s">
        <v>46</v>
      </c>
      <c r="D108">
        <v>147.4</v>
      </c>
      <c r="E108">
        <f t="shared" si="26"/>
        <v>146.79999999999998</v>
      </c>
      <c r="F108">
        <v>197</v>
      </c>
      <c r="G108">
        <f t="shared" si="27"/>
        <v>199.76666666666665</v>
      </c>
      <c r="H108">
        <v>176.5</v>
      </c>
      <c r="I108">
        <f t="shared" si="28"/>
        <v>172.70000000000002</v>
      </c>
      <c r="J108">
        <v>159.80000000000001</v>
      </c>
      <c r="K108">
        <f t="shared" si="29"/>
        <v>159.1</v>
      </c>
      <c r="L108">
        <v>195.8</v>
      </c>
      <c r="M108">
        <f t="shared" si="30"/>
        <v>197.66666666666666</v>
      </c>
      <c r="N108">
        <v>152</v>
      </c>
      <c r="O108">
        <f t="shared" si="31"/>
        <v>152.6</v>
      </c>
      <c r="P108">
        <v>172.3</v>
      </c>
      <c r="Q108">
        <f t="shared" si="32"/>
        <v>175.53333333333333</v>
      </c>
      <c r="R108">
        <v>164.5</v>
      </c>
      <c r="S108">
        <f t="shared" si="33"/>
        <v>165.03333333333333</v>
      </c>
      <c r="T108">
        <v>120.6</v>
      </c>
      <c r="U108">
        <f t="shared" si="34"/>
        <v>121.43333333333332</v>
      </c>
      <c r="V108">
        <v>171.7</v>
      </c>
      <c r="W108">
        <f t="shared" si="35"/>
        <v>171.0333333333333</v>
      </c>
      <c r="X108">
        <v>169.7</v>
      </c>
      <c r="Y108">
        <f t="shared" si="36"/>
        <v>169.2</v>
      </c>
      <c r="Z108">
        <v>175.1</v>
      </c>
      <c r="AA108">
        <f t="shared" si="37"/>
        <v>174.33333333333334</v>
      </c>
      <c r="AB108">
        <v>165.8</v>
      </c>
      <c r="AC108">
        <f t="shared" si="38"/>
        <v>166.26666666666668</v>
      </c>
      <c r="AD108">
        <v>190.8</v>
      </c>
      <c r="AE108">
        <f t="shared" si="39"/>
        <v>191.13333333333335</v>
      </c>
      <c r="AF108">
        <v>171.8</v>
      </c>
      <c r="AG108">
        <f t="shared" si="40"/>
        <v>170.36666666666667</v>
      </c>
      <c r="AH108">
        <v>167.3</v>
      </c>
      <c r="AI108">
        <f t="shared" si="41"/>
        <v>166.03333333333333</v>
      </c>
      <c r="AJ108">
        <v>171.2</v>
      </c>
      <c r="AK108">
        <f t="shared" si="42"/>
        <v>169.76666666666668</v>
      </c>
      <c r="AL108" t="s">
        <v>32</v>
      </c>
      <c r="AN108">
        <v>165.6</v>
      </c>
      <c r="AO108">
        <f t="shared" si="43"/>
        <v>165.46666666666667</v>
      </c>
      <c r="AP108">
        <v>163.9</v>
      </c>
      <c r="AQ108">
        <f t="shared" si="44"/>
        <v>162.93333333333331</v>
      </c>
      <c r="AR108">
        <v>174</v>
      </c>
      <c r="AS108">
        <f t="shared" si="45"/>
        <v>173.29999999999998</v>
      </c>
      <c r="AT108">
        <v>160.1</v>
      </c>
      <c r="AU108">
        <f t="shared" si="46"/>
        <v>159.5</v>
      </c>
      <c r="AV108">
        <v>164.5</v>
      </c>
      <c r="AW108">
        <f t="shared" si="47"/>
        <v>163.83333333333334</v>
      </c>
      <c r="AX108">
        <v>169.7</v>
      </c>
      <c r="AY108">
        <f t="shared" si="48"/>
        <v>169.33333333333334</v>
      </c>
      <c r="AZ108">
        <v>162.80000000000001</v>
      </c>
      <c r="BA108">
        <f t="shared" si="49"/>
        <v>162.1</v>
      </c>
      <c r="BB108">
        <v>166</v>
      </c>
      <c r="BC108">
        <f t="shared" si="50"/>
        <v>165.29999999999998</v>
      </c>
      <c r="BD108">
        <v>167</v>
      </c>
      <c r="BE108">
        <f t="shared" si="51"/>
        <v>166.96666666666667</v>
      </c>
    </row>
    <row r="109" spans="1:57">
      <c r="A109" t="s">
        <v>30</v>
      </c>
      <c r="B109">
        <v>2022</v>
      </c>
      <c r="C109" t="s">
        <v>31</v>
      </c>
      <c r="D109">
        <v>148.30000000000001</v>
      </c>
      <c r="E109">
        <f t="shared" si="26"/>
        <v>147.53333333333333</v>
      </c>
      <c r="F109">
        <v>196.9</v>
      </c>
      <c r="G109">
        <f t="shared" si="27"/>
        <v>197.9</v>
      </c>
      <c r="H109">
        <v>178</v>
      </c>
      <c r="I109">
        <f t="shared" si="28"/>
        <v>175.33333333333334</v>
      </c>
      <c r="J109">
        <v>160.5</v>
      </c>
      <c r="K109">
        <f t="shared" si="29"/>
        <v>159.79999999999998</v>
      </c>
      <c r="L109">
        <v>192.6</v>
      </c>
      <c r="M109">
        <f t="shared" si="30"/>
        <v>195.60000000000002</v>
      </c>
      <c r="N109">
        <v>151.19999999999999</v>
      </c>
      <c r="O109">
        <f t="shared" si="31"/>
        <v>152.13333333333333</v>
      </c>
      <c r="P109">
        <v>159.19999999999999</v>
      </c>
      <c r="Q109">
        <f t="shared" si="32"/>
        <v>171.80000000000004</v>
      </c>
      <c r="R109">
        <v>164</v>
      </c>
      <c r="S109">
        <f t="shared" si="33"/>
        <v>164.63333333333333</v>
      </c>
      <c r="T109">
        <v>119.3</v>
      </c>
      <c r="U109">
        <f t="shared" si="34"/>
        <v>120.66666666666667</v>
      </c>
      <c r="V109">
        <v>173.3</v>
      </c>
      <c r="W109">
        <f t="shared" si="35"/>
        <v>171.93333333333331</v>
      </c>
      <c r="X109">
        <v>169.8</v>
      </c>
      <c r="Y109">
        <f t="shared" si="36"/>
        <v>169.53333333333333</v>
      </c>
      <c r="Z109">
        <v>175.8</v>
      </c>
      <c r="AA109">
        <f t="shared" si="37"/>
        <v>175.06666666666669</v>
      </c>
      <c r="AB109">
        <v>164.1</v>
      </c>
      <c r="AC109">
        <f t="shared" si="38"/>
        <v>165.79999999999998</v>
      </c>
      <c r="AD109">
        <v>190.7</v>
      </c>
      <c r="AE109">
        <f t="shared" si="39"/>
        <v>190.9666666666667</v>
      </c>
      <c r="AF109">
        <v>173.2</v>
      </c>
      <c r="AG109">
        <f t="shared" si="40"/>
        <v>171.80000000000004</v>
      </c>
      <c r="AH109">
        <v>169.3</v>
      </c>
      <c r="AI109">
        <f t="shared" si="41"/>
        <v>167.53333333333333</v>
      </c>
      <c r="AJ109">
        <v>172.7</v>
      </c>
      <c r="AK109">
        <f t="shared" si="42"/>
        <v>171.23333333333335</v>
      </c>
      <c r="AL109" t="s">
        <v>32</v>
      </c>
      <c r="AN109">
        <v>165.8</v>
      </c>
      <c r="AO109">
        <f t="shared" si="43"/>
        <v>165.56666666666666</v>
      </c>
      <c r="AP109">
        <v>164.9</v>
      </c>
      <c r="AQ109">
        <f t="shared" si="44"/>
        <v>163.9</v>
      </c>
      <c r="AR109">
        <v>174.7</v>
      </c>
      <c r="AS109">
        <f t="shared" si="45"/>
        <v>174.0333333333333</v>
      </c>
      <c r="AT109">
        <v>160.80000000000001</v>
      </c>
      <c r="AU109">
        <f t="shared" si="46"/>
        <v>159.93333333333334</v>
      </c>
      <c r="AV109">
        <v>164.9</v>
      </c>
      <c r="AW109">
        <f t="shared" si="47"/>
        <v>164.4</v>
      </c>
      <c r="AX109">
        <v>169.9</v>
      </c>
      <c r="AY109">
        <f t="shared" si="48"/>
        <v>169.63333333333333</v>
      </c>
      <c r="AZ109">
        <v>163.19999999999999</v>
      </c>
      <c r="BA109">
        <f t="shared" si="49"/>
        <v>162.80000000000001</v>
      </c>
      <c r="BB109">
        <v>166.6</v>
      </c>
      <c r="BC109">
        <f t="shared" si="50"/>
        <v>165.93333333333331</v>
      </c>
      <c r="BD109">
        <v>166.4</v>
      </c>
      <c r="BE109">
        <f t="shared" si="51"/>
        <v>167</v>
      </c>
    </row>
    <row r="110" spans="1:57">
      <c r="A110" t="s">
        <v>30</v>
      </c>
      <c r="B110">
        <v>2022</v>
      </c>
      <c r="C110" t="s">
        <v>35</v>
      </c>
      <c r="D110">
        <v>148.80000000000001</v>
      </c>
      <c r="E110">
        <f t="shared" si="26"/>
        <v>148.16666666666669</v>
      </c>
      <c r="F110">
        <v>198.1</v>
      </c>
      <c r="G110">
        <f t="shared" si="27"/>
        <v>197.33333333333334</v>
      </c>
      <c r="H110">
        <v>175.5</v>
      </c>
      <c r="I110">
        <f t="shared" si="28"/>
        <v>176.66666666666666</v>
      </c>
      <c r="J110">
        <v>160.69999999999999</v>
      </c>
      <c r="K110">
        <f t="shared" si="29"/>
        <v>160.33333333333334</v>
      </c>
      <c r="L110">
        <v>192.6</v>
      </c>
      <c r="M110">
        <f t="shared" si="30"/>
        <v>193.66666666666666</v>
      </c>
      <c r="N110">
        <v>151.4</v>
      </c>
      <c r="O110">
        <f t="shared" si="31"/>
        <v>151.53333333333333</v>
      </c>
      <c r="P110">
        <v>155.19999999999999</v>
      </c>
      <c r="Q110">
        <f t="shared" si="32"/>
        <v>162.23333333333332</v>
      </c>
      <c r="R110">
        <v>163.9</v>
      </c>
      <c r="S110">
        <f t="shared" si="33"/>
        <v>164.13333333333333</v>
      </c>
      <c r="T110">
        <v>118.1</v>
      </c>
      <c r="U110">
        <f t="shared" si="34"/>
        <v>119.33333333333333</v>
      </c>
      <c r="V110">
        <v>175.4</v>
      </c>
      <c r="W110">
        <f t="shared" si="35"/>
        <v>173.46666666666667</v>
      </c>
      <c r="X110">
        <v>170.5</v>
      </c>
      <c r="Y110">
        <f t="shared" si="36"/>
        <v>170</v>
      </c>
      <c r="Z110">
        <v>176.3</v>
      </c>
      <c r="AA110">
        <f t="shared" si="37"/>
        <v>175.73333333333335</v>
      </c>
      <c r="AB110">
        <v>163.9</v>
      </c>
      <c r="AC110">
        <f t="shared" si="38"/>
        <v>164.6</v>
      </c>
      <c r="AD110">
        <v>191.5</v>
      </c>
      <c r="AE110">
        <f t="shared" si="39"/>
        <v>191</v>
      </c>
      <c r="AF110">
        <v>174.1</v>
      </c>
      <c r="AG110">
        <f t="shared" si="40"/>
        <v>173.03333333333333</v>
      </c>
      <c r="AH110">
        <v>171</v>
      </c>
      <c r="AI110">
        <f t="shared" si="41"/>
        <v>169.20000000000002</v>
      </c>
      <c r="AJ110">
        <v>173.7</v>
      </c>
      <c r="AK110">
        <f t="shared" si="42"/>
        <v>172.5333333333333</v>
      </c>
      <c r="AL110" t="s">
        <v>32</v>
      </c>
      <c r="AN110">
        <v>167.4</v>
      </c>
      <c r="AO110">
        <f t="shared" si="43"/>
        <v>166.26666666666665</v>
      </c>
      <c r="AP110">
        <v>165.7</v>
      </c>
      <c r="AQ110">
        <f t="shared" si="44"/>
        <v>164.83333333333334</v>
      </c>
      <c r="AR110">
        <v>175.3</v>
      </c>
      <c r="AS110">
        <f t="shared" si="45"/>
        <v>174.66666666666666</v>
      </c>
      <c r="AT110">
        <v>161.19999999999999</v>
      </c>
      <c r="AU110">
        <f t="shared" si="46"/>
        <v>160.69999999999999</v>
      </c>
      <c r="AV110">
        <v>165.5</v>
      </c>
      <c r="AW110">
        <f t="shared" si="47"/>
        <v>164.96666666666667</v>
      </c>
      <c r="AX110">
        <v>170.3</v>
      </c>
      <c r="AY110">
        <f t="shared" si="48"/>
        <v>169.96666666666667</v>
      </c>
      <c r="AZ110">
        <v>164.5</v>
      </c>
      <c r="BA110">
        <f t="shared" si="49"/>
        <v>163.5</v>
      </c>
      <c r="BB110">
        <v>167.3</v>
      </c>
      <c r="BC110">
        <f t="shared" si="50"/>
        <v>166.63333333333335</v>
      </c>
      <c r="BD110">
        <v>166.7</v>
      </c>
      <c r="BE110">
        <f t="shared" si="51"/>
        <v>166.7</v>
      </c>
    </row>
    <row r="111" spans="1:57">
      <c r="A111" t="s">
        <v>30</v>
      </c>
      <c r="B111">
        <v>2022</v>
      </c>
      <c r="C111" t="s">
        <v>36</v>
      </c>
      <c r="D111">
        <v>150.19999999999999</v>
      </c>
      <c r="E111">
        <f t="shared" si="26"/>
        <v>149.1</v>
      </c>
      <c r="F111">
        <v>208</v>
      </c>
      <c r="G111">
        <f t="shared" si="27"/>
        <v>201</v>
      </c>
      <c r="H111">
        <v>167.9</v>
      </c>
      <c r="I111">
        <f t="shared" si="28"/>
        <v>173.79999999999998</v>
      </c>
      <c r="J111">
        <v>162</v>
      </c>
      <c r="K111">
        <f t="shared" si="29"/>
        <v>161.06666666666666</v>
      </c>
      <c r="L111">
        <v>203.1</v>
      </c>
      <c r="M111">
        <f t="shared" si="30"/>
        <v>196.1</v>
      </c>
      <c r="N111">
        <v>155.9</v>
      </c>
      <c r="O111">
        <f t="shared" si="31"/>
        <v>152.83333333333334</v>
      </c>
      <c r="P111">
        <v>155.80000000000001</v>
      </c>
      <c r="Q111">
        <f t="shared" si="32"/>
        <v>156.73333333333332</v>
      </c>
      <c r="R111">
        <v>164.2</v>
      </c>
      <c r="S111">
        <f t="shared" si="33"/>
        <v>164.03333333333333</v>
      </c>
      <c r="T111">
        <v>118.1</v>
      </c>
      <c r="U111">
        <f t="shared" si="34"/>
        <v>118.5</v>
      </c>
      <c r="V111">
        <v>178.7</v>
      </c>
      <c r="W111">
        <f t="shared" si="35"/>
        <v>175.80000000000004</v>
      </c>
      <c r="X111">
        <v>171.2</v>
      </c>
      <c r="Y111">
        <f t="shared" si="36"/>
        <v>170.5</v>
      </c>
      <c r="Z111">
        <v>177.4</v>
      </c>
      <c r="AA111">
        <f t="shared" si="37"/>
        <v>176.5</v>
      </c>
      <c r="AB111">
        <v>166.6</v>
      </c>
      <c r="AC111">
        <f t="shared" si="38"/>
        <v>164.86666666666667</v>
      </c>
      <c r="AD111">
        <v>192.3</v>
      </c>
      <c r="AE111">
        <f t="shared" si="39"/>
        <v>191.5</v>
      </c>
      <c r="AF111">
        <v>175.4</v>
      </c>
      <c r="AG111">
        <f t="shared" si="40"/>
        <v>174.23333333333332</v>
      </c>
      <c r="AH111">
        <v>173.2</v>
      </c>
      <c r="AI111">
        <f t="shared" si="41"/>
        <v>171.16666666666666</v>
      </c>
      <c r="AJ111">
        <v>175.1</v>
      </c>
      <c r="AK111">
        <f t="shared" si="42"/>
        <v>173.83333333333334</v>
      </c>
      <c r="AL111" t="s">
        <v>32</v>
      </c>
      <c r="AN111">
        <v>168.9</v>
      </c>
      <c r="AO111">
        <f t="shared" si="43"/>
        <v>167.36666666666667</v>
      </c>
      <c r="AP111">
        <v>166.5</v>
      </c>
      <c r="AQ111">
        <f t="shared" si="44"/>
        <v>165.70000000000002</v>
      </c>
      <c r="AR111">
        <v>176</v>
      </c>
      <c r="AS111">
        <f t="shared" si="45"/>
        <v>175.33333333333334</v>
      </c>
      <c r="AT111">
        <v>162</v>
      </c>
      <c r="AU111">
        <f t="shared" si="46"/>
        <v>161.33333333333334</v>
      </c>
      <c r="AV111">
        <v>166.6</v>
      </c>
      <c r="AW111">
        <f t="shared" si="47"/>
        <v>165.66666666666666</v>
      </c>
      <c r="AX111">
        <v>170.6</v>
      </c>
      <c r="AY111">
        <f t="shared" si="48"/>
        <v>170.26666666666668</v>
      </c>
      <c r="AZ111">
        <v>167.4</v>
      </c>
      <c r="BA111">
        <f t="shared" si="49"/>
        <v>165.03333333333333</v>
      </c>
      <c r="BB111">
        <v>168.3</v>
      </c>
      <c r="BC111">
        <f t="shared" si="50"/>
        <v>167.4</v>
      </c>
      <c r="BD111">
        <v>168.7</v>
      </c>
      <c r="BE111">
        <f t="shared" si="51"/>
        <v>167.26666666666668</v>
      </c>
    </row>
    <row r="112" spans="1:57">
      <c r="A112" t="s">
        <v>30</v>
      </c>
      <c r="B112">
        <v>2022</v>
      </c>
      <c r="C112" t="s">
        <v>37</v>
      </c>
      <c r="D112">
        <v>151.80000000000001</v>
      </c>
      <c r="E112">
        <f t="shared" si="26"/>
        <v>150.26666666666668</v>
      </c>
      <c r="F112">
        <v>209.7</v>
      </c>
      <c r="G112">
        <f t="shared" si="27"/>
        <v>205.26666666666665</v>
      </c>
      <c r="H112">
        <v>164.5</v>
      </c>
      <c r="I112">
        <f t="shared" si="28"/>
        <v>169.29999999999998</v>
      </c>
      <c r="J112">
        <v>163.80000000000001</v>
      </c>
      <c r="K112">
        <f t="shared" si="29"/>
        <v>162.16666666666666</v>
      </c>
      <c r="L112">
        <v>207.4</v>
      </c>
      <c r="M112">
        <f t="shared" si="30"/>
        <v>201.03333333333333</v>
      </c>
      <c r="N112">
        <v>169.7</v>
      </c>
      <c r="O112">
        <f t="shared" si="31"/>
        <v>159</v>
      </c>
      <c r="P112">
        <v>153.6</v>
      </c>
      <c r="Q112">
        <f t="shared" si="32"/>
        <v>154.86666666666667</v>
      </c>
      <c r="R112">
        <v>165.1</v>
      </c>
      <c r="S112">
        <f t="shared" si="33"/>
        <v>164.4</v>
      </c>
      <c r="T112">
        <v>118.2</v>
      </c>
      <c r="U112">
        <f t="shared" si="34"/>
        <v>118.13333333333333</v>
      </c>
      <c r="V112">
        <v>182.9</v>
      </c>
      <c r="W112">
        <f t="shared" si="35"/>
        <v>179</v>
      </c>
      <c r="X112">
        <v>172.4</v>
      </c>
      <c r="Y112">
        <f t="shared" si="36"/>
        <v>171.36666666666667</v>
      </c>
      <c r="Z112">
        <v>178.9</v>
      </c>
      <c r="AA112">
        <f t="shared" si="37"/>
        <v>177.53333333333333</v>
      </c>
      <c r="AB112">
        <v>168.6</v>
      </c>
      <c r="AC112">
        <f t="shared" si="38"/>
        <v>166.36666666666667</v>
      </c>
      <c r="AD112">
        <v>192.8</v>
      </c>
      <c r="AE112">
        <f t="shared" si="39"/>
        <v>192.20000000000002</v>
      </c>
      <c r="AF112">
        <v>177.5</v>
      </c>
      <c r="AG112">
        <f t="shared" si="40"/>
        <v>175.66666666666666</v>
      </c>
      <c r="AH112">
        <v>175.1</v>
      </c>
      <c r="AI112">
        <f t="shared" si="41"/>
        <v>173.1</v>
      </c>
      <c r="AJ112">
        <v>177.1</v>
      </c>
      <c r="AK112">
        <f t="shared" si="42"/>
        <v>175.29999999999998</v>
      </c>
      <c r="AL112" t="s">
        <v>32</v>
      </c>
      <c r="AN112">
        <v>173.3</v>
      </c>
      <c r="AO112">
        <f t="shared" si="43"/>
        <v>169.86666666666667</v>
      </c>
      <c r="AP112">
        <v>167.7</v>
      </c>
      <c r="AQ112">
        <f t="shared" si="44"/>
        <v>166.63333333333333</v>
      </c>
      <c r="AR112">
        <v>177</v>
      </c>
      <c r="AS112">
        <f t="shared" si="45"/>
        <v>176.1</v>
      </c>
      <c r="AT112">
        <v>166.2</v>
      </c>
      <c r="AU112">
        <f t="shared" si="46"/>
        <v>163.13333333333333</v>
      </c>
      <c r="AV112">
        <v>167.2</v>
      </c>
      <c r="AW112">
        <f t="shared" si="47"/>
        <v>166.43333333333334</v>
      </c>
      <c r="AX112">
        <v>170.9</v>
      </c>
      <c r="AY112">
        <f t="shared" si="48"/>
        <v>170.6</v>
      </c>
      <c r="AZ112">
        <v>169</v>
      </c>
      <c r="BA112">
        <f t="shared" si="49"/>
        <v>166.96666666666667</v>
      </c>
      <c r="BB112">
        <v>170.2</v>
      </c>
      <c r="BC112">
        <f t="shared" si="50"/>
        <v>168.6</v>
      </c>
      <c r="BD112">
        <v>170.8</v>
      </c>
      <c r="BE112">
        <f t="shared" si="51"/>
        <v>168.73333333333332</v>
      </c>
    </row>
    <row r="113" spans="1:57">
      <c r="A113" t="s">
        <v>30</v>
      </c>
      <c r="B113">
        <v>2022</v>
      </c>
      <c r="C113" t="s">
        <v>38</v>
      </c>
      <c r="D113">
        <v>152.9</v>
      </c>
      <c r="E113">
        <f t="shared" si="26"/>
        <v>151.63333333333333</v>
      </c>
      <c r="F113">
        <v>214.7</v>
      </c>
      <c r="G113">
        <f t="shared" si="27"/>
        <v>210.79999999999998</v>
      </c>
      <c r="H113">
        <v>161.4</v>
      </c>
      <c r="I113">
        <f t="shared" si="28"/>
        <v>164.6</v>
      </c>
      <c r="J113">
        <v>164.6</v>
      </c>
      <c r="K113">
        <f t="shared" si="29"/>
        <v>163.46666666666667</v>
      </c>
      <c r="L113">
        <v>209.9</v>
      </c>
      <c r="M113">
        <f t="shared" si="30"/>
        <v>206.79999999999998</v>
      </c>
      <c r="N113">
        <v>168</v>
      </c>
      <c r="O113">
        <f t="shared" si="31"/>
        <v>164.53333333333333</v>
      </c>
      <c r="P113">
        <v>160.4</v>
      </c>
      <c r="Q113">
        <f t="shared" si="32"/>
        <v>156.6</v>
      </c>
      <c r="R113">
        <v>165</v>
      </c>
      <c r="S113">
        <f t="shared" si="33"/>
        <v>164.76666666666665</v>
      </c>
      <c r="T113">
        <v>118.9</v>
      </c>
      <c r="U113">
        <f t="shared" si="34"/>
        <v>118.40000000000002</v>
      </c>
      <c r="V113">
        <v>186.6</v>
      </c>
      <c r="W113">
        <f t="shared" si="35"/>
        <v>182.73333333333335</v>
      </c>
      <c r="X113">
        <v>173.2</v>
      </c>
      <c r="Y113">
        <f t="shared" si="36"/>
        <v>172.26666666666665</v>
      </c>
      <c r="Z113">
        <v>180.4</v>
      </c>
      <c r="AA113">
        <f t="shared" si="37"/>
        <v>178.9</v>
      </c>
      <c r="AB113">
        <v>170.8</v>
      </c>
      <c r="AC113">
        <f t="shared" si="38"/>
        <v>168.66666666666666</v>
      </c>
      <c r="AD113">
        <v>192.9</v>
      </c>
      <c r="AE113">
        <f t="shared" si="39"/>
        <v>192.66666666666666</v>
      </c>
      <c r="AF113">
        <v>179.3</v>
      </c>
      <c r="AG113">
        <f t="shared" si="40"/>
        <v>177.4</v>
      </c>
      <c r="AH113">
        <v>177.2</v>
      </c>
      <c r="AI113">
        <f t="shared" si="41"/>
        <v>175.16666666666666</v>
      </c>
      <c r="AJ113">
        <v>179</v>
      </c>
      <c r="AK113">
        <f t="shared" si="42"/>
        <v>177.06666666666669</v>
      </c>
      <c r="AL113" t="s">
        <v>32</v>
      </c>
      <c r="AN113">
        <v>175.3</v>
      </c>
      <c r="AO113">
        <f t="shared" si="43"/>
        <v>172.5</v>
      </c>
      <c r="AP113">
        <v>168.9</v>
      </c>
      <c r="AQ113">
        <f t="shared" si="44"/>
        <v>167.70000000000002</v>
      </c>
      <c r="AR113">
        <v>177.7</v>
      </c>
      <c r="AS113">
        <f t="shared" si="45"/>
        <v>176.9</v>
      </c>
      <c r="AT113">
        <v>167.1</v>
      </c>
      <c r="AU113">
        <f t="shared" si="46"/>
        <v>165.1</v>
      </c>
      <c r="AV113">
        <v>167.6</v>
      </c>
      <c r="AW113">
        <f t="shared" si="47"/>
        <v>167.13333333333333</v>
      </c>
      <c r="AX113">
        <v>171.8</v>
      </c>
      <c r="AY113">
        <f t="shared" si="48"/>
        <v>171.1</v>
      </c>
      <c r="AZ113">
        <v>168.5</v>
      </c>
      <c r="BA113">
        <f t="shared" si="49"/>
        <v>168.29999999999998</v>
      </c>
      <c r="BB113">
        <v>170.9</v>
      </c>
      <c r="BC113">
        <f t="shared" si="50"/>
        <v>169.79999999999998</v>
      </c>
      <c r="BD113">
        <v>172.5</v>
      </c>
      <c r="BE113">
        <f t="shared" si="51"/>
        <v>170.66666666666666</v>
      </c>
    </row>
    <row r="114" spans="1:57">
      <c r="A114" t="s">
        <v>30</v>
      </c>
      <c r="B114">
        <v>2022</v>
      </c>
      <c r="C114" t="s">
        <v>39</v>
      </c>
      <c r="D114">
        <v>153.80000000000001</v>
      </c>
      <c r="E114">
        <f t="shared" si="26"/>
        <v>152.83333333333334</v>
      </c>
      <c r="F114">
        <v>217.2</v>
      </c>
      <c r="G114">
        <f t="shared" si="27"/>
        <v>213.86666666666665</v>
      </c>
      <c r="H114">
        <v>169.6</v>
      </c>
      <c r="I114">
        <f t="shared" si="28"/>
        <v>165.16666666666666</v>
      </c>
      <c r="J114">
        <v>165.4</v>
      </c>
      <c r="K114">
        <f t="shared" si="29"/>
        <v>164.6</v>
      </c>
      <c r="L114">
        <v>208.1</v>
      </c>
      <c r="M114">
        <f t="shared" si="30"/>
        <v>208.46666666666667</v>
      </c>
      <c r="N114">
        <v>165.8</v>
      </c>
      <c r="O114">
        <f t="shared" si="31"/>
        <v>167.83333333333334</v>
      </c>
      <c r="P114">
        <v>167.3</v>
      </c>
      <c r="Q114">
        <f t="shared" si="32"/>
        <v>160.43333333333334</v>
      </c>
      <c r="R114">
        <v>164.6</v>
      </c>
      <c r="S114">
        <f t="shared" si="33"/>
        <v>164.9</v>
      </c>
      <c r="T114">
        <v>119.1</v>
      </c>
      <c r="U114">
        <f t="shared" si="34"/>
        <v>118.73333333333335</v>
      </c>
      <c r="V114">
        <v>188.9</v>
      </c>
      <c r="W114">
        <f t="shared" si="35"/>
        <v>186.13333333333333</v>
      </c>
      <c r="X114">
        <v>174.2</v>
      </c>
      <c r="Y114">
        <f t="shared" si="36"/>
        <v>173.26666666666665</v>
      </c>
      <c r="Z114">
        <v>181.9</v>
      </c>
      <c r="AA114">
        <f t="shared" si="37"/>
        <v>180.4</v>
      </c>
      <c r="AB114">
        <v>172.4</v>
      </c>
      <c r="AC114">
        <f t="shared" si="38"/>
        <v>170.6</v>
      </c>
      <c r="AD114">
        <v>192.9</v>
      </c>
      <c r="AE114">
        <f t="shared" si="39"/>
        <v>192.86666666666667</v>
      </c>
      <c r="AF114">
        <v>180.7</v>
      </c>
      <c r="AG114">
        <f t="shared" si="40"/>
        <v>179.16666666666666</v>
      </c>
      <c r="AH114">
        <v>178.7</v>
      </c>
      <c r="AI114">
        <f t="shared" si="41"/>
        <v>177</v>
      </c>
      <c r="AJ114">
        <v>180.4</v>
      </c>
      <c r="AK114">
        <f t="shared" si="42"/>
        <v>178.83333333333334</v>
      </c>
      <c r="AL114" t="s">
        <v>32</v>
      </c>
      <c r="AN114">
        <v>176.7</v>
      </c>
      <c r="AO114">
        <f t="shared" si="43"/>
        <v>175.1</v>
      </c>
      <c r="AP114">
        <v>170.3</v>
      </c>
      <c r="AQ114">
        <f t="shared" si="44"/>
        <v>168.96666666666667</v>
      </c>
      <c r="AR114">
        <v>178.2</v>
      </c>
      <c r="AS114">
        <f t="shared" si="45"/>
        <v>177.63333333333333</v>
      </c>
      <c r="AT114">
        <v>165.5</v>
      </c>
      <c r="AU114">
        <f t="shared" si="46"/>
        <v>166.26666666666665</v>
      </c>
      <c r="AV114">
        <v>168</v>
      </c>
      <c r="AW114">
        <f t="shared" si="47"/>
        <v>167.6</v>
      </c>
      <c r="AX114">
        <v>172.6</v>
      </c>
      <c r="AY114">
        <f t="shared" si="48"/>
        <v>171.76666666666668</v>
      </c>
      <c r="AZ114">
        <v>169.5</v>
      </c>
      <c r="BA114">
        <f t="shared" si="49"/>
        <v>169</v>
      </c>
      <c r="BB114">
        <v>171</v>
      </c>
      <c r="BC114">
        <f t="shared" si="50"/>
        <v>170.70000000000002</v>
      </c>
      <c r="BD114">
        <v>173.6</v>
      </c>
      <c r="BE114">
        <f t="shared" si="51"/>
        <v>172.29999999999998</v>
      </c>
    </row>
    <row r="115" spans="1:57">
      <c r="A115" t="s">
        <v>30</v>
      </c>
      <c r="B115">
        <v>2022</v>
      </c>
      <c r="C115" t="s">
        <v>40</v>
      </c>
      <c r="D115">
        <v>155.19999999999999</v>
      </c>
      <c r="E115">
        <f t="shared" si="26"/>
        <v>153.96666666666667</v>
      </c>
      <c r="F115">
        <v>210.8</v>
      </c>
      <c r="G115">
        <f t="shared" si="27"/>
        <v>214.23333333333335</v>
      </c>
      <c r="H115">
        <v>174.3</v>
      </c>
      <c r="I115">
        <f t="shared" si="28"/>
        <v>168.43333333333334</v>
      </c>
      <c r="J115">
        <v>166.3</v>
      </c>
      <c r="K115">
        <f t="shared" si="29"/>
        <v>165.43333333333334</v>
      </c>
      <c r="L115">
        <v>202.2</v>
      </c>
      <c r="M115">
        <f t="shared" si="30"/>
        <v>206.73333333333335</v>
      </c>
      <c r="N115">
        <v>169.6</v>
      </c>
      <c r="O115">
        <f t="shared" si="31"/>
        <v>167.79999999999998</v>
      </c>
      <c r="P115">
        <v>168.6</v>
      </c>
      <c r="Q115">
        <f t="shared" si="32"/>
        <v>165.43333333333337</v>
      </c>
      <c r="R115">
        <v>164.4</v>
      </c>
      <c r="S115">
        <f t="shared" si="33"/>
        <v>164.66666666666666</v>
      </c>
      <c r="T115">
        <v>119.2</v>
      </c>
      <c r="U115">
        <f t="shared" si="34"/>
        <v>119.06666666666666</v>
      </c>
      <c r="V115">
        <v>191.8</v>
      </c>
      <c r="W115">
        <f t="shared" si="35"/>
        <v>189.1</v>
      </c>
      <c r="X115">
        <v>174.5</v>
      </c>
      <c r="Y115">
        <f t="shared" si="36"/>
        <v>173.96666666666667</v>
      </c>
      <c r="Z115">
        <v>183.1</v>
      </c>
      <c r="AA115">
        <f t="shared" si="37"/>
        <v>181.79999999999998</v>
      </c>
      <c r="AB115">
        <v>172.5</v>
      </c>
      <c r="AC115">
        <f t="shared" si="38"/>
        <v>171.9</v>
      </c>
      <c r="AD115">
        <v>193.2</v>
      </c>
      <c r="AE115">
        <f t="shared" si="39"/>
        <v>193</v>
      </c>
      <c r="AF115">
        <v>182</v>
      </c>
      <c r="AG115">
        <f t="shared" si="40"/>
        <v>180.66666666666666</v>
      </c>
      <c r="AH115">
        <v>180.3</v>
      </c>
      <c r="AI115">
        <f t="shared" si="41"/>
        <v>178.73333333333335</v>
      </c>
      <c r="AJ115">
        <v>181.7</v>
      </c>
      <c r="AK115">
        <f t="shared" si="42"/>
        <v>180.36666666666665</v>
      </c>
      <c r="AL115" t="s">
        <v>32</v>
      </c>
      <c r="AN115">
        <v>179.6</v>
      </c>
      <c r="AO115">
        <f t="shared" si="43"/>
        <v>177.20000000000002</v>
      </c>
      <c r="AP115">
        <v>171.3</v>
      </c>
      <c r="AQ115">
        <f t="shared" si="44"/>
        <v>170.16666666666669</v>
      </c>
      <c r="AR115">
        <v>178.8</v>
      </c>
      <c r="AS115">
        <f t="shared" si="45"/>
        <v>178.23333333333335</v>
      </c>
      <c r="AT115">
        <v>166.3</v>
      </c>
      <c r="AU115">
        <f t="shared" si="46"/>
        <v>166.3</v>
      </c>
      <c r="AV115">
        <v>168.6</v>
      </c>
      <c r="AW115">
        <f t="shared" si="47"/>
        <v>168.06666666666669</v>
      </c>
      <c r="AX115">
        <v>174.7</v>
      </c>
      <c r="AY115">
        <f t="shared" si="48"/>
        <v>173.0333333333333</v>
      </c>
      <c r="AZ115">
        <v>169.7</v>
      </c>
      <c r="BA115">
        <f t="shared" si="49"/>
        <v>169.23333333333332</v>
      </c>
      <c r="BB115">
        <v>171.8</v>
      </c>
      <c r="BC115">
        <f t="shared" si="50"/>
        <v>171.23333333333335</v>
      </c>
      <c r="BD115">
        <v>174.3</v>
      </c>
      <c r="BE115">
        <f t="shared" si="51"/>
        <v>173.4666666666667</v>
      </c>
    </row>
    <row r="116" spans="1:57">
      <c r="A116" t="s">
        <v>30</v>
      </c>
      <c r="B116">
        <v>2022</v>
      </c>
      <c r="C116" t="s">
        <v>41</v>
      </c>
      <c r="D116">
        <v>159.5</v>
      </c>
      <c r="E116">
        <f t="shared" si="26"/>
        <v>156.16666666666666</v>
      </c>
      <c r="F116">
        <v>204.1</v>
      </c>
      <c r="G116">
        <f t="shared" si="27"/>
        <v>210.70000000000002</v>
      </c>
      <c r="H116">
        <v>168.3</v>
      </c>
      <c r="I116">
        <f t="shared" si="28"/>
        <v>170.73333333333335</v>
      </c>
      <c r="J116">
        <v>167.9</v>
      </c>
      <c r="K116">
        <f t="shared" si="29"/>
        <v>166.53333333333333</v>
      </c>
      <c r="L116">
        <v>198.1</v>
      </c>
      <c r="M116">
        <f t="shared" si="30"/>
        <v>202.79999999999998</v>
      </c>
      <c r="N116">
        <v>169.2</v>
      </c>
      <c r="O116">
        <f t="shared" si="31"/>
        <v>168.2</v>
      </c>
      <c r="P116">
        <v>173.1</v>
      </c>
      <c r="Q116">
        <f t="shared" si="32"/>
        <v>169.66666666666666</v>
      </c>
      <c r="R116">
        <v>167.1</v>
      </c>
      <c r="S116">
        <f t="shared" si="33"/>
        <v>165.36666666666667</v>
      </c>
      <c r="T116">
        <v>120.2</v>
      </c>
      <c r="U116">
        <f t="shared" si="34"/>
        <v>119.5</v>
      </c>
      <c r="V116">
        <v>195.6</v>
      </c>
      <c r="W116">
        <f t="shared" si="35"/>
        <v>192.10000000000002</v>
      </c>
      <c r="X116">
        <v>174.8</v>
      </c>
      <c r="Y116">
        <f t="shared" si="36"/>
        <v>174.5</v>
      </c>
      <c r="Z116">
        <v>184</v>
      </c>
      <c r="AA116">
        <f t="shared" si="37"/>
        <v>183</v>
      </c>
      <c r="AB116">
        <v>173.9</v>
      </c>
      <c r="AC116">
        <f t="shared" si="38"/>
        <v>172.93333333333331</v>
      </c>
      <c r="AD116">
        <v>193.7</v>
      </c>
      <c r="AE116">
        <f t="shared" si="39"/>
        <v>193.26666666666665</v>
      </c>
      <c r="AF116">
        <v>183.2</v>
      </c>
      <c r="AG116">
        <f t="shared" si="40"/>
        <v>181.96666666666667</v>
      </c>
      <c r="AH116">
        <v>181.7</v>
      </c>
      <c r="AI116">
        <f t="shared" si="41"/>
        <v>180.23333333333335</v>
      </c>
      <c r="AJ116">
        <v>183</v>
      </c>
      <c r="AK116">
        <f t="shared" si="42"/>
        <v>181.70000000000002</v>
      </c>
      <c r="AL116" t="s">
        <v>32</v>
      </c>
      <c r="AN116">
        <v>179.1</v>
      </c>
      <c r="AO116">
        <f t="shared" si="43"/>
        <v>178.46666666666667</v>
      </c>
      <c r="AP116">
        <v>172.3</v>
      </c>
      <c r="AQ116">
        <f t="shared" si="44"/>
        <v>171.30000000000004</v>
      </c>
      <c r="AR116">
        <v>179.4</v>
      </c>
      <c r="AS116">
        <f t="shared" si="45"/>
        <v>178.79999999999998</v>
      </c>
      <c r="AT116">
        <v>166.6</v>
      </c>
      <c r="AU116">
        <f t="shared" si="46"/>
        <v>166.13333333333333</v>
      </c>
      <c r="AV116">
        <v>169.3</v>
      </c>
      <c r="AW116">
        <f t="shared" si="47"/>
        <v>168.63333333333335</v>
      </c>
      <c r="AX116">
        <v>175.7</v>
      </c>
      <c r="AY116">
        <f t="shared" si="48"/>
        <v>174.33333333333334</v>
      </c>
      <c r="AZ116">
        <v>171.1</v>
      </c>
      <c r="BA116">
        <f t="shared" si="49"/>
        <v>170.1</v>
      </c>
      <c r="BB116">
        <v>172.6</v>
      </c>
      <c r="BC116">
        <f t="shared" si="50"/>
        <v>171.79999999999998</v>
      </c>
      <c r="BD116">
        <v>175.3</v>
      </c>
      <c r="BE116">
        <f t="shared" si="51"/>
        <v>174.4</v>
      </c>
    </row>
    <row r="117" spans="1:57">
      <c r="A117" t="s">
        <v>30</v>
      </c>
      <c r="B117">
        <v>2022</v>
      </c>
      <c r="C117" t="s">
        <v>42</v>
      </c>
      <c r="D117">
        <v>162.9</v>
      </c>
      <c r="E117">
        <f t="shared" si="26"/>
        <v>159.20000000000002</v>
      </c>
      <c r="F117">
        <v>206.7</v>
      </c>
      <c r="G117">
        <f t="shared" si="27"/>
        <v>207.19999999999996</v>
      </c>
      <c r="H117">
        <v>169</v>
      </c>
      <c r="I117">
        <f t="shared" si="28"/>
        <v>170.53333333333333</v>
      </c>
      <c r="J117">
        <v>169.5</v>
      </c>
      <c r="K117">
        <f t="shared" si="29"/>
        <v>167.9</v>
      </c>
      <c r="L117">
        <v>194.1</v>
      </c>
      <c r="M117">
        <f t="shared" si="30"/>
        <v>198.13333333333333</v>
      </c>
      <c r="N117">
        <v>164.1</v>
      </c>
      <c r="O117">
        <f t="shared" si="31"/>
        <v>167.63333333333333</v>
      </c>
      <c r="P117">
        <v>176.9</v>
      </c>
      <c r="Q117">
        <f t="shared" si="32"/>
        <v>172.86666666666667</v>
      </c>
      <c r="R117">
        <v>169</v>
      </c>
      <c r="S117">
        <f t="shared" si="33"/>
        <v>166.83333333333334</v>
      </c>
      <c r="T117">
        <v>120.8</v>
      </c>
      <c r="U117">
        <f t="shared" si="34"/>
        <v>120.06666666666666</v>
      </c>
      <c r="V117">
        <v>199.1</v>
      </c>
      <c r="W117">
        <f t="shared" si="35"/>
        <v>195.5</v>
      </c>
      <c r="X117">
        <v>175.4</v>
      </c>
      <c r="Y117">
        <f t="shared" si="36"/>
        <v>174.9</v>
      </c>
      <c r="Z117">
        <v>184.8</v>
      </c>
      <c r="AA117">
        <f t="shared" si="37"/>
        <v>183.9666666666667</v>
      </c>
      <c r="AB117">
        <v>175.5</v>
      </c>
      <c r="AC117">
        <f t="shared" si="38"/>
        <v>173.96666666666667</v>
      </c>
      <c r="AD117">
        <v>194.5</v>
      </c>
      <c r="AE117">
        <f t="shared" si="39"/>
        <v>193.79999999999998</v>
      </c>
      <c r="AF117">
        <v>184.7</v>
      </c>
      <c r="AG117">
        <f t="shared" si="40"/>
        <v>183.29999999999998</v>
      </c>
      <c r="AH117">
        <v>183.3</v>
      </c>
      <c r="AI117">
        <f t="shared" si="41"/>
        <v>181.76666666666665</v>
      </c>
      <c r="AJ117">
        <v>184.5</v>
      </c>
      <c r="AK117">
        <f t="shared" si="42"/>
        <v>183.06666666666669</v>
      </c>
      <c r="AL117" t="s">
        <v>32</v>
      </c>
      <c r="AN117">
        <v>179.7</v>
      </c>
      <c r="AO117">
        <f t="shared" si="43"/>
        <v>179.46666666666667</v>
      </c>
      <c r="AP117">
        <v>173.6</v>
      </c>
      <c r="AQ117">
        <f t="shared" si="44"/>
        <v>172.4</v>
      </c>
      <c r="AR117">
        <v>180.2</v>
      </c>
      <c r="AS117">
        <f t="shared" si="45"/>
        <v>179.4666666666667</v>
      </c>
      <c r="AT117">
        <v>166.9</v>
      </c>
      <c r="AU117">
        <f t="shared" si="46"/>
        <v>166.6</v>
      </c>
      <c r="AV117">
        <v>170</v>
      </c>
      <c r="AW117">
        <f t="shared" si="47"/>
        <v>169.29999999999998</v>
      </c>
      <c r="AX117">
        <v>176.2</v>
      </c>
      <c r="AY117">
        <f t="shared" si="48"/>
        <v>175.5333333333333</v>
      </c>
      <c r="AZ117">
        <v>170.8</v>
      </c>
      <c r="BA117">
        <f t="shared" si="49"/>
        <v>170.53333333333333</v>
      </c>
      <c r="BB117">
        <v>173.1</v>
      </c>
      <c r="BC117">
        <f t="shared" si="50"/>
        <v>172.5</v>
      </c>
      <c r="BD117">
        <v>176.4</v>
      </c>
      <c r="BE117">
        <f t="shared" si="51"/>
        <v>175.33333333333334</v>
      </c>
    </row>
    <row r="118" spans="1:57">
      <c r="A118" t="s">
        <v>30</v>
      </c>
      <c r="B118">
        <v>2022</v>
      </c>
      <c r="C118" t="s">
        <v>43</v>
      </c>
      <c r="D118">
        <v>164.7</v>
      </c>
      <c r="E118">
        <f t="shared" si="26"/>
        <v>162.36666666666665</v>
      </c>
      <c r="F118">
        <v>208.8</v>
      </c>
      <c r="G118">
        <f t="shared" si="27"/>
        <v>206.5333333333333</v>
      </c>
      <c r="H118">
        <v>170.3</v>
      </c>
      <c r="I118">
        <f t="shared" si="28"/>
        <v>169.20000000000002</v>
      </c>
      <c r="J118">
        <v>170.9</v>
      </c>
      <c r="K118">
        <f t="shared" si="29"/>
        <v>169.43333333333331</v>
      </c>
      <c r="L118">
        <v>191.6</v>
      </c>
      <c r="M118">
        <f t="shared" si="30"/>
        <v>194.6</v>
      </c>
      <c r="N118">
        <v>162.19999999999999</v>
      </c>
      <c r="O118">
        <f t="shared" si="31"/>
        <v>165.16666666666666</v>
      </c>
      <c r="P118">
        <v>184.8</v>
      </c>
      <c r="Q118">
        <f t="shared" si="32"/>
        <v>178.26666666666665</v>
      </c>
      <c r="R118">
        <v>169.7</v>
      </c>
      <c r="S118">
        <f t="shared" si="33"/>
        <v>168.6</v>
      </c>
      <c r="T118">
        <v>121.1</v>
      </c>
      <c r="U118">
        <f t="shared" si="34"/>
        <v>120.7</v>
      </c>
      <c r="V118">
        <v>201.6</v>
      </c>
      <c r="W118">
        <f t="shared" si="35"/>
        <v>198.76666666666665</v>
      </c>
      <c r="X118">
        <v>175.8</v>
      </c>
      <c r="Y118">
        <f t="shared" si="36"/>
        <v>175.33333333333334</v>
      </c>
      <c r="Z118">
        <v>185.6</v>
      </c>
      <c r="AA118">
        <f t="shared" si="37"/>
        <v>184.79999999999998</v>
      </c>
      <c r="AB118">
        <v>177.4</v>
      </c>
      <c r="AC118">
        <f t="shared" si="38"/>
        <v>175.6</v>
      </c>
      <c r="AD118">
        <v>194.9</v>
      </c>
      <c r="AE118">
        <f t="shared" si="39"/>
        <v>194.36666666666667</v>
      </c>
      <c r="AF118">
        <v>186.1</v>
      </c>
      <c r="AG118">
        <f t="shared" si="40"/>
        <v>184.66666666666666</v>
      </c>
      <c r="AH118">
        <v>184.4</v>
      </c>
      <c r="AI118">
        <f t="shared" si="41"/>
        <v>183.13333333333333</v>
      </c>
      <c r="AJ118">
        <v>185.9</v>
      </c>
      <c r="AK118">
        <f t="shared" si="42"/>
        <v>184.46666666666667</v>
      </c>
      <c r="AL118" t="s">
        <v>32</v>
      </c>
      <c r="AN118">
        <v>180.8</v>
      </c>
      <c r="AO118">
        <f t="shared" si="43"/>
        <v>179.86666666666665</v>
      </c>
      <c r="AP118">
        <v>174.4</v>
      </c>
      <c r="AQ118">
        <f t="shared" si="44"/>
        <v>173.43333333333331</v>
      </c>
      <c r="AR118">
        <v>181.2</v>
      </c>
      <c r="AS118">
        <f t="shared" si="45"/>
        <v>180.26666666666665</v>
      </c>
      <c r="AT118">
        <v>167.4</v>
      </c>
      <c r="AU118">
        <f t="shared" si="46"/>
        <v>166.96666666666667</v>
      </c>
      <c r="AV118">
        <v>170.6</v>
      </c>
      <c r="AW118">
        <f t="shared" si="47"/>
        <v>169.96666666666667</v>
      </c>
      <c r="AX118">
        <v>176.5</v>
      </c>
      <c r="AY118">
        <f t="shared" si="48"/>
        <v>176.13333333333333</v>
      </c>
      <c r="AZ118">
        <v>172</v>
      </c>
      <c r="BA118">
        <f t="shared" si="49"/>
        <v>171.29999999999998</v>
      </c>
      <c r="BB118">
        <v>173.9</v>
      </c>
      <c r="BC118">
        <f t="shared" si="50"/>
        <v>173.20000000000002</v>
      </c>
      <c r="BD118">
        <v>177.9</v>
      </c>
      <c r="BE118">
        <f t="shared" si="51"/>
        <v>176.53333333333333</v>
      </c>
    </row>
    <row r="119" spans="1:57">
      <c r="A119" t="s">
        <v>30</v>
      </c>
      <c r="B119">
        <v>2022</v>
      </c>
      <c r="C119" t="s">
        <v>45</v>
      </c>
      <c r="D119">
        <v>166.9</v>
      </c>
      <c r="E119">
        <f t="shared" si="26"/>
        <v>164.83333333333334</v>
      </c>
      <c r="F119">
        <v>207.2</v>
      </c>
      <c r="G119">
        <f t="shared" si="27"/>
        <v>207.56666666666669</v>
      </c>
      <c r="H119">
        <v>180.2</v>
      </c>
      <c r="I119">
        <f t="shared" si="28"/>
        <v>173.16666666666666</v>
      </c>
      <c r="J119">
        <v>172.3</v>
      </c>
      <c r="K119">
        <f t="shared" si="29"/>
        <v>170.9</v>
      </c>
      <c r="L119">
        <v>194</v>
      </c>
      <c r="M119">
        <f t="shared" si="30"/>
        <v>193.23333333333335</v>
      </c>
      <c r="N119">
        <v>159.1</v>
      </c>
      <c r="O119">
        <f t="shared" si="31"/>
        <v>161.79999999999998</v>
      </c>
      <c r="P119">
        <v>171.6</v>
      </c>
      <c r="Q119">
        <f t="shared" si="32"/>
        <v>177.76666666666668</v>
      </c>
      <c r="R119">
        <v>170.2</v>
      </c>
      <c r="S119">
        <f t="shared" si="33"/>
        <v>169.63333333333333</v>
      </c>
      <c r="T119">
        <v>121.5</v>
      </c>
      <c r="U119">
        <f t="shared" si="34"/>
        <v>121.13333333333333</v>
      </c>
      <c r="V119">
        <v>204.8</v>
      </c>
      <c r="W119">
        <f t="shared" si="35"/>
        <v>201.83333333333334</v>
      </c>
      <c r="X119">
        <v>176.4</v>
      </c>
      <c r="Y119">
        <f t="shared" si="36"/>
        <v>175.86666666666667</v>
      </c>
      <c r="Z119">
        <v>186.9</v>
      </c>
      <c r="AA119">
        <f t="shared" si="37"/>
        <v>185.76666666666665</v>
      </c>
      <c r="AB119">
        <v>176.6</v>
      </c>
      <c r="AC119">
        <f t="shared" si="38"/>
        <v>176.5</v>
      </c>
      <c r="AD119">
        <v>195.5</v>
      </c>
      <c r="AE119">
        <f t="shared" si="39"/>
        <v>194.96666666666667</v>
      </c>
      <c r="AF119">
        <v>187.2</v>
      </c>
      <c r="AG119">
        <f t="shared" si="40"/>
        <v>186</v>
      </c>
      <c r="AH119">
        <v>185.2</v>
      </c>
      <c r="AI119">
        <f t="shared" si="41"/>
        <v>184.30000000000004</v>
      </c>
      <c r="AJ119">
        <v>186.9</v>
      </c>
      <c r="AK119">
        <f t="shared" si="42"/>
        <v>185.76666666666665</v>
      </c>
      <c r="AL119" t="s">
        <v>32</v>
      </c>
      <c r="AN119">
        <v>181.9</v>
      </c>
      <c r="AO119">
        <f t="shared" si="43"/>
        <v>180.79999999999998</v>
      </c>
      <c r="AP119">
        <v>175.5</v>
      </c>
      <c r="AQ119">
        <f t="shared" si="44"/>
        <v>174.5</v>
      </c>
      <c r="AR119">
        <v>182.3</v>
      </c>
      <c r="AS119">
        <f t="shared" si="45"/>
        <v>181.23333333333335</v>
      </c>
      <c r="AT119">
        <v>167.5</v>
      </c>
      <c r="AU119">
        <f t="shared" si="46"/>
        <v>167.26666666666668</v>
      </c>
      <c r="AV119">
        <v>170.8</v>
      </c>
      <c r="AW119">
        <f t="shared" si="47"/>
        <v>170.46666666666667</v>
      </c>
      <c r="AX119">
        <v>176.9</v>
      </c>
      <c r="AY119">
        <f t="shared" si="48"/>
        <v>176.53333333333333</v>
      </c>
      <c r="AZ119">
        <v>173.4</v>
      </c>
      <c r="BA119">
        <f t="shared" si="49"/>
        <v>172.06666666666669</v>
      </c>
      <c r="BB119">
        <v>174.6</v>
      </c>
      <c r="BC119">
        <f t="shared" si="50"/>
        <v>173.86666666666667</v>
      </c>
      <c r="BD119">
        <v>177.8</v>
      </c>
      <c r="BE119">
        <f t="shared" si="51"/>
        <v>177.36666666666667</v>
      </c>
    </row>
    <row r="120" spans="1:57">
      <c r="A120" t="s">
        <v>30</v>
      </c>
      <c r="B120">
        <v>2022</v>
      </c>
      <c r="C120" t="s">
        <v>46</v>
      </c>
      <c r="D120">
        <v>168.8</v>
      </c>
      <c r="E120">
        <f t="shared" si="26"/>
        <v>166.8</v>
      </c>
      <c r="F120">
        <v>206.9</v>
      </c>
      <c r="G120">
        <f t="shared" si="27"/>
        <v>207.63333333333333</v>
      </c>
      <c r="H120">
        <v>189.1</v>
      </c>
      <c r="I120">
        <f t="shared" si="28"/>
        <v>179.86666666666667</v>
      </c>
      <c r="J120">
        <v>173.4</v>
      </c>
      <c r="K120">
        <f t="shared" si="29"/>
        <v>172.20000000000002</v>
      </c>
      <c r="L120">
        <v>193.9</v>
      </c>
      <c r="M120">
        <f t="shared" si="30"/>
        <v>193.16666666666666</v>
      </c>
      <c r="N120">
        <v>156.69999999999999</v>
      </c>
      <c r="O120">
        <f t="shared" si="31"/>
        <v>159.33333333333331</v>
      </c>
      <c r="P120">
        <v>150.19999999999999</v>
      </c>
      <c r="Q120">
        <f t="shared" si="32"/>
        <v>168.86666666666665</v>
      </c>
      <c r="R120">
        <v>170.5</v>
      </c>
      <c r="S120">
        <f t="shared" si="33"/>
        <v>170.13333333333333</v>
      </c>
      <c r="T120">
        <v>121.2</v>
      </c>
      <c r="U120">
        <f t="shared" si="34"/>
        <v>121.26666666666667</v>
      </c>
      <c r="V120">
        <v>207.5</v>
      </c>
      <c r="W120">
        <f t="shared" si="35"/>
        <v>204.63333333333333</v>
      </c>
      <c r="X120">
        <v>176.8</v>
      </c>
      <c r="Y120">
        <f t="shared" si="36"/>
        <v>176.33333333333334</v>
      </c>
      <c r="Z120">
        <v>187.7</v>
      </c>
      <c r="AA120">
        <f t="shared" si="37"/>
        <v>186.73333333333335</v>
      </c>
      <c r="AB120">
        <v>174.4</v>
      </c>
      <c r="AC120">
        <f t="shared" si="38"/>
        <v>176.13333333333333</v>
      </c>
      <c r="AD120">
        <v>195.9</v>
      </c>
      <c r="AE120">
        <f t="shared" si="39"/>
        <v>195.43333333333331</v>
      </c>
      <c r="AF120">
        <v>188.1</v>
      </c>
      <c r="AG120">
        <f t="shared" si="40"/>
        <v>187.13333333333333</v>
      </c>
      <c r="AH120">
        <v>185.9</v>
      </c>
      <c r="AI120">
        <f t="shared" si="41"/>
        <v>185.16666666666666</v>
      </c>
      <c r="AJ120">
        <v>187.8</v>
      </c>
      <c r="AK120">
        <f t="shared" si="42"/>
        <v>186.86666666666667</v>
      </c>
      <c r="AL120" t="s">
        <v>32</v>
      </c>
      <c r="AN120">
        <v>182.8</v>
      </c>
      <c r="AO120">
        <f t="shared" si="43"/>
        <v>181.83333333333334</v>
      </c>
      <c r="AP120">
        <v>176.4</v>
      </c>
      <c r="AQ120">
        <f t="shared" si="44"/>
        <v>175.43333333333331</v>
      </c>
      <c r="AR120">
        <v>183.5</v>
      </c>
      <c r="AS120">
        <f t="shared" si="45"/>
        <v>182.33333333333334</v>
      </c>
      <c r="AT120">
        <v>167.8</v>
      </c>
      <c r="AU120">
        <f t="shared" si="46"/>
        <v>167.56666666666666</v>
      </c>
      <c r="AV120">
        <v>171.2</v>
      </c>
      <c r="AW120">
        <f t="shared" si="47"/>
        <v>170.86666666666665</v>
      </c>
      <c r="AX120">
        <v>177.3</v>
      </c>
      <c r="AY120">
        <f t="shared" si="48"/>
        <v>176.9</v>
      </c>
      <c r="AZ120">
        <v>175.7</v>
      </c>
      <c r="BA120">
        <f t="shared" si="49"/>
        <v>173.69999999999996</v>
      </c>
      <c r="BB120">
        <v>175.5</v>
      </c>
      <c r="BC120">
        <f t="shared" si="50"/>
        <v>174.66666666666666</v>
      </c>
      <c r="BD120">
        <v>177.1</v>
      </c>
      <c r="BE120">
        <f t="shared" si="51"/>
        <v>177.60000000000002</v>
      </c>
    </row>
    <row r="121" spans="1:57">
      <c r="A121" t="s">
        <v>30</v>
      </c>
      <c r="B121">
        <v>2023</v>
      </c>
      <c r="C121" t="s">
        <v>31</v>
      </c>
      <c r="D121">
        <v>174</v>
      </c>
      <c r="E121">
        <f t="shared" si="26"/>
        <v>169.9</v>
      </c>
      <c r="F121">
        <v>208.3</v>
      </c>
      <c r="G121">
        <f t="shared" si="27"/>
        <v>207.4666666666667</v>
      </c>
      <c r="H121">
        <v>192.9</v>
      </c>
      <c r="I121">
        <f t="shared" si="28"/>
        <v>187.39999999999998</v>
      </c>
      <c r="J121">
        <v>174.3</v>
      </c>
      <c r="K121">
        <f t="shared" si="29"/>
        <v>173.33333333333334</v>
      </c>
      <c r="L121">
        <v>192.6</v>
      </c>
      <c r="M121">
        <f t="shared" si="30"/>
        <v>193.5</v>
      </c>
      <c r="N121">
        <v>156.30000000000001</v>
      </c>
      <c r="O121">
        <f t="shared" si="31"/>
        <v>157.36666666666665</v>
      </c>
      <c r="P121">
        <v>142.9</v>
      </c>
      <c r="Q121">
        <f t="shared" si="32"/>
        <v>154.89999999999998</v>
      </c>
      <c r="R121">
        <v>170.7</v>
      </c>
      <c r="S121">
        <f t="shared" si="33"/>
        <v>170.46666666666667</v>
      </c>
      <c r="T121">
        <v>120.3</v>
      </c>
      <c r="U121">
        <f t="shared" si="34"/>
        <v>121</v>
      </c>
      <c r="V121">
        <v>210.5</v>
      </c>
      <c r="W121">
        <f t="shared" si="35"/>
        <v>207.6</v>
      </c>
      <c r="X121">
        <v>176.9</v>
      </c>
      <c r="Y121">
        <f t="shared" si="36"/>
        <v>176.70000000000002</v>
      </c>
      <c r="Z121">
        <v>188.5</v>
      </c>
      <c r="AA121">
        <f t="shared" si="37"/>
        <v>187.70000000000002</v>
      </c>
      <c r="AB121">
        <v>175</v>
      </c>
      <c r="AC121">
        <f t="shared" si="38"/>
        <v>175.33333333333334</v>
      </c>
      <c r="AD121">
        <v>196.9</v>
      </c>
      <c r="AE121">
        <f t="shared" si="39"/>
        <v>196.1</v>
      </c>
      <c r="AF121">
        <v>189</v>
      </c>
      <c r="AG121">
        <f t="shared" si="40"/>
        <v>188.1</v>
      </c>
      <c r="AH121">
        <v>186.3</v>
      </c>
      <c r="AI121">
        <f t="shared" si="41"/>
        <v>185.80000000000004</v>
      </c>
      <c r="AJ121">
        <v>188.6</v>
      </c>
      <c r="AK121">
        <f t="shared" si="42"/>
        <v>187.76666666666668</v>
      </c>
      <c r="AL121" t="s">
        <v>32</v>
      </c>
      <c r="AN121">
        <v>183.2</v>
      </c>
      <c r="AO121">
        <f t="shared" si="43"/>
        <v>182.63333333333335</v>
      </c>
      <c r="AP121">
        <v>177.2</v>
      </c>
      <c r="AQ121">
        <f t="shared" si="44"/>
        <v>176.36666666666665</v>
      </c>
      <c r="AR121">
        <v>184.7</v>
      </c>
      <c r="AS121">
        <f t="shared" si="45"/>
        <v>183.5</v>
      </c>
      <c r="AT121">
        <v>168.2</v>
      </c>
      <c r="AU121">
        <f t="shared" si="46"/>
        <v>167.83333333333334</v>
      </c>
      <c r="AV121">
        <v>171.8</v>
      </c>
      <c r="AW121">
        <f t="shared" si="47"/>
        <v>171.26666666666665</v>
      </c>
      <c r="AX121">
        <v>177.8</v>
      </c>
      <c r="AY121">
        <f t="shared" si="48"/>
        <v>177.33333333333334</v>
      </c>
      <c r="AZ121">
        <v>178.4</v>
      </c>
      <c r="BA121">
        <f t="shared" si="49"/>
        <v>175.83333333333334</v>
      </c>
      <c r="BB121">
        <v>176.5</v>
      </c>
      <c r="BC121">
        <f t="shared" si="50"/>
        <v>175.53333333333333</v>
      </c>
      <c r="BD121">
        <v>177.8</v>
      </c>
      <c r="BE121">
        <f t="shared" si="51"/>
        <v>177.56666666666669</v>
      </c>
    </row>
    <row r="122" spans="1:57">
      <c r="A122" t="s">
        <v>30</v>
      </c>
      <c r="B122">
        <v>2023</v>
      </c>
      <c r="C122" t="s">
        <v>35</v>
      </c>
      <c r="D122">
        <v>174.2</v>
      </c>
      <c r="E122">
        <f t="shared" si="26"/>
        <v>172.33333333333334</v>
      </c>
      <c r="F122">
        <v>205.2</v>
      </c>
      <c r="G122">
        <f t="shared" si="27"/>
        <v>206.80000000000004</v>
      </c>
      <c r="H122">
        <v>173.9</v>
      </c>
      <c r="I122">
        <f t="shared" si="28"/>
        <v>185.29999999999998</v>
      </c>
      <c r="J122">
        <v>177</v>
      </c>
      <c r="K122">
        <f t="shared" si="29"/>
        <v>174.9</v>
      </c>
      <c r="L122">
        <v>183.4</v>
      </c>
      <c r="M122">
        <f t="shared" si="30"/>
        <v>189.96666666666667</v>
      </c>
      <c r="N122">
        <v>167.2</v>
      </c>
      <c r="O122">
        <f t="shared" si="31"/>
        <v>160.06666666666666</v>
      </c>
      <c r="P122">
        <v>140.9</v>
      </c>
      <c r="Q122">
        <f t="shared" si="32"/>
        <v>144.66666666666666</v>
      </c>
      <c r="R122">
        <v>170.4</v>
      </c>
      <c r="S122">
        <f t="shared" si="33"/>
        <v>170.53333333333333</v>
      </c>
      <c r="T122">
        <v>119.1</v>
      </c>
      <c r="U122">
        <f t="shared" si="34"/>
        <v>120.2</v>
      </c>
      <c r="V122">
        <v>212.1</v>
      </c>
      <c r="W122">
        <f t="shared" si="35"/>
        <v>210.03333333333333</v>
      </c>
      <c r="X122">
        <v>177.6</v>
      </c>
      <c r="Y122">
        <f t="shared" si="36"/>
        <v>177.10000000000002</v>
      </c>
      <c r="Z122">
        <v>189.9</v>
      </c>
      <c r="AA122">
        <f t="shared" si="37"/>
        <v>188.70000000000002</v>
      </c>
      <c r="AB122">
        <v>174.8</v>
      </c>
      <c r="AC122">
        <f t="shared" si="38"/>
        <v>174.73333333333335</v>
      </c>
      <c r="AD122">
        <v>198.3</v>
      </c>
      <c r="AE122">
        <f t="shared" si="39"/>
        <v>197.03333333333333</v>
      </c>
      <c r="AF122">
        <v>190</v>
      </c>
      <c r="AG122">
        <f t="shared" si="40"/>
        <v>189.03333333333333</v>
      </c>
      <c r="AH122">
        <v>187</v>
      </c>
      <c r="AI122">
        <f t="shared" si="41"/>
        <v>186.4</v>
      </c>
      <c r="AJ122">
        <v>189.6</v>
      </c>
      <c r="AK122">
        <f t="shared" si="42"/>
        <v>188.66666666666666</v>
      </c>
      <c r="AL122" t="s">
        <v>32</v>
      </c>
      <c r="AN122">
        <v>181.6</v>
      </c>
      <c r="AO122">
        <f t="shared" si="43"/>
        <v>182.53333333333333</v>
      </c>
      <c r="AP122">
        <v>178.6</v>
      </c>
      <c r="AQ122">
        <f t="shared" si="44"/>
        <v>177.4</v>
      </c>
      <c r="AR122">
        <v>186.6</v>
      </c>
      <c r="AS122">
        <f t="shared" si="45"/>
        <v>184.93333333333331</v>
      </c>
      <c r="AT122">
        <v>169</v>
      </c>
      <c r="AU122">
        <f t="shared" si="46"/>
        <v>168.33333333333334</v>
      </c>
      <c r="AV122">
        <v>172.8</v>
      </c>
      <c r="AW122">
        <f t="shared" si="47"/>
        <v>171.93333333333331</v>
      </c>
      <c r="AX122">
        <v>178.5</v>
      </c>
      <c r="AY122">
        <f t="shared" si="48"/>
        <v>177.86666666666667</v>
      </c>
      <c r="AZ122">
        <v>180.7</v>
      </c>
      <c r="BA122">
        <f t="shared" si="49"/>
        <v>178.26666666666665</v>
      </c>
      <c r="BB122">
        <v>177.9</v>
      </c>
      <c r="BC122">
        <f t="shared" si="50"/>
        <v>176.63333333333333</v>
      </c>
      <c r="BD122">
        <v>178</v>
      </c>
      <c r="BE122">
        <f t="shared" si="51"/>
        <v>177.63333333333333</v>
      </c>
    </row>
    <row r="123" spans="1:57">
      <c r="A123" t="s">
        <v>30</v>
      </c>
      <c r="B123">
        <v>2023</v>
      </c>
      <c r="C123" t="s">
        <v>36</v>
      </c>
      <c r="D123">
        <v>174.3</v>
      </c>
      <c r="E123">
        <f t="shared" si="26"/>
        <v>174.16666666666666</v>
      </c>
      <c r="F123">
        <v>205.2</v>
      </c>
      <c r="G123">
        <f t="shared" si="27"/>
        <v>206.23333333333335</v>
      </c>
      <c r="H123">
        <v>173.9</v>
      </c>
      <c r="I123">
        <f t="shared" si="28"/>
        <v>180.23333333333335</v>
      </c>
      <c r="J123">
        <v>177</v>
      </c>
      <c r="K123">
        <f t="shared" si="29"/>
        <v>176.1</v>
      </c>
      <c r="L123">
        <v>183.3</v>
      </c>
      <c r="M123">
        <f t="shared" si="30"/>
        <v>186.43333333333331</v>
      </c>
      <c r="N123">
        <v>167.2</v>
      </c>
      <c r="O123">
        <f t="shared" si="31"/>
        <v>163.56666666666666</v>
      </c>
      <c r="P123">
        <v>140.9</v>
      </c>
      <c r="Q123">
        <f t="shared" si="32"/>
        <v>141.56666666666669</v>
      </c>
      <c r="R123">
        <v>170.5</v>
      </c>
      <c r="S123">
        <f t="shared" si="33"/>
        <v>170.53333333333333</v>
      </c>
      <c r="T123">
        <v>119.1</v>
      </c>
      <c r="U123">
        <f t="shared" si="34"/>
        <v>119.5</v>
      </c>
      <c r="V123">
        <v>212.1</v>
      </c>
      <c r="W123">
        <f t="shared" si="35"/>
        <v>211.56666666666669</v>
      </c>
      <c r="X123">
        <v>177.6</v>
      </c>
      <c r="Y123">
        <f t="shared" si="36"/>
        <v>177.36666666666667</v>
      </c>
      <c r="Z123">
        <v>189.9</v>
      </c>
      <c r="AA123">
        <f t="shared" si="37"/>
        <v>189.43333333333331</v>
      </c>
      <c r="AB123">
        <v>174.8</v>
      </c>
      <c r="AC123">
        <f t="shared" si="38"/>
        <v>174.86666666666667</v>
      </c>
      <c r="AD123">
        <v>198.4</v>
      </c>
      <c r="AE123">
        <f t="shared" si="39"/>
        <v>197.86666666666667</v>
      </c>
      <c r="AF123">
        <v>190</v>
      </c>
      <c r="AG123">
        <f t="shared" si="40"/>
        <v>189.66666666666666</v>
      </c>
      <c r="AH123">
        <v>187</v>
      </c>
      <c r="AI123">
        <f t="shared" si="41"/>
        <v>186.76666666666665</v>
      </c>
      <c r="AJ123">
        <v>189.6</v>
      </c>
      <c r="AK123">
        <f t="shared" si="42"/>
        <v>189.26666666666665</v>
      </c>
      <c r="AL123" t="s">
        <v>32</v>
      </c>
      <c r="AN123">
        <v>181.4</v>
      </c>
      <c r="AO123">
        <f t="shared" si="43"/>
        <v>182.06666666666663</v>
      </c>
      <c r="AP123">
        <v>178.6</v>
      </c>
      <c r="AQ123">
        <f t="shared" si="44"/>
        <v>178.13333333333333</v>
      </c>
      <c r="AR123">
        <v>186.6</v>
      </c>
      <c r="AS123">
        <f t="shared" si="45"/>
        <v>185.96666666666667</v>
      </c>
      <c r="AT123">
        <v>169</v>
      </c>
      <c r="AU123">
        <f t="shared" si="46"/>
        <v>168.73333333333332</v>
      </c>
      <c r="AV123">
        <v>172.8</v>
      </c>
      <c r="AW123">
        <f t="shared" si="47"/>
        <v>172.4666666666667</v>
      </c>
      <c r="AX123">
        <v>178.5</v>
      </c>
      <c r="AY123">
        <f t="shared" si="48"/>
        <v>178.26666666666665</v>
      </c>
      <c r="AZ123">
        <v>180.7</v>
      </c>
      <c r="BA123">
        <f t="shared" si="49"/>
        <v>179.93333333333331</v>
      </c>
      <c r="BB123">
        <v>177.9</v>
      </c>
      <c r="BC123">
        <f t="shared" si="50"/>
        <v>177.43333333333331</v>
      </c>
      <c r="BD123">
        <v>178</v>
      </c>
      <c r="BE123">
        <f t="shared" si="51"/>
        <v>177.93333333333331</v>
      </c>
    </row>
    <row r="124" spans="1:57">
      <c r="A124" t="s">
        <v>30</v>
      </c>
      <c r="B124">
        <v>2023</v>
      </c>
      <c r="C124" t="s">
        <v>37</v>
      </c>
      <c r="D124">
        <v>173.3</v>
      </c>
      <c r="E124">
        <f t="shared" si="26"/>
        <v>173.93333333333331</v>
      </c>
      <c r="F124">
        <v>206.9</v>
      </c>
      <c r="G124">
        <f t="shared" si="27"/>
        <v>205.76666666666665</v>
      </c>
      <c r="H124">
        <v>167.9</v>
      </c>
      <c r="I124">
        <f t="shared" si="28"/>
        <v>171.9</v>
      </c>
      <c r="J124">
        <v>178.2</v>
      </c>
      <c r="K124">
        <f t="shared" si="29"/>
        <v>177.4</v>
      </c>
      <c r="L124">
        <v>178.5</v>
      </c>
      <c r="M124">
        <f t="shared" si="30"/>
        <v>181.73333333333335</v>
      </c>
      <c r="N124">
        <v>173.7</v>
      </c>
      <c r="O124">
        <f t="shared" si="31"/>
        <v>169.36666666666665</v>
      </c>
      <c r="P124">
        <v>142.80000000000001</v>
      </c>
      <c r="Q124">
        <f t="shared" si="32"/>
        <v>141.53333333333333</v>
      </c>
      <c r="R124">
        <v>172.8</v>
      </c>
      <c r="S124">
        <f t="shared" si="33"/>
        <v>171.23333333333335</v>
      </c>
      <c r="T124">
        <v>120.4</v>
      </c>
      <c r="U124">
        <f t="shared" si="34"/>
        <v>119.53333333333335</v>
      </c>
      <c r="V124">
        <v>215.5</v>
      </c>
      <c r="W124">
        <f t="shared" si="35"/>
        <v>213.23333333333335</v>
      </c>
      <c r="X124">
        <v>178.2</v>
      </c>
      <c r="Y124">
        <f t="shared" si="36"/>
        <v>177.79999999999998</v>
      </c>
      <c r="Z124">
        <v>190.5</v>
      </c>
      <c r="AA124">
        <f t="shared" si="37"/>
        <v>190.1</v>
      </c>
      <c r="AB124">
        <v>175.5</v>
      </c>
      <c r="AC124">
        <f t="shared" si="38"/>
        <v>175.03333333333333</v>
      </c>
      <c r="AD124">
        <v>199.5</v>
      </c>
      <c r="AE124">
        <f t="shared" si="39"/>
        <v>198.73333333333335</v>
      </c>
      <c r="AF124">
        <v>190.7</v>
      </c>
      <c r="AG124">
        <f t="shared" si="40"/>
        <v>190.23333333333335</v>
      </c>
      <c r="AH124">
        <v>187.3</v>
      </c>
      <c r="AI124">
        <f t="shared" si="41"/>
        <v>187.1</v>
      </c>
      <c r="AJ124">
        <v>190.2</v>
      </c>
      <c r="AK124">
        <f t="shared" si="42"/>
        <v>189.79999999999998</v>
      </c>
      <c r="AL124" t="s">
        <v>48</v>
      </c>
      <c r="AN124">
        <v>181.5</v>
      </c>
      <c r="AO124">
        <f t="shared" si="43"/>
        <v>181.5</v>
      </c>
      <c r="AP124">
        <v>179.1</v>
      </c>
      <c r="AQ124">
        <f t="shared" si="44"/>
        <v>178.76666666666665</v>
      </c>
      <c r="AR124">
        <v>187.2</v>
      </c>
      <c r="AS124">
        <f t="shared" si="45"/>
        <v>186.79999999999998</v>
      </c>
      <c r="AT124">
        <v>169.4</v>
      </c>
      <c r="AU124">
        <f t="shared" si="46"/>
        <v>169.13333333333333</v>
      </c>
      <c r="AV124">
        <v>173.2</v>
      </c>
      <c r="AW124">
        <f t="shared" si="47"/>
        <v>172.93333333333331</v>
      </c>
      <c r="AX124">
        <v>179.4</v>
      </c>
      <c r="AY124">
        <f t="shared" si="48"/>
        <v>178.79999999999998</v>
      </c>
      <c r="AZ124">
        <v>183.8</v>
      </c>
      <c r="BA124">
        <f t="shared" si="49"/>
        <v>181.73333333333335</v>
      </c>
      <c r="BB124">
        <v>178.9</v>
      </c>
      <c r="BC124">
        <f t="shared" si="50"/>
        <v>178.23333333333335</v>
      </c>
      <c r="BD124">
        <v>178.8</v>
      </c>
      <c r="BE124">
        <f t="shared" si="51"/>
        <v>178.26666666666665</v>
      </c>
    </row>
    <row r="125" spans="1:57">
      <c r="A125" t="s">
        <v>30</v>
      </c>
      <c r="B125">
        <v>2023</v>
      </c>
      <c r="C125" t="s">
        <v>38</v>
      </c>
      <c r="D125">
        <v>173.2</v>
      </c>
      <c r="E125">
        <f t="shared" si="26"/>
        <v>173.6</v>
      </c>
      <c r="F125">
        <v>211.5</v>
      </c>
      <c r="G125">
        <f t="shared" si="27"/>
        <v>207.86666666666667</v>
      </c>
      <c r="H125">
        <v>171</v>
      </c>
      <c r="I125">
        <f t="shared" si="28"/>
        <v>170.93333333333331</v>
      </c>
      <c r="J125">
        <v>179.6</v>
      </c>
      <c r="K125">
        <f t="shared" si="29"/>
        <v>178.26666666666665</v>
      </c>
      <c r="L125">
        <v>173.3</v>
      </c>
      <c r="M125">
        <f t="shared" si="30"/>
        <v>178.36666666666667</v>
      </c>
      <c r="N125">
        <v>169</v>
      </c>
      <c r="O125">
        <f t="shared" si="31"/>
        <v>169.96666666666667</v>
      </c>
      <c r="P125">
        <v>148.69999999999999</v>
      </c>
      <c r="Q125">
        <f t="shared" si="32"/>
        <v>144.13333333333335</v>
      </c>
      <c r="R125">
        <v>174.9</v>
      </c>
      <c r="S125">
        <f t="shared" si="33"/>
        <v>172.73333333333335</v>
      </c>
      <c r="T125">
        <v>121.9</v>
      </c>
      <c r="U125">
        <f t="shared" si="34"/>
        <v>120.46666666666665</v>
      </c>
      <c r="V125">
        <v>221</v>
      </c>
      <c r="W125">
        <f t="shared" si="35"/>
        <v>216.20000000000002</v>
      </c>
      <c r="X125">
        <v>178.7</v>
      </c>
      <c r="Y125">
        <f t="shared" si="36"/>
        <v>178.16666666666666</v>
      </c>
      <c r="Z125">
        <v>191.1</v>
      </c>
      <c r="AA125">
        <f t="shared" si="37"/>
        <v>190.5</v>
      </c>
      <c r="AB125">
        <v>176.8</v>
      </c>
      <c r="AC125">
        <f t="shared" si="38"/>
        <v>175.70000000000002</v>
      </c>
      <c r="AD125">
        <v>199.9</v>
      </c>
      <c r="AE125">
        <f t="shared" si="39"/>
        <v>199.26666666666665</v>
      </c>
      <c r="AF125">
        <v>191.2</v>
      </c>
      <c r="AG125">
        <f t="shared" si="40"/>
        <v>190.63333333333333</v>
      </c>
      <c r="AH125">
        <v>187.9</v>
      </c>
      <c r="AI125">
        <f t="shared" si="41"/>
        <v>187.4</v>
      </c>
      <c r="AJ125">
        <v>190.8</v>
      </c>
      <c r="AK125">
        <f t="shared" si="42"/>
        <v>190.19999999999996</v>
      </c>
      <c r="AL125" t="s">
        <v>48</v>
      </c>
      <c r="AN125">
        <v>182.5</v>
      </c>
      <c r="AO125">
        <f t="shared" si="43"/>
        <v>181.79999999999998</v>
      </c>
      <c r="AP125">
        <v>179.8</v>
      </c>
      <c r="AQ125">
        <f t="shared" si="44"/>
        <v>179.16666666666666</v>
      </c>
      <c r="AR125">
        <v>187.8</v>
      </c>
      <c r="AS125">
        <f t="shared" si="45"/>
        <v>187.19999999999996</v>
      </c>
      <c r="AT125">
        <v>169.7</v>
      </c>
      <c r="AU125">
        <f t="shared" si="46"/>
        <v>169.36666666666665</v>
      </c>
      <c r="AV125">
        <v>173.8</v>
      </c>
      <c r="AW125">
        <f t="shared" si="47"/>
        <v>173.26666666666665</v>
      </c>
      <c r="AX125">
        <v>180.3</v>
      </c>
      <c r="AY125">
        <f t="shared" si="48"/>
        <v>179.4</v>
      </c>
      <c r="AZ125">
        <v>184.9</v>
      </c>
      <c r="BA125">
        <f t="shared" si="49"/>
        <v>183.13333333333333</v>
      </c>
      <c r="BB125">
        <v>179.5</v>
      </c>
      <c r="BC125">
        <f t="shared" si="50"/>
        <v>178.76666666666665</v>
      </c>
      <c r="BD125">
        <v>179.8</v>
      </c>
      <c r="BE125">
        <f t="shared" si="51"/>
        <v>178.86666666666667</v>
      </c>
    </row>
    <row r="130" spans="1:57">
      <c r="A130" t="s">
        <v>0</v>
      </c>
      <c r="B130" t="s">
        <v>1</v>
      </c>
      <c r="C130" t="s">
        <v>2</v>
      </c>
      <c r="D130" t="s">
        <v>3</v>
      </c>
      <c r="F130" t="s">
        <v>4</v>
      </c>
      <c r="H130" t="s">
        <v>5</v>
      </c>
      <c r="J130" t="s">
        <v>6</v>
      </c>
      <c r="L130" t="s">
        <v>7</v>
      </c>
      <c r="N130" t="s">
        <v>8</v>
      </c>
      <c r="P130" t="s">
        <v>9</v>
      </c>
      <c r="R130" t="s">
        <v>10</v>
      </c>
      <c r="T130" t="s">
        <v>11</v>
      </c>
      <c r="V130" t="s">
        <v>12</v>
      </c>
      <c r="X130" t="s">
        <v>13</v>
      </c>
      <c r="Z130" t="s">
        <v>14</v>
      </c>
      <c r="AB130" t="s">
        <v>15</v>
      </c>
      <c r="AD130" t="s">
        <v>16</v>
      </c>
      <c r="AF130" t="s">
        <v>17</v>
      </c>
      <c r="AH130" t="s">
        <v>18</v>
      </c>
      <c r="AJ130" t="s">
        <v>19</v>
      </c>
      <c r="AL130" t="s">
        <v>20</v>
      </c>
      <c r="AN130" t="s">
        <v>21</v>
      </c>
      <c r="AP130" t="s">
        <v>22</v>
      </c>
      <c r="AR130" t="s">
        <v>23</v>
      </c>
      <c r="AT130" t="s">
        <v>24</v>
      </c>
      <c r="AV130" t="s">
        <v>25</v>
      </c>
      <c r="AX130" t="s">
        <v>26</v>
      </c>
      <c r="AZ130" t="s">
        <v>27</v>
      </c>
      <c r="BB130" t="s">
        <v>28</v>
      </c>
      <c r="BD130" t="s">
        <v>29</v>
      </c>
    </row>
    <row r="131" spans="1:57" hidden="1">
      <c r="A131" t="s">
        <v>34</v>
      </c>
      <c r="B131">
        <v>2013</v>
      </c>
      <c r="C131" t="s">
        <v>31</v>
      </c>
      <c r="D131">
        <v>108.4</v>
      </c>
      <c r="F131">
        <v>107.3</v>
      </c>
      <c r="H131">
        <v>110</v>
      </c>
      <c r="J131">
        <v>104.4</v>
      </c>
      <c r="L131">
        <v>105.1</v>
      </c>
      <c r="N131">
        <v>103.2</v>
      </c>
      <c r="P131">
        <v>102.2</v>
      </c>
      <c r="R131">
        <v>106</v>
      </c>
      <c r="T131">
        <v>106.2</v>
      </c>
      <c r="V131">
        <v>102.7</v>
      </c>
      <c r="X131">
        <v>104.9</v>
      </c>
      <c r="Z131">
        <v>107.3</v>
      </c>
      <c r="AB131">
        <v>105.6</v>
      </c>
      <c r="AD131">
        <v>105.1</v>
      </c>
      <c r="AF131">
        <v>106.3</v>
      </c>
      <c r="AH131">
        <v>105.5</v>
      </c>
      <c r="AJ131">
        <v>106.2</v>
      </c>
      <c r="AL131">
        <v>100.3</v>
      </c>
      <c r="AN131">
        <v>105.5</v>
      </c>
      <c r="AP131">
        <v>104.8</v>
      </c>
      <c r="AR131">
        <v>104</v>
      </c>
      <c r="AT131">
        <v>103.2</v>
      </c>
      <c r="AV131">
        <v>103.1</v>
      </c>
      <c r="AX131">
        <v>103.6</v>
      </c>
      <c r="AZ131">
        <v>104.5</v>
      </c>
      <c r="BB131">
        <v>103.9</v>
      </c>
      <c r="BD131">
        <v>104.6</v>
      </c>
    </row>
    <row r="132" spans="1:57" hidden="1">
      <c r="A132" t="s">
        <v>34</v>
      </c>
      <c r="B132">
        <v>2013</v>
      </c>
      <c r="C132" t="s">
        <v>35</v>
      </c>
      <c r="D132">
        <v>110.4</v>
      </c>
      <c r="F132">
        <v>110.2</v>
      </c>
      <c r="H132">
        <v>112.8</v>
      </c>
      <c r="J132">
        <v>104.9</v>
      </c>
      <c r="L132">
        <v>105.5</v>
      </c>
      <c r="N132">
        <v>103.6</v>
      </c>
      <c r="P132">
        <v>103.2</v>
      </c>
      <c r="R132">
        <v>105.3</v>
      </c>
      <c r="T132">
        <v>105.1</v>
      </c>
      <c r="V132">
        <v>102.8</v>
      </c>
      <c r="X132">
        <v>105.5</v>
      </c>
      <c r="Z132">
        <v>108.3</v>
      </c>
      <c r="AB132">
        <v>106.6</v>
      </c>
      <c r="AD132">
        <v>105.7</v>
      </c>
      <c r="AF132">
        <v>106.9</v>
      </c>
      <c r="AH132">
        <v>106</v>
      </c>
      <c r="AJ132">
        <v>106.8</v>
      </c>
      <c r="AL132">
        <v>100.4</v>
      </c>
      <c r="AN132">
        <v>106</v>
      </c>
      <c r="AP132">
        <v>105.2</v>
      </c>
      <c r="AR132">
        <v>104.5</v>
      </c>
      <c r="AT132">
        <v>104.2</v>
      </c>
      <c r="AV132">
        <v>103.6</v>
      </c>
      <c r="AX132">
        <v>103.9</v>
      </c>
      <c r="AZ132">
        <v>104.5</v>
      </c>
      <c r="BB132">
        <v>104.4</v>
      </c>
      <c r="BD132">
        <v>105.3</v>
      </c>
    </row>
    <row r="133" spans="1:57" hidden="1">
      <c r="A133" t="s">
        <v>34</v>
      </c>
      <c r="B133">
        <v>2013</v>
      </c>
      <c r="C133" t="s">
        <v>36</v>
      </c>
      <c r="D133">
        <v>111.4</v>
      </c>
      <c r="E133">
        <f>AVERAGE(D131:D133)</f>
        <v>110.06666666666668</v>
      </c>
      <c r="F133">
        <v>109.7</v>
      </c>
      <c r="G133">
        <f>AVERAGE(F131:F133)</f>
        <v>109.06666666666666</v>
      </c>
      <c r="H133">
        <v>111.2</v>
      </c>
      <c r="I133">
        <f>AVERAGE(H131:H133)</f>
        <v>111.33333333333333</v>
      </c>
      <c r="J133">
        <v>105.1</v>
      </c>
      <c r="K133">
        <f>AVERAGE(J131:J133)</f>
        <v>104.8</v>
      </c>
      <c r="L133">
        <v>104.9</v>
      </c>
      <c r="M133">
        <f>AVERAGE(L131:L133)</f>
        <v>105.16666666666667</v>
      </c>
      <c r="N133">
        <v>105.3</v>
      </c>
      <c r="O133">
        <f>AVERAGE(N131:N133)</f>
        <v>104.03333333333335</v>
      </c>
      <c r="P133">
        <v>102.2</v>
      </c>
      <c r="Q133">
        <f>AVERAGE(P131:P133)</f>
        <v>102.53333333333335</v>
      </c>
      <c r="R133">
        <v>105</v>
      </c>
      <c r="S133">
        <f>AVERAGE(R131:R133)</f>
        <v>105.43333333333334</v>
      </c>
      <c r="T133">
        <v>104.2</v>
      </c>
      <c r="U133">
        <f>AVERAGE(T131:T133)</f>
        <v>105.16666666666667</v>
      </c>
      <c r="V133">
        <v>103</v>
      </c>
      <c r="W133">
        <f>AVERAGE(V131:V133)</f>
        <v>102.83333333333333</v>
      </c>
      <c r="X133">
        <v>106.2</v>
      </c>
      <c r="Y133">
        <f>AVERAGE(X131:X133)</f>
        <v>105.53333333333335</v>
      </c>
      <c r="Z133">
        <v>108.9</v>
      </c>
      <c r="AA133">
        <f>AVERAGE(Z131:Z133)</f>
        <v>108.16666666666667</v>
      </c>
      <c r="AB133">
        <v>106.9</v>
      </c>
      <c r="AC133">
        <f>AVERAGE(AB131:AB133)</f>
        <v>106.36666666666667</v>
      </c>
      <c r="AD133">
        <v>106.6</v>
      </c>
      <c r="AE133">
        <f>AVERAGE(AD131:AD133)</f>
        <v>105.8</v>
      </c>
      <c r="AF133">
        <v>107.4</v>
      </c>
      <c r="AG133">
        <f>AVERAGE(AF131:AF133)</f>
        <v>106.86666666666667</v>
      </c>
      <c r="AH133">
        <v>106.5</v>
      </c>
      <c r="AI133">
        <f>AVERAGE(AH131:AH133)</f>
        <v>106</v>
      </c>
      <c r="AJ133">
        <v>107.3</v>
      </c>
      <c r="AK133">
        <f>AVERAGE(AJ131:AJ133)</f>
        <v>106.76666666666667</v>
      </c>
      <c r="AL133">
        <v>100.4</v>
      </c>
      <c r="AM133">
        <f>AVERAGE(AL131:AL133)</f>
        <v>100.36666666666667</v>
      </c>
      <c r="AN133">
        <v>106.1</v>
      </c>
      <c r="AO133">
        <f>AVERAGE(AN131:AN133)</f>
        <v>105.86666666666667</v>
      </c>
      <c r="AP133">
        <v>105.6</v>
      </c>
      <c r="AQ133">
        <f>AVERAGE(AP131:AP133)</f>
        <v>105.2</v>
      </c>
      <c r="AR133">
        <v>104.9</v>
      </c>
      <c r="AS133">
        <f>AVERAGE(AR131:AR133)</f>
        <v>104.46666666666665</v>
      </c>
      <c r="AT133">
        <v>105.1</v>
      </c>
      <c r="AU133">
        <f>AVERAGE(AT131:AT133)</f>
        <v>104.16666666666667</v>
      </c>
      <c r="AV133">
        <v>103.7</v>
      </c>
      <c r="AW133">
        <f>AVERAGE(AV131:AV133)</f>
        <v>103.46666666666665</v>
      </c>
      <c r="AX133">
        <v>104</v>
      </c>
      <c r="AY133">
        <f>AVERAGE(AX131:AX133)</f>
        <v>103.83333333333333</v>
      </c>
      <c r="AZ133">
        <v>104.3</v>
      </c>
      <c r="BA133">
        <f>AVERAGE(AZ131:AZ133)</f>
        <v>104.43333333333334</v>
      </c>
      <c r="BB133">
        <v>104.7</v>
      </c>
      <c r="BC133">
        <f>AVERAGE(BB131:BB133)</f>
        <v>104.33333333333333</v>
      </c>
      <c r="BD133">
        <v>105.5</v>
      </c>
      <c r="BE133">
        <f>AVERAGE(BD131:BD133)</f>
        <v>105.13333333333333</v>
      </c>
    </row>
    <row r="134" spans="1:57" hidden="1">
      <c r="A134" t="s">
        <v>34</v>
      </c>
      <c r="B134">
        <v>2013</v>
      </c>
      <c r="C134" t="s">
        <v>37</v>
      </c>
      <c r="D134">
        <v>111.6</v>
      </c>
      <c r="E134">
        <f t="shared" ref="E134:E197" si="52">AVERAGE(D132:D134)</f>
        <v>111.13333333333333</v>
      </c>
      <c r="F134">
        <v>110.9</v>
      </c>
      <c r="G134">
        <f t="shared" ref="G134:G197" si="53">AVERAGE(F132:F134)</f>
        <v>110.26666666666667</v>
      </c>
      <c r="H134">
        <v>106.6</v>
      </c>
      <c r="I134">
        <f t="shared" ref="I134:I197" si="54">AVERAGE(H132:H134)</f>
        <v>110.2</v>
      </c>
      <c r="J134">
        <v>105.7</v>
      </c>
      <c r="K134">
        <f t="shared" ref="K134:K197" si="55">AVERAGE(J132:J134)</f>
        <v>105.23333333333333</v>
      </c>
      <c r="L134">
        <v>104.4</v>
      </c>
      <c r="M134">
        <f t="shared" ref="M134:M197" si="56">AVERAGE(L132:L134)</f>
        <v>104.93333333333334</v>
      </c>
      <c r="N134">
        <v>108.9</v>
      </c>
      <c r="O134">
        <f t="shared" ref="O134:O197" si="57">AVERAGE(N132:N134)</f>
        <v>105.93333333333332</v>
      </c>
      <c r="P134">
        <v>105.5</v>
      </c>
      <c r="Q134">
        <f t="shared" ref="Q134:Q197" si="58">AVERAGE(P132:P134)</f>
        <v>103.63333333333333</v>
      </c>
      <c r="R134">
        <v>105.3</v>
      </c>
      <c r="S134">
        <f t="shared" ref="S134:S197" si="59">AVERAGE(R132:R134)</f>
        <v>105.2</v>
      </c>
      <c r="T134">
        <v>103.5</v>
      </c>
      <c r="U134">
        <f t="shared" ref="U134:U197" si="60">AVERAGE(T132:T134)</f>
        <v>104.26666666666667</v>
      </c>
      <c r="V134">
        <v>103.3</v>
      </c>
      <c r="W134">
        <f t="shared" ref="W134:W197" si="61">AVERAGE(V132:V134)</f>
        <v>103.03333333333335</v>
      </c>
      <c r="X134">
        <v>107.2</v>
      </c>
      <c r="Y134">
        <f t="shared" ref="Y134:Y197" si="62">AVERAGE(X132:X134)</f>
        <v>106.3</v>
      </c>
      <c r="Z134">
        <v>109.6</v>
      </c>
      <c r="AA134">
        <f t="shared" ref="AA134:AA197" si="63">AVERAGE(Z132:Z134)</f>
        <v>108.93333333333332</v>
      </c>
      <c r="AB134">
        <v>107.7</v>
      </c>
      <c r="AC134">
        <f t="shared" ref="AC134:AC197" si="64">AVERAGE(AB132:AB134)</f>
        <v>107.06666666666666</v>
      </c>
      <c r="AD134">
        <v>107.5</v>
      </c>
      <c r="AE134">
        <f t="shared" ref="AE134:AE197" si="65">AVERAGE(AD132:AD134)</f>
        <v>106.60000000000001</v>
      </c>
      <c r="AF134">
        <v>108</v>
      </c>
      <c r="AG134">
        <f t="shared" ref="AG134:AG197" si="66">AVERAGE(AF132:AF134)</f>
        <v>107.43333333333334</v>
      </c>
      <c r="AH134">
        <v>107</v>
      </c>
      <c r="AI134">
        <f t="shared" ref="AI134:AI197" si="67">AVERAGE(AH132:AH134)</f>
        <v>106.5</v>
      </c>
      <c r="AJ134">
        <v>107.9</v>
      </c>
      <c r="AK134">
        <f t="shared" ref="AK134:AK197" si="68">AVERAGE(AJ132:AJ134)</f>
        <v>107.33333333333333</v>
      </c>
      <c r="AL134">
        <v>100.5</v>
      </c>
      <c r="AM134">
        <f t="shared" ref="AM134:AM197" si="69">AVERAGE(AL132:AL134)</f>
        <v>100.43333333333334</v>
      </c>
      <c r="AN134">
        <v>106.5</v>
      </c>
      <c r="AO134">
        <f t="shared" ref="AO134:AO197" si="70">AVERAGE(AN132:AN134)</f>
        <v>106.2</v>
      </c>
      <c r="AP134">
        <v>106.3</v>
      </c>
      <c r="AQ134">
        <f t="shared" ref="AQ134:AQ197" si="71">AVERAGE(AP132:AP134)</f>
        <v>105.7</v>
      </c>
      <c r="AR134">
        <v>105.3</v>
      </c>
      <c r="AS134">
        <f t="shared" ref="AS134:AS197" si="72">AVERAGE(AR132:AR134)</f>
        <v>104.89999999999999</v>
      </c>
      <c r="AT134">
        <v>104.7</v>
      </c>
      <c r="AU134">
        <f t="shared" ref="AU134:AU197" si="73">AVERAGE(AT132:AT134)</f>
        <v>104.66666666666667</v>
      </c>
      <c r="AV134">
        <v>104.2</v>
      </c>
      <c r="AW134">
        <f t="shared" ref="AW134:AW197" si="74">AVERAGE(AV132:AV134)</f>
        <v>103.83333333333333</v>
      </c>
      <c r="AX134">
        <v>105</v>
      </c>
      <c r="AY134">
        <f t="shared" ref="AY134:AY197" si="75">AVERAGE(AX132:AX134)</f>
        <v>104.3</v>
      </c>
      <c r="AZ134">
        <v>102.9</v>
      </c>
      <c r="BA134">
        <f t="shared" ref="BA134:BA197" si="76">AVERAGE(AZ132:AZ134)</f>
        <v>103.90000000000002</v>
      </c>
      <c r="BB134">
        <v>104.8</v>
      </c>
      <c r="BC134">
        <f t="shared" ref="BC134:BC197" si="77">AVERAGE(BB132:BB134)</f>
        <v>104.63333333333334</v>
      </c>
      <c r="BD134">
        <v>106.1</v>
      </c>
      <c r="BE134">
        <f t="shared" ref="BE134:BE197" si="78">AVERAGE(BD132:BD134)</f>
        <v>105.63333333333333</v>
      </c>
    </row>
    <row r="135" spans="1:57" hidden="1">
      <c r="A135" t="s">
        <v>34</v>
      </c>
      <c r="B135">
        <v>2013</v>
      </c>
      <c r="C135" t="s">
        <v>38</v>
      </c>
      <c r="D135">
        <v>112.3</v>
      </c>
      <c r="E135">
        <f t="shared" si="52"/>
        <v>111.76666666666667</v>
      </c>
      <c r="F135">
        <v>111.3</v>
      </c>
      <c r="G135">
        <f t="shared" si="53"/>
        <v>110.63333333333334</v>
      </c>
      <c r="H135">
        <v>104.7</v>
      </c>
      <c r="I135">
        <f t="shared" si="54"/>
        <v>107.5</v>
      </c>
      <c r="J135">
        <v>106.8</v>
      </c>
      <c r="K135">
        <f t="shared" si="55"/>
        <v>105.86666666666667</v>
      </c>
      <c r="L135">
        <v>103.9</v>
      </c>
      <c r="M135">
        <f t="shared" si="56"/>
        <v>104.40000000000002</v>
      </c>
      <c r="N135">
        <v>109.3</v>
      </c>
      <c r="O135">
        <f t="shared" si="57"/>
        <v>107.83333333333333</v>
      </c>
      <c r="P135">
        <v>112.9</v>
      </c>
      <c r="Q135">
        <f t="shared" si="58"/>
        <v>106.86666666666667</v>
      </c>
      <c r="R135">
        <v>105.8</v>
      </c>
      <c r="S135">
        <f t="shared" si="59"/>
        <v>105.36666666666667</v>
      </c>
      <c r="T135">
        <v>103.1</v>
      </c>
      <c r="U135">
        <f t="shared" si="60"/>
        <v>103.59999999999998</v>
      </c>
      <c r="V135">
        <v>104.3</v>
      </c>
      <c r="W135">
        <f t="shared" si="61"/>
        <v>103.53333333333335</v>
      </c>
      <c r="X135">
        <v>108.1</v>
      </c>
      <c r="Y135">
        <f t="shared" si="62"/>
        <v>107.16666666666667</v>
      </c>
      <c r="Z135">
        <v>110.5</v>
      </c>
      <c r="AA135">
        <f t="shared" si="63"/>
        <v>109.66666666666667</v>
      </c>
      <c r="AB135">
        <v>109.2</v>
      </c>
      <c r="AC135">
        <f t="shared" si="64"/>
        <v>107.93333333333334</v>
      </c>
      <c r="AD135">
        <v>108.6</v>
      </c>
      <c r="AE135">
        <f t="shared" si="65"/>
        <v>107.56666666666666</v>
      </c>
      <c r="AF135">
        <v>108.7</v>
      </c>
      <c r="AG135">
        <f t="shared" si="66"/>
        <v>108.03333333333335</v>
      </c>
      <c r="AH135">
        <v>107.4</v>
      </c>
      <c r="AI135">
        <f t="shared" si="67"/>
        <v>106.96666666666665</v>
      </c>
      <c r="AJ135">
        <v>108.5</v>
      </c>
      <c r="AK135">
        <f t="shared" si="68"/>
        <v>107.89999999999999</v>
      </c>
      <c r="AL135">
        <v>100.5</v>
      </c>
      <c r="AM135">
        <f t="shared" si="69"/>
        <v>100.46666666666665</v>
      </c>
      <c r="AN135">
        <v>107.4</v>
      </c>
      <c r="AO135">
        <f t="shared" si="70"/>
        <v>106.66666666666667</v>
      </c>
      <c r="AP135">
        <v>106.9</v>
      </c>
      <c r="AQ135">
        <f t="shared" si="71"/>
        <v>106.26666666666665</v>
      </c>
      <c r="AR135">
        <v>105.9</v>
      </c>
      <c r="AS135">
        <f t="shared" si="72"/>
        <v>105.36666666666667</v>
      </c>
      <c r="AT135">
        <v>104</v>
      </c>
      <c r="AU135">
        <f t="shared" si="73"/>
        <v>104.60000000000001</v>
      </c>
      <c r="AV135">
        <v>104.8</v>
      </c>
      <c r="AW135">
        <f t="shared" si="74"/>
        <v>104.23333333333333</v>
      </c>
      <c r="AX135">
        <v>105.6</v>
      </c>
      <c r="AY135">
        <f t="shared" si="75"/>
        <v>104.86666666666667</v>
      </c>
      <c r="AZ135">
        <v>102.3</v>
      </c>
      <c r="BA135">
        <f t="shared" si="76"/>
        <v>103.16666666666667</v>
      </c>
      <c r="BB135">
        <v>104.8</v>
      </c>
      <c r="BC135">
        <f t="shared" si="77"/>
        <v>104.76666666666667</v>
      </c>
      <c r="BD135">
        <v>106.9</v>
      </c>
      <c r="BE135">
        <f t="shared" si="78"/>
        <v>106.16666666666667</v>
      </c>
    </row>
    <row r="136" spans="1:57" hidden="1">
      <c r="A136" t="s">
        <v>34</v>
      </c>
      <c r="B136">
        <v>2013</v>
      </c>
      <c r="C136" t="s">
        <v>39</v>
      </c>
      <c r="D136">
        <v>113.8</v>
      </c>
      <c r="E136">
        <f t="shared" si="52"/>
        <v>112.56666666666666</v>
      </c>
      <c r="F136">
        <v>114.9</v>
      </c>
      <c r="G136">
        <f t="shared" si="53"/>
        <v>112.36666666666667</v>
      </c>
      <c r="H136">
        <v>109.8</v>
      </c>
      <c r="I136">
        <f t="shared" si="54"/>
        <v>107.03333333333335</v>
      </c>
      <c r="J136">
        <v>107.9</v>
      </c>
      <c r="K136">
        <f t="shared" si="55"/>
        <v>106.8</v>
      </c>
      <c r="L136">
        <v>104.2</v>
      </c>
      <c r="M136">
        <f t="shared" si="56"/>
        <v>104.16666666666667</v>
      </c>
      <c r="N136">
        <v>110.7</v>
      </c>
      <c r="O136">
        <f t="shared" si="57"/>
        <v>109.63333333333333</v>
      </c>
      <c r="P136">
        <v>126.7</v>
      </c>
      <c r="Q136">
        <f t="shared" si="58"/>
        <v>115.03333333333335</v>
      </c>
      <c r="R136">
        <v>106.3</v>
      </c>
      <c r="S136">
        <f t="shared" si="59"/>
        <v>105.8</v>
      </c>
      <c r="T136">
        <v>103.2</v>
      </c>
      <c r="U136">
        <f t="shared" si="60"/>
        <v>103.26666666666667</v>
      </c>
      <c r="V136">
        <v>105.7</v>
      </c>
      <c r="W136">
        <f t="shared" si="61"/>
        <v>104.43333333333334</v>
      </c>
      <c r="X136">
        <v>109</v>
      </c>
      <c r="Y136">
        <f t="shared" si="62"/>
        <v>108.10000000000001</v>
      </c>
      <c r="Z136">
        <v>111.6</v>
      </c>
      <c r="AA136">
        <f t="shared" si="63"/>
        <v>110.56666666666666</v>
      </c>
      <c r="AB136">
        <v>112.2</v>
      </c>
      <c r="AC136">
        <f t="shared" si="64"/>
        <v>109.7</v>
      </c>
      <c r="AD136">
        <v>109.5</v>
      </c>
      <c r="AE136">
        <f t="shared" si="65"/>
        <v>108.53333333333335</v>
      </c>
      <c r="AF136">
        <v>109.5</v>
      </c>
      <c r="AG136">
        <f t="shared" si="66"/>
        <v>108.73333333333333</v>
      </c>
      <c r="AH136">
        <v>108.1</v>
      </c>
      <c r="AI136">
        <f t="shared" si="67"/>
        <v>107.5</v>
      </c>
      <c r="AJ136">
        <v>109.3</v>
      </c>
      <c r="AK136">
        <f t="shared" si="68"/>
        <v>108.56666666666666</v>
      </c>
      <c r="AL136">
        <v>106.6</v>
      </c>
      <c r="AM136">
        <f t="shared" si="69"/>
        <v>102.53333333333335</v>
      </c>
      <c r="AN136">
        <v>108.3</v>
      </c>
      <c r="AO136">
        <f t="shared" si="70"/>
        <v>107.39999999999999</v>
      </c>
      <c r="AP136">
        <v>107.6</v>
      </c>
      <c r="AQ136">
        <f t="shared" si="71"/>
        <v>106.93333333333332</v>
      </c>
      <c r="AR136">
        <v>106.4</v>
      </c>
      <c r="AS136">
        <f t="shared" si="72"/>
        <v>105.86666666666667</v>
      </c>
      <c r="AT136">
        <v>105.1</v>
      </c>
      <c r="AU136">
        <f t="shared" si="73"/>
        <v>104.59999999999998</v>
      </c>
      <c r="AV136">
        <v>105.4</v>
      </c>
      <c r="AW136">
        <f t="shared" si="74"/>
        <v>104.8</v>
      </c>
      <c r="AX136">
        <v>107.4</v>
      </c>
      <c r="AY136">
        <f t="shared" si="75"/>
        <v>106</v>
      </c>
      <c r="AZ136">
        <v>102.8</v>
      </c>
      <c r="BA136">
        <f t="shared" si="76"/>
        <v>102.66666666666667</v>
      </c>
      <c r="BB136">
        <v>105.8</v>
      </c>
      <c r="BC136">
        <f t="shared" si="77"/>
        <v>105.13333333333333</v>
      </c>
      <c r="BD136">
        <v>109.3</v>
      </c>
      <c r="BE136">
        <f t="shared" si="78"/>
        <v>107.43333333333334</v>
      </c>
    </row>
    <row r="137" spans="1:57" hidden="1">
      <c r="A137" t="s">
        <v>34</v>
      </c>
      <c r="B137">
        <v>2013</v>
      </c>
      <c r="C137" t="s">
        <v>40</v>
      </c>
      <c r="D137">
        <v>114.8</v>
      </c>
      <c r="E137">
        <f t="shared" si="52"/>
        <v>113.63333333333333</v>
      </c>
      <c r="F137">
        <v>116.4</v>
      </c>
      <c r="G137">
        <f t="shared" si="53"/>
        <v>114.2</v>
      </c>
      <c r="H137">
        <v>111.9</v>
      </c>
      <c r="I137">
        <f t="shared" si="54"/>
        <v>108.8</v>
      </c>
      <c r="J137">
        <v>108.9</v>
      </c>
      <c r="K137">
        <f t="shared" si="55"/>
        <v>107.86666666666667</v>
      </c>
      <c r="L137">
        <v>104.3</v>
      </c>
      <c r="M137">
        <f t="shared" si="56"/>
        <v>104.13333333333334</v>
      </c>
      <c r="N137">
        <v>111.7</v>
      </c>
      <c r="O137">
        <f t="shared" si="57"/>
        <v>110.56666666666666</v>
      </c>
      <c r="P137">
        <v>140</v>
      </c>
      <c r="Q137">
        <f t="shared" si="58"/>
        <v>126.53333333333335</v>
      </c>
      <c r="R137">
        <v>106.4</v>
      </c>
      <c r="S137">
        <f t="shared" si="59"/>
        <v>106.16666666666667</v>
      </c>
      <c r="T137">
        <v>103.3</v>
      </c>
      <c r="U137">
        <f t="shared" si="60"/>
        <v>103.2</v>
      </c>
      <c r="V137">
        <v>106.8</v>
      </c>
      <c r="W137">
        <f t="shared" si="61"/>
        <v>105.60000000000001</v>
      </c>
      <c r="X137">
        <v>109.6</v>
      </c>
      <c r="Y137">
        <f t="shared" si="62"/>
        <v>108.89999999999999</v>
      </c>
      <c r="Z137">
        <v>112.6</v>
      </c>
      <c r="AA137">
        <f t="shared" si="63"/>
        <v>111.56666666666666</v>
      </c>
      <c r="AB137">
        <v>114.7</v>
      </c>
      <c r="AC137">
        <f t="shared" si="64"/>
        <v>112.03333333333335</v>
      </c>
      <c r="AD137">
        <v>110.3</v>
      </c>
      <c r="AE137">
        <f t="shared" si="65"/>
        <v>109.46666666666665</v>
      </c>
      <c r="AF137">
        <v>110.2</v>
      </c>
      <c r="AG137">
        <f t="shared" si="66"/>
        <v>109.46666666666665</v>
      </c>
      <c r="AH137">
        <v>108.8</v>
      </c>
      <c r="AI137">
        <f t="shared" si="67"/>
        <v>108.10000000000001</v>
      </c>
      <c r="AJ137">
        <v>110</v>
      </c>
      <c r="AK137">
        <f t="shared" si="68"/>
        <v>109.26666666666667</v>
      </c>
      <c r="AL137">
        <v>107.7</v>
      </c>
      <c r="AM137">
        <f t="shared" si="69"/>
        <v>104.93333333333334</v>
      </c>
      <c r="AN137">
        <v>109.2</v>
      </c>
      <c r="AO137">
        <f t="shared" si="70"/>
        <v>108.3</v>
      </c>
      <c r="AP137">
        <v>108.2</v>
      </c>
      <c r="AQ137">
        <f t="shared" si="71"/>
        <v>107.56666666666666</v>
      </c>
      <c r="AR137">
        <v>107</v>
      </c>
      <c r="AS137">
        <f t="shared" si="72"/>
        <v>106.43333333333334</v>
      </c>
      <c r="AT137">
        <v>107.1</v>
      </c>
      <c r="AU137">
        <f t="shared" si="73"/>
        <v>105.39999999999999</v>
      </c>
      <c r="AV137">
        <v>106.1</v>
      </c>
      <c r="AW137">
        <f t="shared" si="74"/>
        <v>105.43333333333332</v>
      </c>
      <c r="AX137">
        <v>109.1</v>
      </c>
      <c r="AY137">
        <f t="shared" si="75"/>
        <v>107.36666666666667</v>
      </c>
      <c r="AZ137">
        <v>102.8</v>
      </c>
      <c r="BA137">
        <f t="shared" si="76"/>
        <v>102.63333333333333</v>
      </c>
      <c r="BB137">
        <v>106.9</v>
      </c>
      <c r="BC137">
        <f t="shared" si="77"/>
        <v>105.83333333333333</v>
      </c>
      <c r="BD137">
        <v>111</v>
      </c>
      <c r="BE137">
        <f t="shared" si="78"/>
        <v>109.06666666666666</v>
      </c>
    </row>
    <row r="138" spans="1:57" hidden="1">
      <c r="A138" t="s">
        <v>34</v>
      </c>
      <c r="B138">
        <v>2013</v>
      </c>
      <c r="C138" t="s">
        <v>41</v>
      </c>
      <c r="D138">
        <v>115.6</v>
      </c>
      <c r="E138">
        <f t="shared" si="52"/>
        <v>114.73333333333333</v>
      </c>
      <c r="F138">
        <v>117.2</v>
      </c>
      <c r="G138">
        <f t="shared" si="53"/>
        <v>116.16666666666667</v>
      </c>
      <c r="H138">
        <v>111.7</v>
      </c>
      <c r="I138">
        <f t="shared" si="54"/>
        <v>111.13333333333333</v>
      </c>
      <c r="J138">
        <v>109.6</v>
      </c>
      <c r="K138">
        <f t="shared" si="55"/>
        <v>108.8</v>
      </c>
      <c r="L138">
        <v>104.5</v>
      </c>
      <c r="M138">
        <f t="shared" si="56"/>
        <v>104.33333333333333</v>
      </c>
      <c r="N138">
        <v>109.8</v>
      </c>
      <c r="O138">
        <f t="shared" si="57"/>
        <v>110.73333333333333</v>
      </c>
      <c r="P138">
        <v>151.80000000000001</v>
      </c>
      <c r="Q138">
        <f t="shared" si="58"/>
        <v>139.5</v>
      </c>
      <c r="R138">
        <v>106.5</v>
      </c>
      <c r="S138">
        <f t="shared" si="59"/>
        <v>106.39999999999999</v>
      </c>
      <c r="T138">
        <v>103.1</v>
      </c>
      <c r="U138">
        <f t="shared" si="60"/>
        <v>103.2</v>
      </c>
      <c r="V138">
        <v>107.4</v>
      </c>
      <c r="W138">
        <f t="shared" si="61"/>
        <v>106.63333333333333</v>
      </c>
      <c r="X138">
        <v>110.2</v>
      </c>
      <c r="Y138">
        <f t="shared" si="62"/>
        <v>109.60000000000001</v>
      </c>
      <c r="Z138">
        <v>113.4</v>
      </c>
      <c r="AA138">
        <f t="shared" si="63"/>
        <v>112.53333333333335</v>
      </c>
      <c r="AB138">
        <v>116.6</v>
      </c>
      <c r="AC138">
        <f t="shared" si="64"/>
        <v>114.5</v>
      </c>
      <c r="AD138">
        <v>111.2</v>
      </c>
      <c r="AE138">
        <f t="shared" si="65"/>
        <v>110.33333333333333</v>
      </c>
      <c r="AF138">
        <v>111</v>
      </c>
      <c r="AG138">
        <f t="shared" si="66"/>
        <v>110.23333333333333</v>
      </c>
      <c r="AH138">
        <v>109.4</v>
      </c>
      <c r="AI138">
        <f t="shared" si="67"/>
        <v>108.76666666666665</v>
      </c>
      <c r="AJ138">
        <v>110.7</v>
      </c>
      <c r="AK138">
        <f t="shared" si="68"/>
        <v>110</v>
      </c>
      <c r="AL138">
        <v>108.9</v>
      </c>
      <c r="AM138">
        <f t="shared" si="69"/>
        <v>107.73333333333335</v>
      </c>
      <c r="AN138">
        <v>109.7</v>
      </c>
      <c r="AO138">
        <f t="shared" si="70"/>
        <v>109.06666666666666</v>
      </c>
      <c r="AP138">
        <v>108.7</v>
      </c>
      <c r="AQ138">
        <f t="shared" si="71"/>
        <v>108.16666666666667</v>
      </c>
      <c r="AR138">
        <v>107.5</v>
      </c>
      <c r="AS138">
        <f t="shared" si="72"/>
        <v>106.96666666666665</v>
      </c>
      <c r="AT138">
        <v>108</v>
      </c>
      <c r="AU138">
        <f t="shared" si="73"/>
        <v>106.73333333333333</v>
      </c>
      <c r="AV138">
        <v>106.6</v>
      </c>
      <c r="AW138">
        <f t="shared" si="74"/>
        <v>106.03333333333335</v>
      </c>
      <c r="AX138">
        <v>109.9</v>
      </c>
      <c r="AY138">
        <f t="shared" si="75"/>
        <v>108.8</v>
      </c>
      <c r="AZ138">
        <v>105.4</v>
      </c>
      <c r="BA138">
        <f t="shared" si="76"/>
        <v>103.66666666666667</v>
      </c>
      <c r="BB138">
        <v>107.9</v>
      </c>
      <c r="BC138">
        <f t="shared" si="77"/>
        <v>106.86666666666667</v>
      </c>
      <c r="BD138">
        <v>112.4</v>
      </c>
      <c r="BE138">
        <f t="shared" si="78"/>
        <v>110.90000000000002</v>
      </c>
    </row>
    <row r="139" spans="1:57" hidden="1">
      <c r="A139" t="s">
        <v>34</v>
      </c>
      <c r="B139">
        <v>2013</v>
      </c>
      <c r="C139" t="s">
        <v>42</v>
      </c>
      <c r="D139">
        <v>116.4</v>
      </c>
      <c r="E139">
        <f t="shared" si="52"/>
        <v>115.59999999999998</v>
      </c>
      <c r="F139">
        <v>116.9</v>
      </c>
      <c r="G139">
        <f t="shared" si="53"/>
        <v>116.83333333333333</v>
      </c>
      <c r="H139">
        <v>112.3</v>
      </c>
      <c r="I139">
        <f t="shared" si="54"/>
        <v>111.96666666666668</v>
      </c>
      <c r="J139">
        <v>110.5</v>
      </c>
      <c r="K139">
        <f t="shared" si="55"/>
        <v>109.66666666666667</v>
      </c>
      <c r="L139">
        <v>105.3</v>
      </c>
      <c r="M139">
        <f t="shared" si="56"/>
        <v>104.7</v>
      </c>
      <c r="N139">
        <v>107.3</v>
      </c>
      <c r="O139">
        <f t="shared" si="57"/>
        <v>109.60000000000001</v>
      </c>
      <c r="P139">
        <v>160.9</v>
      </c>
      <c r="Q139">
        <f t="shared" si="58"/>
        <v>150.9</v>
      </c>
      <c r="R139">
        <v>107.1</v>
      </c>
      <c r="S139">
        <f t="shared" si="59"/>
        <v>106.66666666666667</v>
      </c>
      <c r="T139">
        <v>103.1</v>
      </c>
      <c r="U139">
        <f t="shared" si="60"/>
        <v>103.16666666666667</v>
      </c>
      <c r="V139">
        <v>108.3</v>
      </c>
      <c r="W139">
        <f t="shared" si="61"/>
        <v>107.5</v>
      </c>
      <c r="X139">
        <v>110.7</v>
      </c>
      <c r="Y139">
        <f t="shared" si="62"/>
        <v>110.16666666666667</v>
      </c>
      <c r="Z139">
        <v>114.6</v>
      </c>
      <c r="AA139">
        <f t="shared" si="63"/>
        <v>113.53333333333335</v>
      </c>
      <c r="AB139">
        <v>118.3</v>
      </c>
      <c r="AC139">
        <f t="shared" si="64"/>
        <v>116.53333333333335</v>
      </c>
      <c r="AD139">
        <v>112</v>
      </c>
      <c r="AE139">
        <f t="shared" si="65"/>
        <v>111.16666666666667</v>
      </c>
      <c r="AF139">
        <v>112.2</v>
      </c>
      <c r="AG139">
        <f t="shared" si="66"/>
        <v>111.13333333333333</v>
      </c>
      <c r="AH139">
        <v>110.4</v>
      </c>
      <c r="AI139">
        <f t="shared" si="67"/>
        <v>109.53333333333335</v>
      </c>
      <c r="AJ139">
        <v>111.9</v>
      </c>
      <c r="AK139">
        <f t="shared" si="68"/>
        <v>110.86666666666667</v>
      </c>
      <c r="AL139">
        <v>109.7</v>
      </c>
      <c r="AM139">
        <f t="shared" si="69"/>
        <v>108.76666666666667</v>
      </c>
      <c r="AN139">
        <v>110.5</v>
      </c>
      <c r="AO139">
        <f t="shared" si="70"/>
        <v>109.8</v>
      </c>
      <c r="AP139">
        <v>109.6</v>
      </c>
      <c r="AQ139">
        <f t="shared" si="71"/>
        <v>108.83333333333333</v>
      </c>
      <c r="AR139">
        <v>108.1</v>
      </c>
      <c r="AS139">
        <f t="shared" si="72"/>
        <v>107.53333333333335</v>
      </c>
      <c r="AT139">
        <v>109.9</v>
      </c>
      <c r="AU139">
        <f t="shared" si="73"/>
        <v>108.33333333333333</v>
      </c>
      <c r="AV139">
        <v>107.5</v>
      </c>
      <c r="AW139">
        <f t="shared" si="74"/>
        <v>106.73333333333333</v>
      </c>
      <c r="AX139">
        <v>110.6</v>
      </c>
      <c r="AY139">
        <f t="shared" si="75"/>
        <v>109.86666666666667</v>
      </c>
      <c r="AZ139">
        <v>106.8</v>
      </c>
      <c r="BA139">
        <f t="shared" si="76"/>
        <v>105</v>
      </c>
      <c r="BB139">
        <v>109</v>
      </c>
      <c r="BC139">
        <f t="shared" si="77"/>
        <v>107.93333333333334</v>
      </c>
      <c r="BD139">
        <v>113.7</v>
      </c>
      <c r="BE139">
        <f t="shared" si="78"/>
        <v>112.36666666666667</v>
      </c>
    </row>
    <row r="140" spans="1:57" hidden="1">
      <c r="A140" t="s">
        <v>34</v>
      </c>
      <c r="B140">
        <v>2013</v>
      </c>
      <c r="C140" t="s">
        <v>43</v>
      </c>
      <c r="D140">
        <v>117.1</v>
      </c>
      <c r="E140">
        <f t="shared" si="52"/>
        <v>116.36666666666667</v>
      </c>
      <c r="F140">
        <v>116.3</v>
      </c>
      <c r="G140">
        <f t="shared" si="53"/>
        <v>116.80000000000001</v>
      </c>
      <c r="H140">
        <v>113.3</v>
      </c>
      <c r="I140">
        <f t="shared" si="54"/>
        <v>112.43333333333334</v>
      </c>
      <c r="J140">
        <v>111.2</v>
      </c>
      <c r="K140">
        <f t="shared" si="55"/>
        <v>110.43333333333334</v>
      </c>
      <c r="L140">
        <v>105.7</v>
      </c>
      <c r="M140">
        <f t="shared" si="56"/>
        <v>105.16666666666667</v>
      </c>
      <c r="N140">
        <v>109.9</v>
      </c>
      <c r="O140">
        <f t="shared" si="57"/>
        <v>109</v>
      </c>
      <c r="P140">
        <v>171.2</v>
      </c>
      <c r="Q140">
        <f t="shared" si="58"/>
        <v>161.30000000000001</v>
      </c>
      <c r="R140">
        <v>107.3</v>
      </c>
      <c r="S140">
        <f t="shared" si="59"/>
        <v>106.96666666666665</v>
      </c>
      <c r="T140">
        <v>102.7</v>
      </c>
      <c r="U140">
        <f t="shared" si="60"/>
        <v>102.96666666666665</v>
      </c>
      <c r="V140">
        <v>108.7</v>
      </c>
      <c r="W140">
        <f t="shared" si="61"/>
        <v>108.13333333333333</v>
      </c>
      <c r="X140">
        <v>111.2</v>
      </c>
      <c r="Y140">
        <f t="shared" si="62"/>
        <v>110.7</v>
      </c>
      <c r="Z140">
        <v>115.4</v>
      </c>
      <c r="AA140">
        <f t="shared" si="63"/>
        <v>114.46666666666665</v>
      </c>
      <c r="AB140">
        <v>120.2</v>
      </c>
      <c r="AC140">
        <f t="shared" si="64"/>
        <v>118.36666666666666</v>
      </c>
      <c r="AD140">
        <v>112.5</v>
      </c>
      <c r="AE140">
        <f t="shared" si="65"/>
        <v>111.89999999999999</v>
      </c>
      <c r="AF140">
        <v>113.2</v>
      </c>
      <c r="AG140">
        <f t="shared" si="66"/>
        <v>112.13333333333333</v>
      </c>
      <c r="AH140">
        <v>111.2</v>
      </c>
      <c r="AI140">
        <f t="shared" si="67"/>
        <v>110.33333333333333</v>
      </c>
      <c r="AJ140">
        <v>112.8</v>
      </c>
      <c r="AK140">
        <f t="shared" si="68"/>
        <v>111.80000000000001</v>
      </c>
      <c r="AL140">
        <v>110.5</v>
      </c>
      <c r="AM140">
        <f t="shared" si="69"/>
        <v>109.7</v>
      </c>
      <c r="AN140">
        <v>110.9</v>
      </c>
      <c r="AO140">
        <f t="shared" si="70"/>
        <v>110.36666666666667</v>
      </c>
      <c r="AP140">
        <v>110.3</v>
      </c>
      <c r="AQ140">
        <f t="shared" si="71"/>
        <v>109.53333333333335</v>
      </c>
      <c r="AR140">
        <v>108.6</v>
      </c>
      <c r="AS140">
        <f t="shared" si="72"/>
        <v>108.06666666666666</v>
      </c>
      <c r="AT140">
        <v>109.5</v>
      </c>
      <c r="AU140">
        <f t="shared" si="73"/>
        <v>109.13333333333333</v>
      </c>
      <c r="AV140">
        <v>108.1</v>
      </c>
      <c r="AW140">
        <f t="shared" si="74"/>
        <v>107.39999999999999</v>
      </c>
      <c r="AX140">
        <v>110.8</v>
      </c>
      <c r="AY140">
        <f t="shared" si="75"/>
        <v>110.43333333333334</v>
      </c>
      <c r="AZ140">
        <v>107.4</v>
      </c>
      <c r="BA140">
        <f t="shared" si="76"/>
        <v>106.53333333333335</v>
      </c>
      <c r="BB140">
        <v>109.2</v>
      </c>
      <c r="BC140">
        <f t="shared" si="77"/>
        <v>108.7</v>
      </c>
      <c r="BD140">
        <v>114.8</v>
      </c>
      <c r="BE140">
        <f t="shared" si="78"/>
        <v>113.63333333333334</v>
      </c>
    </row>
    <row r="141" spans="1:57" hidden="1">
      <c r="A141" t="s">
        <v>34</v>
      </c>
      <c r="B141">
        <v>2013</v>
      </c>
      <c r="C141" t="s">
        <v>45</v>
      </c>
      <c r="D141">
        <v>118.1</v>
      </c>
      <c r="E141">
        <f t="shared" si="52"/>
        <v>117.2</v>
      </c>
      <c r="F141">
        <v>115.4</v>
      </c>
      <c r="G141">
        <f t="shared" si="53"/>
        <v>116.2</v>
      </c>
      <c r="H141">
        <v>118.7</v>
      </c>
      <c r="I141">
        <f t="shared" si="54"/>
        <v>114.76666666666667</v>
      </c>
      <c r="J141">
        <v>112.5</v>
      </c>
      <c r="K141">
        <f t="shared" si="55"/>
        <v>111.39999999999999</v>
      </c>
      <c r="L141">
        <v>106.8</v>
      </c>
      <c r="M141">
        <f t="shared" si="56"/>
        <v>105.93333333333334</v>
      </c>
      <c r="N141">
        <v>113.5</v>
      </c>
      <c r="O141">
        <f t="shared" si="57"/>
        <v>110.23333333333333</v>
      </c>
      <c r="P141">
        <v>183.1</v>
      </c>
      <c r="Q141">
        <f t="shared" si="58"/>
        <v>171.73333333333335</v>
      </c>
      <c r="R141">
        <v>108.2</v>
      </c>
      <c r="S141">
        <f t="shared" si="59"/>
        <v>107.53333333333332</v>
      </c>
      <c r="T141">
        <v>102.2</v>
      </c>
      <c r="U141">
        <f t="shared" si="60"/>
        <v>102.66666666666667</v>
      </c>
      <c r="V141">
        <v>109.4</v>
      </c>
      <c r="W141">
        <f t="shared" si="61"/>
        <v>108.8</v>
      </c>
      <c r="X141">
        <v>111.8</v>
      </c>
      <c r="Y141">
        <f t="shared" si="62"/>
        <v>111.23333333333333</v>
      </c>
      <c r="Z141">
        <v>116.5</v>
      </c>
      <c r="AA141">
        <f t="shared" si="63"/>
        <v>115.5</v>
      </c>
      <c r="AB141">
        <v>122.6</v>
      </c>
      <c r="AC141">
        <f t="shared" si="64"/>
        <v>120.36666666666667</v>
      </c>
      <c r="AD141">
        <v>113.1</v>
      </c>
      <c r="AE141">
        <f t="shared" si="65"/>
        <v>112.53333333333335</v>
      </c>
      <c r="AF141">
        <v>114.2</v>
      </c>
      <c r="AG141">
        <f t="shared" si="66"/>
        <v>113.2</v>
      </c>
      <c r="AH141">
        <v>111.9</v>
      </c>
      <c r="AI141">
        <f t="shared" si="67"/>
        <v>111.16666666666667</v>
      </c>
      <c r="AJ141">
        <v>113.8</v>
      </c>
      <c r="AK141">
        <f t="shared" si="68"/>
        <v>112.83333333333333</v>
      </c>
      <c r="AL141">
        <v>111.1</v>
      </c>
      <c r="AM141">
        <f t="shared" si="69"/>
        <v>110.43333333333332</v>
      </c>
      <c r="AN141">
        <v>111.6</v>
      </c>
      <c r="AO141">
        <f t="shared" si="70"/>
        <v>111</v>
      </c>
      <c r="AP141">
        <v>111.1</v>
      </c>
      <c r="AQ141">
        <f t="shared" si="71"/>
        <v>110.33333333333333</v>
      </c>
      <c r="AR141">
        <v>109.3</v>
      </c>
      <c r="AS141">
        <f t="shared" si="72"/>
        <v>108.66666666666667</v>
      </c>
      <c r="AT141">
        <v>109.5</v>
      </c>
      <c r="AU141">
        <f t="shared" si="73"/>
        <v>109.63333333333333</v>
      </c>
      <c r="AV141">
        <v>108.6</v>
      </c>
      <c r="AW141">
        <f t="shared" si="74"/>
        <v>108.06666666666666</v>
      </c>
      <c r="AX141">
        <v>111.2</v>
      </c>
      <c r="AY141">
        <f t="shared" si="75"/>
        <v>110.86666666666666</v>
      </c>
      <c r="AZ141">
        <v>108.1</v>
      </c>
      <c r="BA141">
        <f t="shared" si="76"/>
        <v>107.43333333333332</v>
      </c>
      <c r="BB141">
        <v>109.7</v>
      </c>
      <c r="BC141">
        <f t="shared" si="77"/>
        <v>109.3</v>
      </c>
      <c r="BD141">
        <v>116.3</v>
      </c>
      <c r="BE141">
        <f t="shared" si="78"/>
        <v>114.93333333333334</v>
      </c>
    </row>
    <row r="142" spans="1:57" hidden="1">
      <c r="A142" t="s">
        <v>34</v>
      </c>
      <c r="B142">
        <v>2013</v>
      </c>
      <c r="C142" t="s">
        <v>46</v>
      </c>
      <c r="D142">
        <v>119.1</v>
      </c>
      <c r="E142">
        <f t="shared" si="52"/>
        <v>118.09999999999998</v>
      </c>
      <c r="F142">
        <v>116.7</v>
      </c>
      <c r="G142">
        <f t="shared" si="53"/>
        <v>116.13333333333333</v>
      </c>
      <c r="H142">
        <v>123.5</v>
      </c>
      <c r="I142">
        <f t="shared" si="54"/>
        <v>118.5</v>
      </c>
      <c r="J142">
        <v>113.4</v>
      </c>
      <c r="K142">
        <f t="shared" si="55"/>
        <v>112.36666666666667</v>
      </c>
      <c r="L142">
        <v>107.3</v>
      </c>
      <c r="M142">
        <f t="shared" si="56"/>
        <v>106.60000000000001</v>
      </c>
      <c r="N142">
        <v>113.3</v>
      </c>
      <c r="O142">
        <f t="shared" si="57"/>
        <v>112.23333333333333</v>
      </c>
      <c r="P142">
        <v>145.4</v>
      </c>
      <c r="Q142">
        <f t="shared" si="58"/>
        <v>166.56666666666663</v>
      </c>
      <c r="R142">
        <v>108.7</v>
      </c>
      <c r="S142">
        <f t="shared" si="59"/>
        <v>108.06666666666666</v>
      </c>
      <c r="T142">
        <v>101.5</v>
      </c>
      <c r="U142">
        <f t="shared" si="60"/>
        <v>102.13333333333333</v>
      </c>
      <c r="V142">
        <v>110.5</v>
      </c>
      <c r="W142">
        <f t="shared" si="61"/>
        <v>109.53333333333335</v>
      </c>
      <c r="X142">
        <v>112.1</v>
      </c>
      <c r="Y142">
        <f t="shared" si="62"/>
        <v>111.7</v>
      </c>
      <c r="Z142">
        <v>117.4</v>
      </c>
      <c r="AA142">
        <f t="shared" si="63"/>
        <v>116.43333333333334</v>
      </c>
      <c r="AB142">
        <v>118.4</v>
      </c>
      <c r="AC142">
        <f t="shared" si="64"/>
        <v>120.40000000000002</v>
      </c>
      <c r="AD142">
        <v>114</v>
      </c>
      <c r="AE142">
        <f t="shared" si="65"/>
        <v>113.2</v>
      </c>
      <c r="AF142">
        <v>115.2</v>
      </c>
      <c r="AG142">
        <f t="shared" si="66"/>
        <v>114.2</v>
      </c>
      <c r="AH142">
        <v>112.7</v>
      </c>
      <c r="AI142">
        <f t="shared" si="67"/>
        <v>111.93333333333334</v>
      </c>
      <c r="AJ142">
        <v>114.8</v>
      </c>
      <c r="AK142">
        <f t="shared" si="68"/>
        <v>113.8</v>
      </c>
      <c r="AL142">
        <v>110.7</v>
      </c>
      <c r="AM142">
        <f t="shared" si="69"/>
        <v>110.76666666666667</v>
      </c>
      <c r="AN142">
        <v>111.9</v>
      </c>
      <c r="AO142">
        <f t="shared" si="70"/>
        <v>111.46666666666665</v>
      </c>
      <c r="AP142">
        <v>111.7</v>
      </c>
      <c r="AQ142">
        <f t="shared" si="71"/>
        <v>111.03333333333332</v>
      </c>
      <c r="AR142">
        <v>109.7</v>
      </c>
      <c r="AS142">
        <f t="shared" si="72"/>
        <v>109.19999999999999</v>
      </c>
      <c r="AT142">
        <v>109.8</v>
      </c>
      <c r="AU142">
        <f t="shared" si="73"/>
        <v>109.60000000000001</v>
      </c>
      <c r="AV142">
        <v>109</v>
      </c>
      <c r="AW142">
        <f t="shared" si="74"/>
        <v>108.56666666666666</v>
      </c>
      <c r="AX142">
        <v>111.5</v>
      </c>
      <c r="AY142">
        <f t="shared" si="75"/>
        <v>111.16666666666667</v>
      </c>
      <c r="AZ142">
        <v>107.9</v>
      </c>
      <c r="BA142">
        <f t="shared" si="76"/>
        <v>107.8</v>
      </c>
      <c r="BB142">
        <v>110</v>
      </c>
      <c r="BC142">
        <f t="shared" si="77"/>
        <v>109.63333333333333</v>
      </c>
      <c r="BD142">
        <v>114.5</v>
      </c>
      <c r="BE142">
        <f t="shared" si="78"/>
        <v>115.2</v>
      </c>
    </row>
    <row r="143" spans="1:57" hidden="1">
      <c r="A143" t="s">
        <v>34</v>
      </c>
      <c r="B143">
        <v>2014</v>
      </c>
      <c r="C143" t="s">
        <v>31</v>
      </c>
      <c r="D143">
        <v>119.6</v>
      </c>
      <c r="E143">
        <f t="shared" si="52"/>
        <v>118.93333333333332</v>
      </c>
      <c r="F143">
        <v>118.8</v>
      </c>
      <c r="G143">
        <f t="shared" si="53"/>
        <v>116.96666666666668</v>
      </c>
      <c r="H143">
        <v>124.1</v>
      </c>
      <c r="I143">
        <f t="shared" si="54"/>
        <v>122.09999999999998</v>
      </c>
      <c r="J143">
        <v>114.1</v>
      </c>
      <c r="K143">
        <f t="shared" si="55"/>
        <v>113.33333333333333</v>
      </c>
      <c r="L143">
        <v>106.8</v>
      </c>
      <c r="M143">
        <f t="shared" si="56"/>
        <v>106.96666666666665</v>
      </c>
      <c r="N143">
        <v>113.9</v>
      </c>
      <c r="O143">
        <f t="shared" si="57"/>
        <v>113.56666666666668</v>
      </c>
      <c r="P143">
        <v>122.2</v>
      </c>
      <c r="Q143">
        <f t="shared" si="58"/>
        <v>150.23333333333332</v>
      </c>
      <c r="R143">
        <v>108.9</v>
      </c>
      <c r="S143">
        <f t="shared" si="59"/>
        <v>108.60000000000001</v>
      </c>
      <c r="T143">
        <v>100.2</v>
      </c>
      <c r="U143">
        <f t="shared" si="60"/>
        <v>101.3</v>
      </c>
      <c r="V143">
        <v>111</v>
      </c>
      <c r="W143">
        <f t="shared" si="61"/>
        <v>110.3</v>
      </c>
      <c r="X143">
        <v>112.3</v>
      </c>
      <c r="Y143">
        <f t="shared" si="62"/>
        <v>112.06666666666666</v>
      </c>
      <c r="Z143">
        <v>118.1</v>
      </c>
      <c r="AA143">
        <f t="shared" si="63"/>
        <v>117.33333333333333</v>
      </c>
      <c r="AB143">
        <v>115.8</v>
      </c>
      <c r="AC143">
        <f t="shared" si="64"/>
        <v>118.93333333333334</v>
      </c>
      <c r="AD143">
        <v>114.5</v>
      </c>
      <c r="AE143">
        <f t="shared" si="65"/>
        <v>113.86666666666667</v>
      </c>
      <c r="AF143">
        <v>115.8</v>
      </c>
      <c r="AG143">
        <f t="shared" si="66"/>
        <v>115.06666666666666</v>
      </c>
      <c r="AH143">
        <v>113.2</v>
      </c>
      <c r="AI143">
        <f t="shared" si="67"/>
        <v>112.60000000000001</v>
      </c>
      <c r="AJ143">
        <v>115.4</v>
      </c>
      <c r="AK143">
        <f t="shared" si="68"/>
        <v>114.66666666666667</v>
      </c>
      <c r="AL143">
        <v>111.6</v>
      </c>
      <c r="AM143">
        <f t="shared" si="69"/>
        <v>111.13333333333333</v>
      </c>
      <c r="AN143">
        <v>112.2</v>
      </c>
      <c r="AO143">
        <f t="shared" si="70"/>
        <v>111.89999999999999</v>
      </c>
      <c r="AP143">
        <v>112.3</v>
      </c>
      <c r="AQ143">
        <f t="shared" si="71"/>
        <v>111.7</v>
      </c>
      <c r="AR143">
        <v>110.3</v>
      </c>
      <c r="AS143">
        <f t="shared" si="72"/>
        <v>109.76666666666667</v>
      </c>
      <c r="AT143">
        <v>110.7</v>
      </c>
      <c r="AU143">
        <f t="shared" si="73"/>
        <v>110</v>
      </c>
      <c r="AV143">
        <v>109.7</v>
      </c>
      <c r="AW143">
        <f t="shared" si="74"/>
        <v>109.10000000000001</v>
      </c>
      <c r="AX143">
        <v>111.6</v>
      </c>
      <c r="AY143">
        <f t="shared" si="75"/>
        <v>111.43333333333332</v>
      </c>
      <c r="AZ143">
        <v>108.2</v>
      </c>
      <c r="BA143">
        <f t="shared" si="76"/>
        <v>108.06666666666666</v>
      </c>
      <c r="BB143">
        <v>110.6</v>
      </c>
      <c r="BC143">
        <f t="shared" si="77"/>
        <v>110.09999999999998</v>
      </c>
      <c r="BD143">
        <v>113.6</v>
      </c>
      <c r="BE143">
        <f t="shared" si="78"/>
        <v>114.8</v>
      </c>
    </row>
    <row r="144" spans="1:57" hidden="1">
      <c r="A144" t="s">
        <v>34</v>
      </c>
      <c r="B144">
        <v>2014</v>
      </c>
      <c r="C144" t="s">
        <v>35</v>
      </c>
      <c r="D144">
        <v>120.2</v>
      </c>
      <c r="E144">
        <f t="shared" si="52"/>
        <v>119.63333333333333</v>
      </c>
      <c r="F144">
        <v>119.2</v>
      </c>
      <c r="G144">
        <f t="shared" si="53"/>
        <v>118.23333333333333</v>
      </c>
      <c r="H144">
        <v>122.5</v>
      </c>
      <c r="I144">
        <f t="shared" si="54"/>
        <v>123.36666666666667</v>
      </c>
      <c r="J144">
        <v>115.1</v>
      </c>
      <c r="K144">
        <f t="shared" si="55"/>
        <v>114.2</v>
      </c>
      <c r="L144">
        <v>106.6</v>
      </c>
      <c r="M144">
        <f t="shared" si="56"/>
        <v>106.89999999999999</v>
      </c>
      <c r="N144">
        <v>115.4</v>
      </c>
      <c r="O144">
        <f t="shared" si="57"/>
        <v>114.2</v>
      </c>
      <c r="P144">
        <v>114.5</v>
      </c>
      <c r="Q144">
        <f t="shared" si="58"/>
        <v>127.36666666666667</v>
      </c>
      <c r="R144">
        <v>109.3</v>
      </c>
      <c r="S144">
        <f t="shared" si="59"/>
        <v>108.96666666666668</v>
      </c>
      <c r="T144">
        <v>99.2</v>
      </c>
      <c r="U144">
        <f t="shared" si="60"/>
        <v>100.3</v>
      </c>
      <c r="V144">
        <v>111.4</v>
      </c>
      <c r="W144">
        <f t="shared" si="61"/>
        <v>110.96666666666665</v>
      </c>
      <c r="X144">
        <v>112.6</v>
      </c>
      <c r="Y144">
        <f t="shared" si="62"/>
        <v>112.33333333333333</v>
      </c>
      <c r="Z144">
        <v>118.8</v>
      </c>
      <c r="AA144">
        <f t="shared" si="63"/>
        <v>118.10000000000001</v>
      </c>
      <c r="AB144">
        <v>115.3</v>
      </c>
      <c r="AC144">
        <f t="shared" si="64"/>
        <v>116.5</v>
      </c>
      <c r="AD144">
        <v>114.7</v>
      </c>
      <c r="AE144">
        <f t="shared" si="65"/>
        <v>114.39999999999999</v>
      </c>
      <c r="AF144">
        <v>116.4</v>
      </c>
      <c r="AG144">
        <f t="shared" si="66"/>
        <v>115.8</v>
      </c>
      <c r="AH144">
        <v>113.3</v>
      </c>
      <c r="AI144">
        <f t="shared" si="67"/>
        <v>113.06666666666666</v>
      </c>
      <c r="AJ144">
        <v>115.9</v>
      </c>
      <c r="AK144">
        <f t="shared" si="68"/>
        <v>115.36666666666667</v>
      </c>
      <c r="AL144">
        <v>112.5</v>
      </c>
      <c r="AM144">
        <f t="shared" si="69"/>
        <v>111.60000000000001</v>
      </c>
      <c r="AN144">
        <v>112.4</v>
      </c>
      <c r="AO144">
        <f t="shared" si="70"/>
        <v>112.16666666666667</v>
      </c>
      <c r="AP144">
        <v>112.8</v>
      </c>
      <c r="AQ144">
        <f t="shared" si="71"/>
        <v>112.26666666666667</v>
      </c>
      <c r="AR144">
        <v>110.7</v>
      </c>
      <c r="AS144">
        <f t="shared" si="72"/>
        <v>110.23333333333333</v>
      </c>
      <c r="AT144">
        <v>111.1</v>
      </c>
      <c r="AU144">
        <f t="shared" si="73"/>
        <v>110.53333333333335</v>
      </c>
      <c r="AV144">
        <v>110.1</v>
      </c>
      <c r="AW144">
        <f t="shared" si="74"/>
        <v>109.59999999999998</v>
      </c>
      <c r="AX144">
        <v>111.8</v>
      </c>
      <c r="AY144">
        <f t="shared" si="75"/>
        <v>111.63333333333333</v>
      </c>
      <c r="AZ144">
        <v>108.7</v>
      </c>
      <c r="BA144">
        <f t="shared" si="76"/>
        <v>108.26666666666667</v>
      </c>
      <c r="BB144">
        <v>110.9</v>
      </c>
      <c r="BC144">
        <f t="shared" si="77"/>
        <v>110.5</v>
      </c>
      <c r="BD144">
        <v>113.6</v>
      </c>
      <c r="BE144">
        <f t="shared" si="78"/>
        <v>113.89999999999999</v>
      </c>
    </row>
    <row r="145" spans="1:57" hidden="1">
      <c r="A145" t="s">
        <v>34</v>
      </c>
      <c r="B145">
        <v>2014</v>
      </c>
      <c r="C145" t="s">
        <v>36</v>
      </c>
      <c r="D145">
        <v>120.7</v>
      </c>
      <c r="E145">
        <f t="shared" si="52"/>
        <v>120.16666666666667</v>
      </c>
      <c r="F145">
        <v>119.3</v>
      </c>
      <c r="G145">
        <f t="shared" si="53"/>
        <v>119.10000000000001</v>
      </c>
      <c r="H145">
        <v>121</v>
      </c>
      <c r="I145">
        <f t="shared" si="54"/>
        <v>122.53333333333335</v>
      </c>
      <c r="J145">
        <v>116.1</v>
      </c>
      <c r="K145">
        <f t="shared" si="55"/>
        <v>115.09999999999998</v>
      </c>
      <c r="L145">
        <v>106.9</v>
      </c>
      <c r="M145">
        <f t="shared" si="56"/>
        <v>106.76666666666665</v>
      </c>
      <c r="N145">
        <v>118.7</v>
      </c>
      <c r="O145">
        <f t="shared" si="57"/>
        <v>116</v>
      </c>
      <c r="P145">
        <v>116.3</v>
      </c>
      <c r="Q145">
        <f t="shared" si="58"/>
        <v>117.66666666666667</v>
      </c>
      <c r="R145">
        <v>109.8</v>
      </c>
      <c r="S145">
        <f t="shared" si="59"/>
        <v>109.33333333333333</v>
      </c>
      <c r="T145">
        <v>99.6</v>
      </c>
      <c r="U145">
        <f t="shared" si="60"/>
        <v>99.666666666666671</v>
      </c>
      <c r="V145">
        <v>111.8</v>
      </c>
      <c r="W145">
        <f t="shared" si="61"/>
        <v>111.39999999999999</v>
      </c>
      <c r="X145">
        <v>112.7</v>
      </c>
      <c r="Y145">
        <f t="shared" si="62"/>
        <v>112.53333333333332</v>
      </c>
      <c r="Z145">
        <v>119.3</v>
      </c>
      <c r="AA145">
        <f t="shared" si="63"/>
        <v>118.73333333333333</v>
      </c>
      <c r="AB145">
        <v>116.1</v>
      </c>
      <c r="AC145">
        <f t="shared" si="64"/>
        <v>115.73333333333333</v>
      </c>
      <c r="AD145">
        <v>115.2</v>
      </c>
      <c r="AE145">
        <f t="shared" si="65"/>
        <v>114.8</v>
      </c>
      <c r="AF145">
        <v>116.8</v>
      </c>
      <c r="AG145">
        <f t="shared" si="66"/>
        <v>116.33333333333333</v>
      </c>
      <c r="AH145">
        <v>113.7</v>
      </c>
      <c r="AI145">
        <f t="shared" si="67"/>
        <v>113.39999999999999</v>
      </c>
      <c r="AJ145">
        <v>116.4</v>
      </c>
      <c r="AK145">
        <f t="shared" si="68"/>
        <v>115.90000000000002</v>
      </c>
      <c r="AL145">
        <v>113.2</v>
      </c>
      <c r="AM145">
        <f t="shared" si="69"/>
        <v>112.43333333333334</v>
      </c>
      <c r="AN145">
        <v>112.5</v>
      </c>
      <c r="AO145">
        <f t="shared" si="70"/>
        <v>112.36666666666667</v>
      </c>
      <c r="AP145">
        <v>113.2</v>
      </c>
      <c r="AQ145">
        <f t="shared" si="71"/>
        <v>112.76666666666667</v>
      </c>
      <c r="AR145">
        <v>111.2</v>
      </c>
      <c r="AS145">
        <f t="shared" si="72"/>
        <v>110.73333333333333</v>
      </c>
      <c r="AT145">
        <v>111.4</v>
      </c>
      <c r="AU145">
        <f t="shared" si="73"/>
        <v>111.06666666666668</v>
      </c>
      <c r="AV145">
        <v>110.6</v>
      </c>
      <c r="AW145">
        <f t="shared" si="74"/>
        <v>110.13333333333333</v>
      </c>
      <c r="AX145">
        <v>112</v>
      </c>
      <c r="AY145">
        <f t="shared" si="75"/>
        <v>111.8</v>
      </c>
      <c r="AZ145">
        <v>109</v>
      </c>
      <c r="BA145">
        <f t="shared" si="76"/>
        <v>108.63333333333333</v>
      </c>
      <c r="BB145">
        <v>111.3</v>
      </c>
      <c r="BC145">
        <f t="shared" si="77"/>
        <v>110.93333333333334</v>
      </c>
      <c r="BD145">
        <v>114.2</v>
      </c>
      <c r="BE145">
        <f t="shared" si="78"/>
        <v>113.8</v>
      </c>
    </row>
    <row r="146" spans="1:57" hidden="1">
      <c r="A146" t="s">
        <v>34</v>
      </c>
      <c r="B146">
        <v>2014</v>
      </c>
      <c r="C146" t="s">
        <v>37</v>
      </c>
      <c r="D146">
        <v>120.9</v>
      </c>
      <c r="E146">
        <f t="shared" si="52"/>
        <v>120.60000000000001</v>
      </c>
      <c r="F146">
        <v>119.9</v>
      </c>
      <c r="G146">
        <f t="shared" si="53"/>
        <v>119.46666666666665</v>
      </c>
      <c r="H146">
        <v>116.2</v>
      </c>
      <c r="I146">
        <f t="shared" si="54"/>
        <v>119.89999999999999</v>
      </c>
      <c r="J146">
        <v>117</v>
      </c>
      <c r="K146">
        <f t="shared" si="55"/>
        <v>116.06666666666666</v>
      </c>
      <c r="L146">
        <v>107.3</v>
      </c>
      <c r="M146">
        <f t="shared" si="56"/>
        <v>106.93333333333334</v>
      </c>
      <c r="N146">
        <v>126.1</v>
      </c>
      <c r="O146">
        <f t="shared" si="57"/>
        <v>120.06666666666668</v>
      </c>
      <c r="P146">
        <v>120.7</v>
      </c>
      <c r="Q146">
        <f t="shared" si="58"/>
        <v>117.16666666666667</v>
      </c>
      <c r="R146">
        <v>111</v>
      </c>
      <c r="S146">
        <f t="shared" si="59"/>
        <v>110.03333333333335</v>
      </c>
      <c r="T146">
        <v>101.8</v>
      </c>
      <c r="U146">
        <f t="shared" si="60"/>
        <v>100.2</v>
      </c>
      <c r="V146">
        <v>112.6</v>
      </c>
      <c r="W146">
        <f t="shared" si="61"/>
        <v>111.93333333333332</v>
      </c>
      <c r="X146">
        <v>113.2</v>
      </c>
      <c r="Y146">
        <f t="shared" si="62"/>
        <v>112.83333333333333</v>
      </c>
      <c r="Z146">
        <v>119.8</v>
      </c>
      <c r="AA146">
        <f t="shared" si="63"/>
        <v>119.3</v>
      </c>
      <c r="AB146">
        <v>117.6</v>
      </c>
      <c r="AC146">
        <f t="shared" si="64"/>
        <v>116.33333333333333</v>
      </c>
      <c r="AD146">
        <v>116</v>
      </c>
      <c r="AE146">
        <f t="shared" si="65"/>
        <v>115.3</v>
      </c>
      <c r="AF146">
        <v>117.4</v>
      </c>
      <c r="AG146">
        <f t="shared" si="66"/>
        <v>116.86666666666667</v>
      </c>
      <c r="AH146">
        <v>114.6</v>
      </c>
      <c r="AI146">
        <f t="shared" si="67"/>
        <v>113.86666666666667</v>
      </c>
      <c r="AJ146">
        <v>117</v>
      </c>
      <c r="AK146">
        <f t="shared" si="68"/>
        <v>116.43333333333334</v>
      </c>
      <c r="AL146">
        <v>113.9</v>
      </c>
      <c r="AM146">
        <f t="shared" si="69"/>
        <v>113.2</v>
      </c>
      <c r="AN146">
        <v>112.5</v>
      </c>
      <c r="AO146">
        <f t="shared" si="70"/>
        <v>112.46666666666665</v>
      </c>
      <c r="AP146">
        <v>113.6</v>
      </c>
      <c r="AQ146">
        <f t="shared" si="71"/>
        <v>113.2</v>
      </c>
      <c r="AR146">
        <v>111.5</v>
      </c>
      <c r="AS146">
        <f t="shared" si="72"/>
        <v>111.13333333333333</v>
      </c>
      <c r="AT146">
        <v>111.2</v>
      </c>
      <c r="AU146">
        <f t="shared" si="73"/>
        <v>111.23333333333333</v>
      </c>
      <c r="AV146">
        <v>110.9</v>
      </c>
      <c r="AW146">
        <f t="shared" si="74"/>
        <v>110.53333333333335</v>
      </c>
      <c r="AX146">
        <v>112.7</v>
      </c>
      <c r="AY146">
        <f t="shared" si="75"/>
        <v>112.16666666666667</v>
      </c>
      <c r="AZ146">
        <v>109</v>
      </c>
      <c r="BA146">
        <f t="shared" si="76"/>
        <v>108.89999999999999</v>
      </c>
      <c r="BB146">
        <v>111.5</v>
      </c>
      <c r="BC146">
        <f t="shared" si="77"/>
        <v>111.23333333333333</v>
      </c>
      <c r="BD146">
        <v>115.1</v>
      </c>
      <c r="BE146">
        <f t="shared" si="78"/>
        <v>114.3</v>
      </c>
    </row>
    <row r="147" spans="1:57" hidden="1">
      <c r="A147" t="s">
        <v>34</v>
      </c>
      <c r="B147">
        <v>2014</v>
      </c>
      <c r="C147" t="s">
        <v>38</v>
      </c>
      <c r="D147">
        <v>121.1</v>
      </c>
      <c r="E147">
        <f t="shared" si="52"/>
        <v>120.90000000000002</v>
      </c>
      <c r="F147">
        <v>121.6</v>
      </c>
      <c r="G147">
        <f t="shared" si="53"/>
        <v>120.26666666666665</v>
      </c>
      <c r="H147">
        <v>115.9</v>
      </c>
      <c r="I147">
        <f t="shared" si="54"/>
        <v>117.7</v>
      </c>
      <c r="J147">
        <v>118.4</v>
      </c>
      <c r="K147">
        <f t="shared" si="55"/>
        <v>117.16666666666667</v>
      </c>
      <c r="L147">
        <v>107.7</v>
      </c>
      <c r="M147">
        <f t="shared" si="56"/>
        <v>107.3</v>
      </c>
      <c r="N147">
        <v>127.7</v>
      </c>
      <c r="O147">
        <f t="shared" si="57"/>
        <v>124.16666666666667</v>
      </c>
      <c r="P147">
        <v>125</v>
      </c>
      <c r="Q147">
        <f t="shared" si="58"/>
        <v>120.66666666666667</v>
      </c>
      <c r="R147">
        <v>111.9</v>
      </c>
      <c r="S147">
        <f t="shared" si="59"/>
        <v>110.90000000000002</v>
      </c>
      <c r="T147">
        <v>102.8</v>
      </c>
      <c r="U147">
        <f t="shared" si="60"/>
        <v>101.39999999999999</v>
      </c>
      <c r="V147">
        <v>113.4</v>
      </c>
      <c r="W147">
        <f t="shared" si="61"/>
        <v>112.59999999999998</v>
      </c>
      <c r="X147">
        <v>113.7</v>
      </c>
      <c r="Y147">
        <f t="shared" si="62"/>
        <v>113.2</v>
      </c>
      <c r="Z147">
        <v>120.4</v>
      </c>
      <c r="AA147">
        <f t="shared" si="63"/>
        <v>119.83333333333333</v>
      </c>
      <c r="AB147">
        <v>118.9</v>
      </c>
      <c r="AC147">
        <f t="shared" si="64"/>
        <v>117.53333333333335</v>
      </c>
      <c r="AD147">
        <v>116.8</v>
      </c>
      <c r="AE147">
        <f t="shared" si="65"/>
        <v>116</v>
      </c>
      <c r="AF147">
        <v>118</v>
      </c>
      <c r="AG147">
        <f t="shared" si="66"/>
        <v>117.39999999999999</v>
      </c>
      <c r="AH147">
        <v>115.2</v>
      </c>
      <c r="AI147">
        <f t="shared" si="67"/>
        <v>114.5</v>
      </c>
      <c r="AJ147">
        <v>117.6</v>
      </c>
      <c r="AK147">
        <f t="shared" si="68"/>
        <v>117</v>
      </c>
      <c r="AL147">
        <v>114.3</v>
      </c>
      <c r="AM147">
        <f t="shared" si="69"/>
        <v>113.80000000000001</v>
      </c>
      <c r="AN147">
        <v>112.5</v>
      </c>
      <c r="AO147">
        <f t="shared" si="70"/>
        <v>112.5</v>
      </c>
      <c r="AP147">
        <v>114.1</v>
      </c>
      <c r="AQ147">
        <f t="shared" si="71"/>
        <v>113.63333333333333</v>
      </c>
      <c r="AR147">
        <v>111.8</v>
      </c>
      <c r="AS147">
        <f t="shared" si="72"/>
        <v>111.5</v>
      </c>
      <c r="AT147">
        <v>111.3</v>
      </c>
      <c r="AU147">
        <f t="shared" si="73"/>
        <v>111.30000000000001</v>
      </c>
      <c r="AV147">
        <v>111.2</v>
      </c>
      <c r="AW147">
        <f t="shared" si="74"/>
        <v>110.89999999999999</v>
      </c>
      <c r="AX147">
        <v>113</v>
      </c>
      <c r="AY147">
        <f t="shared" si="75"/>
        <v>112.56666666666666</v>
      </c>
      <c r="AZ147">
        <v>109.1</v>
      </c>
      <c r="BA147">
        <f t="shared" si="76"/>
        <v>109.03333333333335</v>
      </c>
      <c r="BB147">
        <v>111.8</v>
      </c>
      <c r="BC147">
        <f t="shared" si="77"/>
        <v>111.53333333333335</v>
      </c>
      <c r="BD147">
        <v>115.8</v>
      </c>
      <c r="BE147">
        <f t="shared" si="78"/>
        <v>115.03333333333335</v>
      </c>
    </row>
    <row r="148" spans="1:57" hidden="1">
      <c r="A148" t="s">
        <v>34</v>
      </c>
      <c r="B148">
        <v>2014</v>
      </c>
      <c r="C148" t="s">
        <v>39</v>
      </c>
      <c r="D148">
        <v>121.5</v>
      </c>
      <c r="E148">
        <f t="shared" si="52"/>
        <v>121.16666666666667</v>
      </c>
      <c r="F148">
        <v>123.1</v>
      </c>
      <c r="G148">
        <f t="shared" si="53"/>
        <v>121.53333333333335</v>
      </c>
      <c r="H148">
        <v>115.8</v>
      </c>
      <c r="I148">
        <f t="shared" si="54"/>
        <v>115.96666666666668</v>
      </c>
      <c r="J148">
        <v>119.7</v>
      </c>
      <c r="K148">
        <f t="shared" si="55"/>
        <v>118.36666666666667</v>
      </c>
      <c r="L148">
        <v>107.8</v>
      </c>
      <c r="M148">
        <f t="shared" si="56"/>
        <v>107.60000000000001</v>
      </c>
      <c r="N148">
        <v>128.30000000000001</v>
      </c>
      <c r="O148">
        <f t="shared" si="57"/>
        <v>127.36666666666667</v>
      </c>
      <c r="P148">
        <v>132.1</v>
      </c>
      <c r="Q148">
        <f t="shared" si="58"/>
        <v>125.93333333333332</v>
      </c>
      <c r="R148">
        <v>112.4</v>
      </c>
      <c r="S148">
        <f t="shared" si="59"/>
        <v>111.76666666666667</v>
      </c>
      <c r="T148">
        <v>102.9</v>
      </c>
      <c r="U148">
        <f t="shared" si="60"/>
        <v>102.5</v>
      </c>
      <c r="V148">
        <v>114.3</v>
      </c>
      <c r="W148">
        <f t="shared" si="61"/>
        <v>113.43333333333334</v>
      </c>
      <c r="X148">
        <v>114.2</v>
      </c>
      <c r="Y148">
        <f t="shared" si="62"/>
        <v>113.7</v>
      </c>
      <c r="Z148">
        <v>121.2</v>
      </c>
      <c r="AA148">
        <f t="shared" si="63"/>
        <v>120.46666666666665</v>
      </c>
      <c r="AB148">
        <v>120.4</v>
      </c>
      <c r="AC148">
        <f t="shared" si="64"/>
        <v>118.96666666666665</v>
      </c>
      <c r="AD148">
        <v>117.8</v>
      </c>
      <c r="AE148">
        <f t="shared" si="65"/>
        <v>116.86666666666667</v>
      </c>
      <c r="AF148">
        <v>118.8</v>
      </c>
      <c r="AG148">
        <f t="shared" si="66"/>
        <v>118.06666666666666</v>
      </c>
      <c r="AH148">
        <v>115.6</v>
      </c>
      <c r="AI148">
        <f t="shared" si="67"/>
        <v>115.13333333333333</v>
      </c>
      <c r="AJ148">
        <v>118.3</v>
      </c>
      <c r="AK148">
        <f t="shared" si="68"/>
        <v>117.63333333333333</v>
      </c>
      <c r="AL148">
        <v>113.9</v>
      </c>
      <c r="AM148">
        <f t="shared" si="69"/>
        <v>114.03333333333335</v>
      </c>
      <c r="AN148">
        <v>113.2</v>
      </c>
      <c r="AO148">
        <f t="shared" si="70"/>
        <v>112.73333333333333</v>
      </c>
      <c r="AP148">
        <v>114.6</v>
      </c>
      <c r="AQ148">
        <f t="shared" si="71"/>
        <v>114.09999999999998</v>
      </c>
      <c r="AR148">
        <v>112.3</v>
      </c>
      <c r="AS148">
        <f t="shared" si="72"/>
        <v>111.86666666666667</v>
      </c>
      <c r="AT148">
        <v>111.8</v>
      </c>
      <c r="AU148">
        <f t="shared" si="73"/>
        <v>111.43333333333334</v>
      </c>
      <c r="AV148">
        <v>111.6</v>
      </c>
      <c r="AW148">
        <f t="shared" si="74"/>
        <v>111.23333333333335</v>
      </c>
      <c r="AX148">
        <v>114.8</v>
      </c>
      <c r="AY148">
        <f t="shared" si="75"/>
        <v>113.5</v>
      </c>
      <c r="AZ148">
        <v>108.3</v>
      </c>
      <c r="BA148">
        <f t="shared" si="76"/>
        <v>108.8</v>
      </c>
      <c r="BB148">
        <v>112.3</v>
      </c>
      <c r="BC148">
        <f t="shared" si="77"/>
        <v>111.86666666666667</v>
      </c>
      <c r="BD148">
        <v>116.7</v>
      </c>
      <c r="BE148">
        <f t="shared" si="78"/>
        <v>115.86666666666666</v>
      </c>
    </row>
    <row r="149" spans="1:57" hidden="1">
      <c r="A149" t="s">
        <v>34</v>
      </c>
      <c r="B149">
        <v>2014</v>
      </c>
      <c r="C149" t="s">
        <v>40</v>
      </c>
      <c r="D149">
        <v>122.4</v>
      </c>
      <c r="E149">
        <f t="shared" si="52"/>
        <v>121.66666666666667</v>
      </c>
      <c r="F149">
        <v>123.9</v>
      </c>
      <c r="G149">
        <f t="shared" si="53"/>
        <v>122.86666666666667</v>
      </c>
      <c r="H149">
        <v>117.8</v>
      </c>
      <c r="I149">
        <f t="shared" si="54"/>
        <v>116.5</v>
      </c>
      <c r="J149">
        <v>121</v>
      </c>
      <c r="K149">
        <f t="shared" si="55"/>
        <v>119.7</v>
      </c>
      <c r="L149">
        <v>107.9</v>
      </c>
      <c r="M149">
        <f t="shared" si="56"/>
        <v>107.8</v>
      </c>
      <c r="N149">
        <v>131.19999999999999</v>
      </c>
      <c r="O149">
        <f t="shared" si="57"/>
        <v>129.06666666666666</v>
      </c>
      <c r="P149">
        <v>157.69999999999999</v>
      </c>
      <c r="Q149">
        <f t="shared" si="58"/>
        <v>138.26666666666668</v>
      </c>
      <c r="R149">
        <v>113.2</v>
      </c>
      <c r="S149">
        <f t="shared" si="59"/>
        <v>112.5</v>
      </c>
      <c r="T149">
        <v>104.1</v>
      </c>
      <c r="U149">
        <f t="shared" si="60"/>
        <v>103.26666666666665</v>
      </c>
      <c r="V149">
        <v>115.5</v>
      </c>
      <c r="W149">
        <f t="shared" si="61"/>
        <v>114.39999999999999</v>
      </c>
      <c r="X149">
        <v>114.8</v>
      </c>
      <c r="Y149">
        <f t="shared" si="62"/>
        <v>114.23333333333333</v>
      </c>
      <c r="Z149">
        <v>122.1</v>
      </c>
      <c r="AA149">
        <f t="shared" si="63"/>
        <v>121.23333333333335</v>
      </c>
      <c r="AB149">
        <v>124.7</v>
      </c>
      <c r="AC149">
        <f t="shared" si="64"/>
        <v>121.33333333333333</v>
      </c>
      <c r="AD149">
        <v>118.8</v>
      </c>
      <c r="AE149">
        <f t="shared" si="65"/>
        <v>117.8</v>
      </c>
      <c r="AF149">
        <v>119.6</v>
      </c>
      <c r="AG149">
        <f t="shared" si="66"/>
        <v>118.8</v>
      </c>
      <c r="AH149">
        <v>116.3</v>
      </c>
      <c r="AI149">
        <f t="shared" si="67"/>
        <v>115.7</v>
      </c>
      <c r="AJ149">
        <v>119.1</v>
      </c>
      <c r="AK149">
        <f t="shared" si="68"/>
        <v>118.33333333333333</v>
      </c>
      <c r="AL149">
        <v>114.8</v>
      </c>
      <c r="AM149">
        <f t="shared" si="69"/>
        <v>114.33333333333333</v>
      </c>
      <c r="AN149">
        <v>113.9</v>
      </c>
      <c r="AO149">
        <f t="shared" si="70"/>
        <v>113.2</v>
      </c>
      <c r="AP149">
        <v>115.2</v>
      </c>
      <c r="AQ149">
        <f t="shared" si="71"/>
        <v>114.63333333333333</v>
      </c>
      <c r="AR149">
        <v>112.7</v>
      </c>
      <c r="AS149">
        <f t="shared" si="72"/>
        <v>112.26666666666667</v>
      </c>
      <c r="AT149">
        <v>113.1</v>
      </c>
      <c r="AU149">
        <f t="shared" si="73"/>
        <v>112.06666666666666</v>
      </c>
      <c r="AV149">
        <v>112.1</v>
      </c>
      <c r="AW149">
        <f t="shared" si="74"/>
        <v>111.63333333333333</v>
      </c>
      <c r="AX149">
        <v>116.8</v>
      </c>
      <c r="AY149">
        <f t="shared" si="75"/>
        <v>114.86666666666667</v>
      </c>
      <c r="AZ149">
        <v>109.2</v>
      </c>
      <c r="BA149">
        <f t="shared" si="76"/>
        <v>108.86666666666666</v>
      </c>
      <c r="BB149">
        <v>113.3</v>
      </c>
      <c r="BC149">
        <f t="shared" si="77"/>
        <v>112.46666666666665</v>
      </c>
      <c r="BD149">
        <v>119.2</v>
      </c>
      <c r="BE149">
        <f t="shared" si="78"/>
        <v>117.23333333333333</v>
      </c>
    </row>
    <row r="150" spans="1:57" hidden="1">
      <c r="A150" t="s">
        <v>34</v>
      </c>
      <c r="B150">
        <v>2014</v>
      </c>
      <c r="C150" t="s">
        <v>41</v>
      </c>
      <c r="D150">
        <v>122.7</v>
      </c>
      <c r="E150">
        <f t="shared" si="52"/>
        <v>122.2</v>
      </c>
      <c r="F150">
        <v>124.4</v>
      </c>
      <c r="G150">
        <f t="shared" si="53"/>
        <v>123.8</v>
      </c>
      <c r="H150">
        <v>117.3</v>
      </c>
      <c r="I150">
        <f t="shared" si="54"/>
        <v>116.96666666666665</v>
      </c>
      <c r="J150">
        <v>122</v>
      </c>
      <c r="K150">
        <f t="shared" si="55"/>
        <v>120.89999999999999</v>
      </c>
      <c r="L150">
        <v>108</v>
      </c>
      <c r="M150">
        <f t="shared" si="56"/>
        <v>107.89999999999999</v>
      </c>
      <c r="N150">
        <v>131.1</v>
      </c>
      <c r="O150">
        <f t="shared" si="57"/>
        <v>130.20000000000002</v>
      </c>
      <c r="P150">
        <v>168.2</v>
      </c>
      <c r="Q150">
        <f t="shared" si="58"/>
        <v>152.66666666666666</v>
      </c>
      <c r="R150">
        <v>114.5</v>
      </c>
      <c r="S150">
        <f t="shared" si="59"/>
        <v>113.36666666666667</v>
      </c>
      <c r="T150">
        <v>104.3</v>
      </c>
      <c r="U150">
        <f t="shared" si="60"/>
        <v>103.76666666666667</v>
      </c>
      <c r="V150">
        <v>117.1</v>
      </c>
      <c r="W150">
        <f t="shared" si="61"/>
        <v>115.63333333333333</v>
      </c>
      <c r="X150">
        <v>115.2</v>
      </c>
      <c r="Y150">
        <f t="shared" si="62"/>
        <v>114.73333333333333</v>
      </c>
      <c r="Z150">
        <v>123.1</v>
      </c>
      <c r="AA150">
        <f t="shared" si="63"/>
        <v>122.13333333333333</v>
      </c>
      <c r="AB150">
        <v>126.6</v>
      </c>
      <c r="AC150">
        <f t="shared" si="64"/>
        <v>123.90000000000002</v>
      </c>
      <c r="AD150">
        <v>119.9</v>
      </c>
      <c r="AE150">
        <f t="shared" si="65"/>
        <v>118.83333333333333</v>
      </c>
      <c r="AF150">
        <v>120</v>
      </c>
      <c r="AG150">
        <f t="shared" si="66"/>
        <v>119.46666666666665</v>
      </c>
      <c r="AH150">
        <v>116.8</v>
      </c>
      <c r="AI150">
        <f t="shared" si="67"/>
        <v>116.23333333333333</v>
      </c>
      <c r="AJ150">
        <v>119.6</v>
      </c>
      <c r="AK150">
        <f t="shared" si="68"/>
        <v>119</v>
      </c>
      <c r="AL150">
        <v>115.5</v>
      </c>
      <c r="AM150">
        <f t="shared" si="69"/>
        <v>114.73333333333333</v>
      </c>
      <c r="AN150">
        <v>114</v>
      </c>
      <c r="AO150">
        <f t="shared" si="70"/>
        <v>113.7</v>
      </c>
      <c r="AP150">
        <v>115.6</v>
      </c>
      <c r="AQ150">
        <f t="shared" si="71"/>
        <v>115.13333333333333</v>
      </c>
      <c r="AR150">
        <v>113.3</v>
      </c>
      <c r="AS150">
        <f t="shared" si="72"/>
        <v>112.76666666666667</v>
      </c>
      <c r="AT150">
        <v>112.8</v>
      </c>
      <c r="AU150">
        <f t="shared" si="73"/>
        <v>112.56666666666666</v>
      </c>
      <c r="AV150">
        <v>112.6</v>
      </c>
      <c r="AW150">
        <f t="shared" si="74"/>
        <v>112.09999999999998</v>
      </c>
      <c r="AX150">
        <v>118</v>
      </c>
      <c r="AY150">
        <f t="shared" si="75"/>
        <v>116.53333333333335</v>
      </c>
      <c r="AZ150">
        <v>109.9</v>
      </c>
      <c r="BA150">
        <f t="shared" si="76"/>
        <v>109.13333333333333</v>
      </c>
      <c r="BB150">
        <v>113.7</v>
      </c>
      <c r="BC150">
        <f t="shared" si="77"/>
        <v>113.10000000000001</v>
      </c>
      <c r="BD150">
        <v>120.3</v>
      </c>
      <c r="BE150">
        <f t="shared" si="78"/>
        <v>118.73333333333333</v>
      </c>
    </row>
    <row r="151" spans="1:57" hidden="1">
      <c r="A151" t="s">
        <v>34</v>
      </c>
      <c r="B151">
        <v>2014</v>
      </c>
      <c r="C151" t="s">
        <v>42</v>
      </c>
      <c r="D151">
        <v>122.9</v>
      </c>
      <c r="E151">
        <f t="shared" si="52"/>
        <v>122.66666666666667</v>
      </c>
      <c r="F151">
        <v>123.5</v>
      </c>
      <c r="G151">
        <f t="shared" si="53"/>
        <v>123.93333333333334</v>
      </c>
      <c r="H151">
        <v>117.3</v>
      </c>
      <c r="I151">
        <f t="shared" si="54"/>
        <v>117.46666666666665</v>
      </c>
      <c r="J151">
        <v>122.7</v>
      </c>
      <c r="K151">
        <f t="shared" si="55"/>
        <v>121.89999999999999</v>
      </c>
      <c r="L151">
        <v>107.9</v>
      </c>
      <c r="M151">
        <f t="shared" si="56"/>
        <v>107.93333333333334</v>
      </c>
      <c r="N151">
        <v>127.3</v>
      </c>
      <c r="O151">
        <f t="shared" si="57"/>
        <v>129.86666666666665</v>
      </c>
      <c r="P151">
        <v>162.1</v>
      </c>
      <c r="Q151">
        <f t="shared" si="58"/>
        <v>162.66666666666666</v>
      </c>
      <c r="R151">
        <v>115.6</v>
      </c>
      <c r="S151">
        <f t="shared" si="59"/>
        <v>114.43333333333332</v>
      </c>
      <c r="T151">
        <v>103.8</v>
      </c>
      <c r="U151">
        <f t="shared" si="60"/>
        <v>104.06666666666666</v>
      </c>
      <c r="V151">
        <v>117.6</v>
      </c>
      <c r="W151">
        <f t="shared" si="61"/>
        <v>116.73333333333333</v>
      </c>
      <c r="X151">
        <v>115.8</v>
      </c>
      <c r="Y151">
        <f t="shared" si="62"/>
        <v>115.26666666666667</v>
      </c>
      <c r="Z151">
        <v>123.8</v>
      </c>
      <c r="AA151">
        <f t="shared" si="63"/>
        <v>123</v>
      </c>
      <c r="AB151">
        <v>125.8</v>
      </c>
      <c r="AC151">
        <f t="shared" si="64"/>
        <v>125.7</v>
      </c>
      <c r="AD151">
        <v>120.8</v>
      </c>
      <c r="AE151">
        <f t="shared" si="65"/>
        <v>119.83333333333333</v>
      </c>
      <c r="AF151">
        <v>120.7</v>
      </c>
      <c r="AG151">
        <f t="shared" si="66"/>
        <v>120.10000000000001</v>
      </c>
      <c r="AH151">
        <v>117.2</v>
      </c>
      <c r="AI151">
        <f t="shared" si="67"/>
        <v>116.76666666666667</v>
      </c>
      <c r="AJ151">
        <v>120.1</v>
      </c>
      <c r="AK151">
        <f t="shared" si="68"/>
        <v>119.59999999999998</v>
      </c>
      <c r="AL151">
        <v>116.1</v>
      </c>
      <c r="AM151">
        <f t="shared" si="69"/>
        <v>115.46666666666665</v>
      </c>
      <c r="AN151">
        <v>114.3</v>
      </c>
      <c r="AO151">
        <f t="shared" si="70"/>
        <v>114.06666666666666</v>
      </c>
      <c r="AP151">
        <v>116.1</v>
      </c>
      <c r="AQ151">
        <f t="shared" si="71"/>
        <v>115.63333333333333</v>
      </c>
      <c r="AR151">
        <v>113.7</v>
      </c>
      <c r="AS151">
        <f t="shared" si="72"/>
        <v>113.23333333333333</v>
      </c>
      <c r="AT151">
        <v>112</v>
      </c>
      <c r="AU151">
        <f t="shared" si="73"/>
        <v>112.63333333333333</v>
      </c>
      <c r="AV151">
        <v>113.1</v>
      </c>
      <c r="AW151">
        <f t="shared" si="74"/>
        <v>112.59999999999998</v>
      </c>
      <c r="AX151">
        <v>118.6</v>
      </c>
      <c r="AY151">
        <f t="shared" si="75"/>
        <v>117.8</v>
      </c>
      <c r="AZ151">
        <v>109.5</v>
      </c>
      <c r="BA151">
        <f t="shared" si="76"/>
        <v>109.53333333333335</v>
      </c>
      <c r="BB151">
        <v>113.7</v>
      </c>
      <c r="BC151">
        <f t="shared" si="77"/>
        <v>113.56666666666666</v>
      </c>
      <c r="BD151">
        <v>120.1</v>
      </c>
      <c r="BE151">
        <f t="shared" si="78"/>
        <v>119.86666666666667</v>
      </c>
    </row>
    <row r="152" spans="1:57" hidden="1">
      <c r="A152" t="s">
        <v>34</v>
      </c>
      <c r="B152">
        <v>2014</v>
      </c>
      <c r="C152" t="s">
        <v>43</v>
      </c>
      <c r="D152">
        <v>123.2</v>
      </c>
      <c r="E152">
        <f t="shared" si="52"/>
        <v>122.93333333333334</v>
      </c>
      <c r="F152">
        <v>123.8</v>
      </c>
      <c r="G152">
        <f t="shared" si="53"/>
        <v>123.89999999999999</v>
      </c>
      <c r="H152">
        <v>118.1</v>
      </c>
      <c r="I152">
        <f t="shared" si="54"/>
        <v>117.56666666666666</v>
      </c>
      <c r="J152">
        <v>123.2</v>
      </c>
      <c r="K152">
        <f t="shared" si="55"/>
        <v>122.63333333333333</v>
      </c>
      <c r="L152">
        <v>107.9</v>
      </c>
      <c r="M152">
        <f t="shared" si="56"/>
        <v>107.93333333333334</v>
      </c>
      <c r="N152">
        <v>126.4</v>
      </c>
      <c r="O152">
        <f t="shared" si="57"/>
        <v>128.26666666666665</v>
      </c>
      <c r="P152">
        <v>156.80000000000001</v>
      </c>
      <c r="Q152">
        <f t="shared" si="58"/>
        <v>162.36666666666665</v>
      </c>
      <c r="R152">
        <v>116.1</v>
      </c>
      <c r="S152">
        <f t="shared" si="59"/>
        <v>115.39999999999999</v>
      </c>
      <c r="T152">
        <v>103.1</v>
      </c>
      <c r="U152">
        <f t="shared" si="60"/>
        <v>103.73333333333333</v>
      </c>
      <c r="V152">
        <v>118.1</v>
      </c>
      <c r="W152">
        <f t="shared" si="61"/>
        <v>117.59999999999998</v>
      </c>
      <c r="X152">
        <v>116.1</v>
      </c>
      <c r="Y152">
        <f t="shared" si="62"/>
        <v>115.7</v>
      </c>
      <c r="Z152">
        <v>124.5</v>
      </c>
      <c r="AA152">
        <f t="shared" si="63"/>
        <v>123.8</v>
      </c>
      <c r="AB152">
        <v>125.4</v>
      </c>
      <c r="AC152">
        <f t="shared" si="64"/>
        <v>125.93333333333332</v>
      </c>
      <c r="AD152">
        <v>121.1</v>
      </c>
      <c r="AE152">
        <f t="shared" si="65"/>
        <v>120.59999999999998</v>
      </c>
      <c r="AF152">
        <v>121.5</v>
      </c>
      <c r="AG152">
        <f t="shared" si="66"/>
        <v>120.73333333333333</v>
      </c>
      <c r="AH152">
        <v>118.1</v>
      </c>
      <c r="AI152">
        <f t="shared" si="67"/>
        <v>117.36666666666667</v>
      </c>
      <c r="AJ152">
        <v>121</v>
      </c>
      <c r="AK152">
        <f t="shared" si="68"/>
        <v>120.23333333333333</v>
      </c>
      <c r="AL152">
        <v>116.7</v>
      </c>
      <c r="AM152">
        <f t="shared" si="69"/>
        <v>116.10000000000001</v>
      </c>
      <c r="AN152">
        <v>114.7</v>
      </c>
      <c r="AO152">
        <f t="shared" si="70"/>
        <v>114.33333333333333</v>
      </c>
      <c r="AP152">
        <v>116.7</v>
      </c>
      <c r="AQ152">
        <f t="shared" si="71"/>
        <v>116.13333333333333</v>
      </c>
      <c r="AR152">
        <v>114.3</v>
      </c>
      <c r="AS152">
        <f t="shared" si="72"/>
        <v>113.76666666666667</v>
      </c>
      <c r="AT152">
        <v>111.8</v>
      </c>
      <c r="AU152">
        <f t="shared" si="73"/>
        <v>112.2</v>
      </c>
      <c r="AV152">
        <v>113.3</v>
      </c>
      <c r="AW152">
        <f t="shared" si="74"/>
        <v>113</v>
      </c>
      <c r="AX152">
        <v>118.8</v>
      </c>
      <c r="AY152">
        <f t="shared" si="75"/>
        <v>118.46666666666665</v>
      </c>
      <c r="AZ152">
        <v>109.6</v>
      </c>
      <c r="BA152">
        <f t="shared" si="76"/>
        <v>109.66666666666667</v>
      </c>
      <c r="BB152">
        <v>113.9</v>
      </c>
      <c r="BC152">
        <f t="shared" si="77"/>
        <v>113.76666666666667</v>
      </c>
      <c r="BD152">
        <v>120.1</v>
      </c>
      <c r="BE152">
        <f t="shared" si="78"/>
        <v>120.16666666666667</v>
      </c>
    </row>
    <row r="153" spans="1:57" hidden="1">
      <c r="A153" t="s">
        <v>34</v>
      </c>
      <c r="B153">
        <v>2014</v>
      </c>
      <c r="C153" t="s">
        <v>45</v>
      </c>
      <c r="D153">
        <v>123.3</v>
      </c>
      <c r="E153">
        <f t="shared" si="52"/>
        <v>123.13333333333334</v>
      </c>
      <c r="F153">
        <v>123.7</v>
      </c>
      <c r="G153">
        <f t="shared" si="53"/>
        <v>123.66666666666667</v>
      </c>
      <c r="H153">
        <v>121</v>
      </c>
      <c r="I153">
        <f t="shared" si="54"/>
        <v>118.8</v>
      </c>
      <c r="J153">
        <v>124.2</v>
      </c>
      <c r="K153">
        <f t="shared" si="55"/>
        <v>123.36666666666667</v>
      </c>
      <c r="L153">
        <v>107.8</v>
      </c>
      <c r="M153">
        <f t="shared" si="56"/>
        <v>107.86666666666667</v>
      </c>
      <c r="N153">
        <v>125.7</v>
      </c>
      <c r="O153">
        <f t="shared" si="57"/>
        <v>126.46666666666665</v>
      </c>
      <c r="P153">
        <v>152.4</v>
      </c>
      <c r="Q153">
        <f t="shared" si="58"/>
        <v>157.1</v>
      </c>
      <c r="R153">
        <v>117.2</v>
      </c>
      <c r="S153">
        <f t="shared" si="59"/>
        <v>116.3</v>
      </c>
      <c r="T153">
        <v>102.1</v>
      </c>
      <c r="U153">
        <f t="shared" si="60"/>
        <v>103</v>
      </c>
      <c r="V153">
        <v>118.7</v>
      </c>
      <c r="W153">
        <f t="shared" si="61"/>
        <v>118.13333333333333</v>
      </c>
      <c r="X153">
        <v>116.4</v>
      </c>
      <c r="Y153">
        <f t="shared" si="62"/>
        <v>116.09999999999998</v>
      </c>
      <c r="Z153">
        <v>125.6</v>
      </c>
      <c r="AA153">
        <f t="shared" si="63"/>
        <v>124.63333333333333</v>
      </c>
      <c r="AB153">
        <v>125.1</v>
      </c>
      <c r="AC153">
        <f t="shared" si="64"/>
        <v>125.43333333333332</v>
      </c>
      <c r="AD153">
        <v>122.1</v>
      </c>
      <c r="AE153">
        <f t="shared" si="65"/>
        <v>121.33333333333333</v>
      </c>
      <c r="AF153">
        <v>122.1</v>
      </c>
      <c r="AG153">
        <f t="shared" si="66"/>
        <v>121.43333333333332</v>
      </c>
      <c r="AH153">
        <v>118.4</v>
      </c>
      <c r="AI153">
        <f t="shared" si="67"/>
        <v>117.90000000000002</v>
      </c>
      <c r="AJ153">
        <v>121.6</v>
      </c>
      <c r="AK153">
        <f t="shared" si="68"/>
        <v>120.89999999999999</v>
      </c>
      <c r="AL153">
        <v>117.1</v>
      </c>
      <c r="AM153">
        <f t="shared" si="69"/>
        <v>116.63333333333333</v>
      </c>
      <c r="AN153">
        <v>115.5</v>
      </c>
      <c r="AO153">
        <f t="shared" si="70"/>
        <v>114.83333333333333</v>
      </c>
      <c r="AP153">
        <v>117.3</v>
      </c>
      <c r="AQ153">
        <f t="shared" si="71"/>
        <v>116.7</v>
      </c>
      <c r="AR153">
        <v>114.8</v>
      </c>
      <c r="AS153">
        <f t="shared" si="72"/>
        <v>114.26666666666667</v>
      </c>
      <c r="AT153">
        <v>110.8</v>
      </c>
      <c r="AU153">
        <f t="shared" si="73"/>
        <v>111.53333333333335</v>
      </c>
      <c r="AV153">
        <v>113.7</v>
      </c>
      <c r="AW153">
        <f t="shared" si="74"/>
        <v>113.36666666666666</v>
      </c>
      <c r="AX153">
        <v>119</v>
      </c>
      <c r="AY153">
        <f t="shared" si="75"/>
        <v>118.8</v>
      </c>
      <c r="AZ153">
        <v>109.1</v>
      </c>
      <c r="BA153">
        <f t="shared" si="76"/>
        <v>109.39999999999999</v>
      </c>
      <c r="BB153">
        <v>113.8</v>
      </c>
      <c r="BC153">
        <f t="shared" si="77"/>
        <v>113.80000000000001</v>
      </c>
      <c r="BD153">
        <v>120.1</v>
      </c>
      <c r="BE153">
        <f t="shared" si="78"/>
        <v>120.09999999999998</v>
      </c>
    </row>
    <row r="154" spans="1:57" hidden="1">
      <c r="A154" t="s">
        <v>34</v>
      </c>
      <c r="B154">
        <v>2014</v>
      </c>
      <c r="C154" t="s">
        <v>46</v>
      </c>
      <c r="D154">
        <v>122.9</v>
      </c>
      <c r="E154">
        <f t="shared" si="52"/>
        <v>123.13333333333333</v>
      </c>
      <c r="F154">
        <v>123.2</v>
      </c>
      <c r="G154">
        <f t="shared" si="53"/>
        <v>123.56666666666666</v>
      </c>
      <c r="H154">
        <v>123.5</v>
      </c>
      <c r="I154">
        <f t="shared" si="54"/>
        <v>120.86666666666667</v>
      </c>
      <c r="J154">
        <v>124.5</v>
      </c>
      <c r="K154">
        <f t="shared" si="55"/>
        <v>123.96666666666665</v>
      </c>
      <c r="L154">
        <v>107.6</v>
      </c>
      <c r="M154">
        <f t="shared" si="56"/>
        <v>107.76666666666665</v>
      </c>
      <c r="N154">
        <v>125.7</v>
      </c>
      <c r="O154">
        <f t="shared" si="57"/>
        <v>125.93333333333334</v>
      </c>
      <c r="P154">
        <v>140.5</v>
      </c>
      <c r="Q154">
        <f t="shared" si="58"/>
        <v>149.9</v>
      </c>
      <c r="R154">
        <v>117.6</v>
      </c>
      <c r="S154">
        <f t="shared" si="59"/>
        <v>116.96666666666665</v>
      </c>
      <c r="T154">
        <v>100.6</v>
      </c>
      <c r="U154">
        <f t="shared" si="60"/>
        <v>101.93333333333332</v>
      </c>
      <c r="V154">
        <v>119.1</v>
      </c>
      <c r="W154">
        <f t="shared" si="61"/>
        <v>118.63333333333333</v>
      </c>
      <c r="X154">
        <v>116.8</v>
      </c>
      <c r="Y154">
        <f t="shared" si="62"/>
        <v>116.43333333333334</v>
      </c>
      <c r="Z154">
        <v>126.1</v>
      </c>
      <c r="AA154">
        <f t="shared" si="63"/>
        <v>125.39999999999999</v>
      </c>
      <c r="AB154">
        <v>123.6</v>
      </c>
      <c r="AC154">
        <f t="shared" si="64"/>
        <v>124.7</v>
      </c>
      <c r="AD154">
        <v>123</v>
      </c>
      <c r="AE154">
        <f t="shared" si="65"/>
        <v>122.06666666666666</v>
      </c>
      <c r="AF154">
        <v>122.6</v>
      </c>
      <c r="AG154">
        <f t="shared" si="66"/>
        <v>122.06666666666666</v>
      </c>
      <c r="AH154">
        <v>118.6</v>
      </c>
      <c r="AI154">
        <f t="shared" si="67"/>
        <v>118.36666666666667</v>
      </c>
      <c r="AJ154">
        <v>122</v>
      </c>
      <c r="AK154">
        <f t="shared" si="68"/>
        <v>121.53333333333335</v>
      </c>
      <c r="AL154">
        <v>116.5</v>
      </c>
      <c r="AM154">
        <f t="shared" si="69"/>
        <v>116.76666666666667</v>
      </c>
      <c r="AN154">
        <v>115.7</v>
      </c>
      <c r="AO154">
        <f t="shared" si="70"/>
        <v>115.3</v>
      </c>
      <c r="AP154">
        <v>117.5</v>
      </c>
      <c r="AQ154">
        <f t="shared" si="71"/>
        <v>117.16666666666667</v>
      </c>
      <c r="AR154">
        <v>115.1</v>
      </c>
      <c r="AS154">
        <f t="shared" si="72"/>
        <v>114.73333333333333</v>
      </c>
      <c r="AT154">
        <v>110.1</v>
      </c>
      <c r="AU154">
        <f t="shared" si="73"/>
        <v>110.89999999999999</v>
      </c>
      <c r="AV154">
        <v>113.9</v>
      </c>
      <c r="AW154">
        <f t="shared" si="74"/>
        <v>113.63333333333333</v>
      </c>
      <c r="AX154">
        <v>119.5</v>
      </c>
      <c r="AY154">
        <f t="shared" si="75"/>
        <v>119.10000000000001</v>
      </c>
      <c r="AZ154">
        <v>109.8</v>
      </c>
      <c r="BA154">
        <f t="shared" si="76"/>
        <v>109.5</v>
      </c>
      <c r="BB154">
        <v>113.8</v>
      </c>
      <c r="BC154">
        <f t="shared" si="77"/>
        <v>113.83333333333333</v>
      </c>
      <c r="BD154">
        <v>119.4</v>
      </c>
      <c r="BE154">
        <f t="shared" si="78"/>
        <v>119.86666666666667</v>
      </c>
    </row>
    <row r="155" spans="1:57" hidden="1">
      <c r="A155" t="s">
        <v>34</v>
      </c>
      <c r="B155">
        <v>2015</v>
      </c>
      <c r="C155" t="s">
        <v>31</v>
      </c>
      <c r="D155">
        <v>123.4</v>
      </c>
      <c r="E155">
        <f t="shared" si="52"/>
        <v>123.2</v>
      </c>
      <c r="F155">
        <v>123.9</v>
      </c>
      <c r="G155">
        <f t="shared" si="53"/>
        <v>123.60000000000001</v>
      </c>
      <c r="H155">
        <v>123.8</v>
      </c>
      <c r="I155">
        <f t="shared" si="54"/>
        <v>122.76666666666667</v>
      </c>
      <c r="J155">
        <v>125</v>
      </c>
      <c r="K155">
        <f t="shared" si="55"/>
        <v>124.56666666666666</v>
      </c>
      <c r="L155">
        <v>108.5</v>
      </c>
      <c r="M155">
        <f t="shared" si="56"/>
        <v>107.96666666666665</v>
      </c>
      <c r="N155">
        <v>126.2</v>
      </c>
      <c r="O155">
        <f t="shared" si="57"/>
        <v>125.86666666666667</v>
      </c>
      <c r="P155">
        <v>133</v>
      </c>
      <c r="Q155">
        <f t="shared" si="58"/>
        <v>141.96666666666667</v>
      </c>
      <c r="R155">
        <v>119.1</v>
      </c>
      <c r="S155">
        <f t="shared" si="59"/>
        <v>117.96666666666665</v>
      </c>
      <c r="T155">
        <v>99</v>
      </c>
      <c r="U155">
        <f t="shared" si="60"/>
        <v>100.56666666666666</v>
      </c>
      <c r="V155">
        <v>120.3</v>
      </c>
      <c r="W155">
        <f t="shared" si="61"/>
        <v>119.36666666666667</v>
      </c>
      <c r="X155">
        <v>117.3</v>
      </c>
      <c r="Y155">
        <f t="shared" si="62"/>
        <v>116.83333333333333</v>
      </c>
      <c r="Z155">
        <v>126.7</v>
      </c>
      <c r="AA155">
        <f t="shared" si="63"/>
        <v>126.13333333333333</v>
      </c>
      <c r="AB155">
        <v>123.1</v>
      </c>
      <c r="AC155">
        <f t="shared" si="64"/>
        <v>123.93333333333332</v>
      </c>
      <c r="AD155">
        <v>124</v>
      </c>
      <c r="AE155">
        <f t="shared" si="65"/>
        <v>123.03333333333335</v>
      </c>
      <c r="AF155">
        <v>123.1</v>
      </c>
      <c r="AG155">
        <f t="shared" si="66"/>
        <v>122.59999999999998</v>
      </c>
      <c r="AH155">
        <v>119.3</v>
      </c>
      <c r="AI155">
        <f t="shared" si="67"/>
        <v>118.76666666666667</v>
      </c>
      <c r="AJ155">
        <v>122.5</v>
      </c>
      <c r="AK155">
        <f t="shared" si="68"/>
        <v>122.03333333333335</v>
      </c>
      <c r="AL155">
        <v>117.3</v>
      </c>
      <c r="AM155">
        <f t="shared" si="69"/>
        <v>116.96666666666665</v>
      </c>
      <c r="AN155">
        <v>116.5</v>
      </c>
      <c r="AO155">
        <f t="shared" si="70"/>
        <v>115.89999999999999</v>
      </c>
      <c r="AP155">
        <v>118.1</v>
      </c>
      <c r="AQ155">
        <f t="shared" si="71"/>
        <v>117.63333333333333</v>
      </c>
      <c r="AR155">
        <v>115.5</v>
      </c>
      <c r="AS155">
        <f t="shared" si="72"/>
        <v>115.13333333333333</v>
      </c>
      <c r="AT155">
        <v>109.4</v>
      </c>
      <c r="AU155">
        <f t="shared" si="73"/>
        <v>110.09999999999998</v>
      </c>
      <c r="AV155">
        <v>114.3</v>
      </c>
      <c r="AW155">
        <f t="shared" si="74"/>
        <v>113.96666666666668</v>
      </c>
      <c r="AX155">
        <v>119.7</v>
      </c>
      <c r="AY155">
        <f t="shared" si="75"/>
        <v>119.39999999999999</v>
      </c>
      <c r="AZ155">
        <v>110.7</v>
      </c>
      <c r="BA155">
        <f t="shared" si="76"/>
        <v>109.86666666666666</v>
      </c>
      <c r="BB155">
        <v>114</v>
      </c>
      <c r="BC155">
        <f t="shared" si="77"/>
        <v>113.86666666666667</v>
      </c>
      <c r="BD155">
        <v>119.5</v>
      </c>
      <c r="BE155">
        <f t="shared" si="78"/>
        <v>119.66666666666667</v>
      </c>
    </row>
    <row r="156" spans="1:57" hidden="1">
      <c r="A156" t="s">
        <v>34</v>
      </c>
      <c r="B156">
        <v>2015</v>
      </c>
      <c r="C156" t="s">
        <v>35</v>
      </c>
      <c r="D156">
        <v>123.7</v>
      </c>
      <c r="E156">
        <f t="shared" si="52"/>
        <v>123.33333333333333</v>
      </c>
      <c r="F156">
        <v>125.1</v>
      </c>
      <c r="G156">
        <f t="shared" si="53"/>
        <v>124.06666666666668</v>
      </c>
      <c r="H156">
        <v>121.1</v>
      </c>
      <c r="I156">
        <f t="shared" si="54"/>
        <v>122.8</v>
      </c>
      <c r="J156">
        <v>125.7</v>
      </c>
      <c r="K156">
        <f t="shared" si="55"/>
        <v>125.06666666666666</v>
      </c>
      <c r="L156">
        <v>109.1</v>
      </c>
      <c r="M156">
        <f t="shared" si="56"/>
        <v>108.39999999999999</v>
      </c>
      <c r="N156">
        <v>125.8</v>
      </c>
      <c r="O156">
        <f t="shared" si="57"/>
        <v>125.89999999999999</v>
      </c>
      <c r="P156">
        <v>129.4</v>
      </c>
      <c r="Q156">
        <f t="shared" si="58"/>
        <v>134.29999999999998</v>
      </c>
      <c r="R156">
        <v>120.9</v>
      </c>
      <c r="S156">
        <f t="shared" si="59"/>
        <v>119.2</v>
      </c>
      <c r="T156">
        <v>98.3</v>
      </c>
      <c r="U156">
        <f t="shared" si="60"/>
        <v>99.3</v>
      </c>
      <c r="V156">
        <v>121.6</v>
      </c>
      <c r="W156">
        <f t="shared" si="61"/>
        <v>120.33333333333333</v>
      </c>
      <c r="X156">
        <v>118</v>
      </c>
      <c r="Y156">
        <f t="shared" si="62"/>
        <v>117.36666666666667</v>
      </c>
      <c r="Z156">
        <v>127.6</v>
      </c>
      <c r="AA156">
        <f t="shared" si="63"/>
        <v>126.8</v>
      </c>
      <c r="AB156">
        <v>123.1</v>
      </c>
      <c r="AC156">
        <f t="shared" si="64"/>
        <v>123.26666666666665</v>
      </c>
      <c r="AD156">
        <v>125.2</v>
      </c>
      <c r="AE156">
        <f t="shared" si="65"/>
        <v>124.06666666666666</v>
      </c>
      <c r="AF156">
        <v>123.8</v>
      </c>
      <c r="AG156">
        <f t="shared" si="66"/>
        <v>123.16666666666667</v>
      </c>
      <c r="AH156">
        <v>120.1</v>
      </c>
      <c r="AI156">
        <f t="shared" si="67"/>
        <v>119.33333333333333</v>
      </c>
      <c r="AJ156">
        <v>123.3</v>
      </c>
      <c r="AK156">
        <f t="shared" si="68"/>
        <v>122.60000000000001</v>
      </c>
      <c r="AL156">
        <v>118.1</v>
      </c>
      <c r="AM156">
        <f t="shared" si="69"/>
        <v>117.3</v>
      </c>
      <c r="AN156">
        <v>117.7</v>
      </c>
      <c r="AO156">
        <f t="shared" si="70"/>
        <v>116.63333333333333</v>
      </c>
      <c r="AP156">
        <v>118.7</v>
      </c>
      <c r="AQ156">
        <f t="shared" si="71"/>
        <v>118.10000000000001</v>
      </c>
      <c r="AR156">
        <v>116.3</v>
      </c>
      <c r="AS156">
        <f t="shared" si="72"/>
        <v>115.63333333333333</v>
      </c>
      <c r="AT156">
        <v>108.7</v>
      </c>
      <c r="AU156">
        <f t="shared" si="73"/>
        <v>109.39999999999999</v>
      </c>
      <c r="AV156">
        <v>114.9</v>
      </c>
      <c r="AW156">
        <f t="shared" si="74"/>
        <v>114.36666666666667</v>
      </c>
      <c r="AX156">
        <v>119.7</v>
      </c>
      <c r="AY156">
        <f t="shared" si="75"/>
        <v>119.63333333333333</v>
      </c>
      <c r="AZ156">
        <v>111.2</v>
      </c>
      <c r="BA156">
        <f t="shared" si="76"/>
        <v>110.56666666666666</v>
      </c>
      <c r="BB156">
        <v>114.1</v>
      </c>
      <c r="BC156">
        <f t="shared" si="77"/>
        <v>113.96666666666665</v>
      </c>
      <c r="BD156">
        <v>119.7</v>
      </c>
      <c r="BE156">
        <f t="shared" si="78"/>
        <v>119.53333333333335</v>
      </c>
    </row>
    <row r="157" spans="1:57" hidden="1">
      <c r="A157" t="s">
        <v>34</v>
      </c>
      <c r="B157">
        <v>2015</v>
      </c>
      <c r="C157" t="s">
        <v>36</v>
      </c>
      <c r="D157">
        <v>123.5</v>
      </c>
      <c r="E157">
        <f t="shared" si="52"/>
        <v>123.53333333333335</v>
      </c>
      <c r="F157">
        <v>125.4</v>
      </c>
      <c r="G157">
        <f t="shared" si="53"/>
        <v>124.8</v>
      </c>
      <c r="H157">
        <v>116.8</v>
      </c>
      <c r="I157">
        <f t="shared" si="54"/>
        <v>120.56666666666666</v>
      </c>
      <c r="J157">
        <v>126</v>
      </c>
      <c r="K157">
        <f t="shared" si="55"/>
        <v>125.56666666666666</v>
      </c>
      <c r="L157">
        <v>109.2</v>
      </c>
      <c r="M157">
        <f t="shared" si="56"/>
        <v>108.93333333333334</v>
      </c>
      <c r="N157">
        <v>127.6</v>
      </c>
      <c r="O157">
        <f t="shared" si="57"/>
        <v>126.53333333333335</v>
      </c>
      <c r="P157">
        <v>129.19999999999999</v>
      </c>
      <c r="Q157">
        <f t="shared" si="58"/>
        <v>130.53333333333333</v>
      </c>
      <c r="R157">
        <v>122.4</v>
      </c>
      <c r="S157">
        <f t="shared" si="59"/>
        <v>120.8</v>
      </c>
      <c r="T157">
        <v>97</v>
      </c>
      <c r="U157">
        <f t="shared" si="60"/>
        <v>98.100000000000009</v>
      </c>
      <c r="V157">
        <v>122.1</v>
      </c>
      <c r="W157">
        <f t="shared" si="61"/>
        <v>121.33333333333333</v>
      </c>
      <c r="X157">
        <v>118.1</v>
      </c>
      <c r="Y157">
        <f t="shared" si="62"/>
        <v>117.8</v>
      </c>
      <c r="Z157">
        <v>128.4</v>
      </c>
      <c r="AA157">
        <f t="shared" si="63"/>
        <v>127.56666666666668</v>
      </c>
      <c r="AB157">
        <v>123.4</v>
      </c>
      <c r="AC157">
        <f t="shared" si="64"/>
        <v>123.2</v>
      </c>
      <c r="AD157">
        <v>125.8</v>
      </c>
      <c r="AE157">
        <f t="shared" si="65"/>
        <v>125</v>
      </c>
      <c r="AF157">
        <v>124.3</v>
      </c>
      <c r="AG157">
        <f t="shared" si="66"/>
        <v>123.73333333333333</v>
      </c>
      <c r="AH157">
        <v>120.4</v>
      </c>
      <c r="AI157">
        <f t="shared" si="67"/>
        <v>119.93333333333332</v>
      </c>
      <c r="AJ157">
        <v>123.7</v>
      </c>
      <c r="AK157">
        <f t="shared" si="68"/>
        <v>123.16666666666667</v>
      </c>
      <c r="AL157">
        <v>118.6</v>
      </c>
      <c r="AM157">
        <f t="shared" si="69"/>
        <v>118</v>
      </c>
      <c r="AN157">
        <v>118.3</v>
      </c>
      <c r="AO157">
        <f t="shared" si="70"/>
        <v>117.5</v>
      </c>
      <c r="AP157">
        <v>119.2</v>
      </c>
      <c r="AQ157">
        <f t="shared" si="71"/>
        <v>118.66666666666667</v>
      </c>
      <c r="AR157">
        <v>116.7</v>
      </c>
      <c r="AS157">
        <f t="shared" si="72"/>
        <v>116.16666666666667</v>
      </c>
      <c r="AT157">
        <v>109.9</v>
      </c>
      <c r="AU157">
        <f t="shared" si="73"/>
        <v>109.33333333333333</v>
      </c>
      <c r="AV157">
        <v>115.4</v>
      </c>
      <c r="AW157">
        <f t="shared" si="74"/>
        <v>114.86666666666667</v>
      </c>
      <c r="AX157">
        <v>120.1</v>
      </c>
      <c r="AY157">
        <f t="shared" si="75"/>
        <v>119.83333333333333</v>
      </c>
      <c r="AZ157">
        <v>111</v>
      </c>
      <c r="BA157">
        <f t="shared" si="76"/>
        <v>110.96666666666665</v>
      </c>
      <c r="BB157">
        <v>114.7</v>
      </c>
      <c r="BC157">
        <f t="shared" si="77"/>
        <v>114.26666666666667</v>
      </c>
      <c r="BD157">
        <v>120.2</v>
      </c>
      <c r="BE157">
        <f t="shared" si="78"/>
        <v>119.8</v>
      </c>
    </row>
    <row r="158" spans="1:57" hidden="1">
      <c r="A158" t="s">
        <v>34</v>
      </c>
      <c r="B158">
        <v>2015</v>
      </c>
      <c r="C158" t="s">
        <v>37</v>
      </c>
      <c r="D158">
        <v>123.5</v>
      </c>
      <c r="E158">
        <f t="shared" si="52"/>
        <v>123.56666666666666</v>
      </c>
      <c r="F158">
        <v>126.4</v>
      </c>
      <c r="G158">
        <f t="shared" si="53"/>
        <v>125.63333333333333</v>
      </c>
      <c r="H158">
        <v>114.4</v>
      </c>
      <c r="I158">
        <f t="shared" si="54"/>
        <v>117.43333333333332</v>
      </c>
      <c r="J158">
        <v>126.6</v>
      </c>
      <c r="K158">
        <f t="shared" si="55"/>
        <v>126.09999999999998</v>
      </c>
      <c r="L158">
        <v>109.2</v>
      </c>
      <c r="M158">
        <f t="shared" si="56"/>
        <v>109.16666666666667</v>
      </c>
      <c r="N158">
        <v>132.5</v>
      </c>
      <c r="O158">
        <f t="shared" si="57"/>
        <v>128.63333333333333</v>
      </c>
      <c r="P158">
        <v>128.6</v>
      </c>
      <c r="Q158">
        <f t="shared" si="58"/>
        <v>129.06666666666669</v>
      </c>
      <c r="R158">
        <v>124.8</v>
      </c>
      <c r="S158">
        <f t="shared" si="59"/>
        <v>122.7</v>
      </c>
      <c r="T158">
        <v>95.7</v>
      </c>
      <c r="U158">
        <f t="shared" si="60"/>
        <v>97</v>
      </c>
      <c r="V158">
        <v>122.4</v>
      </c>
      <c r="W158">
        <f t="shared" si="61"/>
        <v>122.03333333333335</v>
      </c>
      <c r="X158">
        <v>118.5</v>
      </c>
      <c r="Y158">
        <f t="shared" si="62"/>
        <v>118.2</v>
      </c>
      <c r="Z158">
        <v>129.1</v>
      </c>
      <c r="AA158">
        <f t="shared" si="63"/>
        <v>128.36666666666667</v>
      </c>
      <c r="AB158">
        <v>124</v>
      </c>
      <c r="AC158">
        <f t="shared" si="64"/>
        <v>123.5</v>
      </c>
      <c r="AD158">
        <v>126.9</v>
      </c>
      <c r="AE158">
        <f t="shared" si="65"/>
        <v>125.96666666666665</v>
      </c>
      <c r="AF158">
        <v>124.7</v>
      </c>
      <c r="AG158">
        <f t="shared" si="66"/>
        <v>124.26666666666667</v>
      </c>
      <c r="AH158">
        <v>120.8</v>
      </c>
      <c r="AI158">
        <f t="shared" si="67"/>
        <v>120.43333333333334</v>
      </c>
      <c r="AJ158">
        <v>124.1</v>
      </c>
      <c r="AK158">
        <f t="shared" si="68"/>
        <v>123.7</v>
      </c>
      <c r="AL158">
        <v>119.2</v>
      </c>
      <c r="AM158">
        <f t="shared" si="69"/>
        <v>118.63333333333333</v>
      </c>
      <c r="AN158">
        <v>118.7</v>
      </c>
      <c r="AO158">
        <f t="shared" si="70"/>
        <v>118.23333333333333</v>
      </c>
      <c r="AP158">
        <v>119.7</v>
      </c>
      <c r="AQ158">
        <f t="shared" si="71"/>
        <v>119.2</v>
      </c>
      <c r="AR158">
        <v>117.1</v>
      </c>
      <c r="AS158">
        <f t="shared" si="72"/>
        <v>116.7</v>
      </c>
      <c r="AT158">
        <v>110.1</v>
      </c>
      <c r="AU158">
        <f t="shared" si="73"/>
        <v>109.56666666666668</v>
      </c>
      <c r="AV158">
        <v>115.9</v>
      </c>
      <c r="AW158">
        <f t="shared" si="74"/>
        <v>115.40000000000002</v>
      </c>
      <c r="AX158">
        <v>121</v>
      </c>
      <c r="AY158">
        <f t="shared" si="75"/>
        <v>120.26666666666667</v>
      </c>
      <c r="AZ158">
        <v>111.7</v>
      </c>
      <c r="BA158">
        <f t="shared" si="76"/>
        <v>111.3</v>
      </c>
      <c r="BB158">
        <v>115.1</v>
      </c>
      <c r="BC158">
        <f t="shared" si="77"/>
        <v>114.63333333333333</v>
      </c>
      <c r="BD158">
        <v>120.7</v>
      </c>
      <c r="BE158">
        <f t="shared" si="78"/>
        <v>120.2</v>
      </c>
    </row>
    <row r="159" spans="1:57" hidden="1">
      <c r="A159" t="s">
        <v>34</v>
      </c>
      <c r="B159">
        <v>2015</v>
      </c>
      <c r="C159" t="s">
        <v>38</v>
      </c>
      <c r="D159">
        <v>123.6</v>
      </c>
      <c r="E159">
        <f t="shared" si="52"/>
        <v>123.53333333333335</v>
      </c>
      <c r="F159">
        <v>128</v>
      </c>
      <c r="G159">
        <f t="shared" si="53"/>
        <v>126.60000000000001</v>
      </c>
      <c r="H159">
        <v>115</v>
      </c>
      <c r="I159">
        <f t="shared" si="54"/>
        <v>115.39999999999999</v>
      </c>
      <c r="J159">
        <v>127.3</v>
      </c>
      <c r="K159">
        <f t="shared" si="55"/>
        <v>126.63333333333333</v>
      </c>
      <c r="L159">
        <v>109.8</v>
      </c>
      <c r="M159">
        <f t="shared" si="56"/>
        <v>109.39999999999999</v>
      </c>
      <c r="N159">
        <v>132.6</v>
      </c>
      <c r="O159">
        <f t="shared" si="57"/>
        <v>130.9</v>
      </c>
      <c r="P159">
        <v>130.9</v>
      </c>
      <c r="Q159">
        <f t="shared" si="58"/>
        <v>129.56666666666663</v>
      </c>
      <c r="R159">
        <v>130.5</v>
      </c>
      <c r="S159">
        <f t="shared" si="59"/>
        <v>125.89999999999999</v>
      </c>
      <c r="T159">
        <v>95.3</v>
      </c>
      <c r="U159">
        <f t="shared" si="60"/>
        <v>96</v>
      </c>
      <c r="V159">
        <v>123.4</v>
      </c>
      <c r="W159">
        <f t="shared" si="61"/>
        <v>122.63333333333333</v>
      </c>
      <c r="X159">
        <v>119.2</v>
      </c>
      <c r="Y159">
        <f t="shared" si="62"/>
        <v>118.60000000000001</v>
      </c>
      <c r="Z159">
        <v>129.80000000000001</v>
      </c>
      <c r="AA159">
        <f t="shared" si="63"/>
        <v>129.1</v>
      </c>
      <c r="AB159">
        <v>125</v>
      </c>
      <c r="AC159">
        <f t="shared" si="64"/>
        <v>124.13333333333333</v>
      </c>
      <c r="AD159">
        <v>127.9</v>
      </c>
      <c r="AE159">
        <f t="shared" si="65"/>
        <v>126.86666666666667</v>
      </c>
      <c r="AF159">
        <v>125.4</v>
      </c>
      <c r="AG159">
        <f t="shared" si="66"/>
        <v>124.8</v>
      </c>
      <c r="AH159">
        <v>121.3</v>
      </c>
      <c r="AI159">
        <f t="shared" si="67"/>
        <v>120.83333333333333</v>
      </c>
      <c r="AJ159">
        <v>124.7</v>
      </c>
      <c r="AK159">
        <f t="shared" si="68"/>
        <v>124.16666666666667</v>
      </c>
      <c r="AL159">
        <v>119.6</v>
      </c>
      <c r="AM159">
        <f t="shared" si="69"/>
        <v>119.13333333333333</v>
      </c>
      <c r="AN159">
        <v>119.2</v>
      </c>
      <c r="AO159">
        <f t="shared" si="70"/>
        <v>118.73333333333333</v>
      </c>
      <c r="AP159">
        <v>120.2</v>
      </c>
      <c r="AQ159">
        <f t="shared" si="71"/>
        <v>119.7</v>
      </c>
      <c r="AR159">
        <v>117.7</v>
      </c>
      <c r="AS159">
        <f t="shared" si="72"/>
        <v>117.16666666666667</v>
      </c>
      <c r="AT159">
        <v>112</v>
      </c>
      <c r="AU159">
        <f t="shared" si="73"/>
        <v>110.66666666666667</v>
      </c>
      <c r="AV159">
        <v>116.3</v>
      </c>
      <c r="AW159">
        <f t="shared" si="74"/>
        <v>115.86666666666667</v>
      </c>
      <c r="AX159">
        <v>121.4</v>
      </c>
      <c r="AY159">
        <f t="shared" si="75"/>
        <v>120.83333333333333</v>
      </c>
      <c r="AZ159">
        <v>112.3</v>
      </c>
      <c r="BA159">
        <f t="shared" si="76"/>
        <v>111.66666666666667</v>
      </c>
      <c r="BB159">
        <v>116.1</v>
      </c>
      <c r="BC159">
        <f t="shared" si="77"/>
        <v>115.3</v>
      </c>
      <c r="BD159">
        <v>121.6</v>
      </c>
      <c r="BE159">
        <f t="shared" si="78"/>
        <v>120.83333333333333</v>
      </c>
    </row>
    <row r="160" spans="1:57" hidden="1">
      <c r="A160" t="s">
        <v>34</v>
      </c>
      <c r="B160">
        <v>2015</v>
      </c>
      <c r="C160" t="s">
        <v>39</v>
      </c>
      <c r="D160">
        <v>123.9</v>
      </c>
      <c r="E160">
        <f t="shared" si="52"/>
        <v>123.66666666666667</v>
      </c>
      <c r="F160">
        <v>131.80000000000001</v>
      </c>
      <c r="G160">
        <f t="shared" si="53"/>
        <v>128.73333333333335</v>
      </c>
      <c r="H160">
        <v>121.6</v>
      </c>
      <c r="I160">
        <f t="shared" si="54"/>
        <v>117</v>
      </c>
      <c r="J160">
        <v>128.19999999999999</v>
      </c>
      <c r="K160">
        <f t="shared" si="55"/>
        <v>127.36666666666666</v>
      </c>
      <c r="L160">
        <v>111.1</v>
      </c>
      <c r="M160">
        <f t="shared" si="56"/>
        <v>110.03333333333335</v>
      </c>
      <c r="N160">
        <v>132.80000000000001</v>
      </c>
      <c r="O160">
        <f t="shared" si="57"/>
        <v>132.63333333333335</v>
      </c>
      <c r="P160">
        <v>139.1</v>
      </c>
      <c r="Q160">
        <f t="shared" si="58"/>
        <v>132.86666666666667</v>
      </c>
      <c r="R160">
        <v>137.4</v>
      </c>
      <c r="S160">
        <f t="shared" si="59"/>
        <v>130.9</v>
      </c>
      <c r="T160">
        <v>94.1</v>
      </c>
      <c r="U160">
        <f t="shared" si="60"/>
        <v>95.033333333333346</v>
      </c>
      <c r="V160">
        <v>125.5</v>
      </c>
      <c r="W160">
        <f t="shared" si="61"/>
        <v>123.76666666666667</v>
      </c>
      <c r="X160">
        <v>119.8</v>
      </c>
      <c r="Y160">
        <f t="shared" si="62"/>
        <v>119.16666666666667</v>
      </c>
      <c r="Z160">
        <v>130.9</v>
      </c>
      <c r="AA160">
        <f t="shared" si="63"/>
        <v>129.93333333333331</v>
      </c>
      <c r="AB160">
        <v>127.3</v>
      </c>
      <c r="AC160">
        <f t="shared" si="64"/>
        <v>125.43333333333334</v>
      </c>
      <c r="AD160">
        <v>129.19999999999999</v>
      </c>
      <c r="AE160">
        <f t="shared" si="65"/>
        <v>128</v>
      </c>
      <c r="AF160">
        <v>126.4</v>
      </c>
      <c r="AG160">
        <f t="shared" si="66"/>
        <v>125.5</v>
      </c>
      <c r="AH160">
        <v>122</v>
      </c>
      <c r="AI160">
        <f t="shared" si="67"/>
        <v>121.36666666666667</v>
      </c>
      <c r="AJ160">
        <v>125.7</v>
      </c>
      <c r="AK160">
        <f t="shared" si="68"/>
        <v>124.83333333333333</v>
      </c>
      <c r="AL160">
        <v>119</v>
      </c>
      <c r="AM160">
        <f t="shared" si="69"/>
        <v>119.26666666666667</v>
      </c>
      <c r="AN160">
        <v>119.8</v>
      </c>
      <c r="AO160">
        <f t="shared" si="70"/>
        <v>119.23333333333333</v>
      </c>
      <c r="AP160">
        <v>121.1</v>
      </c>
      <c r="AQ160">
        <f t="shared" si="71"/>
        <v>120.33333333333333</v>
      </c>
      <c r="AR160">
        <v>118.5</v>
      </c>
      <c r="AS160">
        <f t="shared" si="72"/>
        <v>117.76666666666667</v>
      </c>
      <c r="AT160">
        <v>112.9</v>
      </c>
      <c r="AU160">
        <f t="shared" si="73"/>
        <v>111.66666666666667</v>
      </c>
      <c r="AV160">
        <v>116.9</v>
      </c>
      <c r="AW160">
        <f t="shared" si="74"/>
        <v>116.36666666666667</v>
      </c>
      <c r="AX160">
        <v>123.1</v>
      </c>
      <c r="AY160">
        <f t="shared" si="75"/>
        <v>121.83333333333333</v>
      </c>
      <c r="AZ160">
        <v>112.8</v>
      </c>
      <c r="BA160">
        <f t="shared" si="76"/>
        <v>112.26666666666667</v>
      </c>
      <c r="BB160">
        <v>117</v>
      </c>
      <c r="BC160">
        <f t="shared" si="77"/>
        <v>116.06666666666666</v>
      </c>
      <c r="BD160">
        <v>123</v>
      </c>
      <c r="BE160">
        <f t="shared" si="78"/>
        <v>121.76666666666667</v>
      </c>
    </row>
    <row r="161" spans="1:57" hidden="1">
      <c r="A161" t="s">
        <v>34</v>
      </c>
      <c r="B161">
        <v>2015</v>
      </c>
      <c r="C161" t="s">
        <v>40</v>
      </c>
      <c r="D161">
        <v>123.7</v>
      </c>
      <c r="E161">
        <f t="shared" si="52"/>
        <v>123.73333333333333</v>
      </c>
      <c r="F161">
        <v>132.5</v>
      </c>
      <c r="G161">
        <f t="shared" si="53"/>
        <v>130.76666666666668</v>
      </c>
      <c r="H161">
        <v>121</v>
      </c>
      <c r="I161">
        <f t="shared" si="54"/>
        <v>119.2</v>
      </c>
      <c r="J161">
        <v>128.30000000000001</v>
      </c>
      <c r="K161">
        <f t="shared" si="55"/>
        <v>127.93333333333334</v>
      </c>
      <c r="L161">
        <v>110.9</v>
      </c>
      <c r="M161">
        <f t="shared" si="56"/>
        <v>110.59999999999998</v>
      </c>
      <c r="N161">
        <v>133.1</v>
      </c>
      <c r="O161">
        <f t="shared" si="57"/>
        <v>132.83333333333334</v>
      </c>
      <c r="P161">
        <v>145.1</v>
      </c>
      <c r="Q161">
        <f t="shared" si="58"/>
        <v>138.36666666666667</v>
      </c>
      <c r="R161">
        <v>139.1</v>
      </c>
      <c r="S161">
        <f t="shared" si="59"/>
        <v>135.66666666666666</v>
      </c>
      <c r="T161">
        <v>91.3</v>
      </c>
      <c r="U161">
        <f t="shared" si="60"/>
        <v>93.566666666666663</v>
      </c>
      <c r="V161">
        <v>126.1</v>
      </c>
      <c r="W161">
        <f t="shared" si="61"/>
        <v>125</v>
      </c>
      <c r="X161">
        <v>119.9</v>
      </c>
      <c r="Y161">
        <f t="shared" si="62"/>
        <v>119.63333333333333</v>
      </c>
      <c r="Z161">
        <v>131.4</v>
      </c>
      <c r="AA161">
        <f t="shared" si="63"/>
        <v>130.70000000000002</v>
      </c>
      <c r="AB161">
        <v>128.19999999999999</v>
      </c>
      <c r="AC161">
        <f t="shared" si="64"/>
        <v>126.83333333333333</v>
      </c>
      <c r="AD161">
        <v>130.4</v>
      </c>
      <c r="AE161">
        <f t="shared" si="65"/>
        <v>129.16666666666666</v>
      </c>
      <c r="AF161">
        <v>126.7</v>
      </c>
      <c r="AG161">
        <f t="shared" si="66"/>
        <v>126.16666666666667</v>
      </c>
      <c r="AH161">
        <v>122.3</v>
      </c>
      <c r="AI161">
        <f t="shared" si="67"/>
        <v>121.86666666666667</v>
      </c>
      <c r="AJ161">
        <v>126.1</v>
      </c>
      <c r="AK161">
        <f t="shared" si="68"/>
        <v>125.5</v>
      </c>
      <c r="AL161">
        <v>119.9</v>
      </c>
      <c r="AM161">
        <f t="shared" si="69"/>
        <v>119.5</v>
      </c>
      <c r="AN161">
        <v>120.1</v>
      </c>
      <c r="AO161">
        <f t="shared" si="70"/>
        <v>119.7</v>
      </c>
      <c r="AP161">
        <v>121.3</v>
      </c>
      <c r="AQ161">
        <f t="shared" si="71"/>
        <v>120.86666666666667</v>
      </c>
      <c r="AR161">
        <v>119</v>
      </c>
      <c r="AS161">
        <f t="shared" si="72"/>
        <v>118.39999999999999</v>
      </c>
      <c r="AT161">
        <v>112.7</v>
      </c>
      <c r="AU161">
        <f t="shared" si="73"/>
        <v>112.53333333333335</v>
      </c>
      <c r="AV161">
        <v>117.2</v>
      </c>
      <c r="AW161">
        <f t="shared" si="74"/>
        <v>116.8</v>
      </c>
      <c r="AX161">
        <v>124.4</v>
      </c>
      <c r="AY161">
        <f t="shared" si="75"/>
        <v>122.96666666666665</v>
      </c>
      <c r="AZ161">
        <v>112.3</v>
      </c>
      <c r="BA161">
        <f t="shared" si="76"/>
        <v>112.46666666666665</v>
      </c>
      <c r="BB161">
        <v>117.2</v>
      </c>
      <c r="BC161">
        <f t="shared" si="77"/>
        <v>116.76666666666667</v>
      </c>
      <c r="BD161">
        <v>123.6</v>
      </c>
      <c r="BE161">
        <f t="shared" si="78"/>
        <v>122.73333333333333</v>
      </c>
    </row>
    <row r="162" spans="1:57" hidden="1">
      <c r="A162" t="s">
        <v>34</v>
      </c>
      <c r="B162">
        <v>2015</v>
      </c>
      <c r="C162" t="s">
        <v>41</v>
      </c>
      <c r="D162">
        <v>124.2</v>
      </c>
      <c r="E162">
        <f t="shared" si="52"/>
        <v>123.93333333333334</v>
      </c>
      <c r="F162">
        <v>131.4</v>
      </c>
      <c r="G162">
        <f t="shared" si="53"/>
        <v>131.9</v>
      </c>
      <c r="H162">
        <v>120.1</v>
      </c>
      <c r="I162">
        <f t="shared" si="54"/>
        <v>120.89999999999999</v>
      </c>
      <c r="J162">
        <v>128.5</v>
      </c>
      <c r="K162">
        <f t="shared" si="55"/>
        <v>128.33333333333334</v>
      </c>
      <c r="L162">
        <v>111.4</v>
      </c>
      <c r="M162">
        <f t="shared" si="56"/>
        <v>111.13333333333333</v>
      </c>
      <c r="N162">
        <v>132.30000000000001</v>
      </c>
      <c r="O162">
        <f t="shared" si="57"/>
        <v>132.73333333333332</v>
      </c>
      <c r="P162">
        <v>157.6</v>
      </c>
      <c r="Q162">
        <f t="shared" si="58"/>
        <v>147.26666666666665</v>
      </c>
      <c r="R162">
        <v>144</v>
      </c>
      <c r="S162">
        <f t="shared" si="59"/>
        <v>140.16666666666666</v>
      </c>
      <c r="T162">
        <v>90.5</v>
      </c>
      <c r="U162">
        <f t="shared" si="60"/>
        <v>91.966666666666654</v>
      </c>
      <c r="V162">
        <v>126.8</v>
      </c>
      <c r="W162">
        <f t="shared" si="61"/>
        <v>126.13333333333333</v>
      </c>
      <c r="X162">
        <v>120.4</v>
      </c>
      <c r="Y162">
        <f t="shared" si="62"/>
        <v>120.03333333333335</v>
      </c>
      <c r="Z162">
        <v>132.1</v>
      </c>
      <c r="AA162">
        <f t="shared" si="63"/>
        <v>131.46666666666667</v>
      </c>
      <c r="AB162">
        <v>130.30000000000001</v>
      </c>
      <c r="AC162">
        <f t="shared" si="64"/>
        <v>128.6</v>
      </c>
      <c r="AD162">
        <v>131.19999999999999</v>
      </c>
      <c r="AE162">
        <f t="shared" si="65"/>
        <v>130.26666666666668</v>
      </c>
      <c r="AF162">
        <v>127.2</v>
      </c>
      <c r="AG162">
        <f t="shared" si="66"/>
        <v>126.76666666666667</v>
      </c>
      <c r="AH162">
        <v>122.9</v>
      </c>
      <c r="AI162">
        <f t="shared" si="67"/>
        <v>122.40000000000002</v>
      </c>
      <c r="AJ162">
        <v>126.6</v>
      </c>
      <c r="AK162">
        <f t="shared" si="68"/>
        <v>126.13333333333333</v>
      </c>
      <c r="AL162">
        <v>120.9</v>
      </c>
      <c r="AM162">
        <f t="shared" si="69"/>
        <v>119.93333333333334</v>
      </c>
      <c r="AN162">
        <v>120.6</v>
      </c>
      <c r="AO162">
        <f t="shared" si="70"/>
        <v>120.16666666666667</v>
      </c>
      <c r="AP162">
        <v>122</v>
      </c>
      <c r="AQ162">
        <f t="shared" si="71"/>
        <v>121.46666666666665</v>
      </c>
      <c r="AR162">
        <v>119.4</v>
      </c>
      <c r="AS162">
        <f t="shared" si="72"/>
        <v>118.96666666666665</v>
      </c>
      <c r="AT162">
        <v>111.7</v>
      </c>
      <c r="AU162">
        <f t="shared" si="73"/>
        <v>112.43333333333334</v>
      </c>
      <c r="AV162">
        <v>117.8</v>
      </c>
      <c r="AW162">
        <f t="shared" si="74"/>
        <v>117.30000000000001</v>
      </c>
      <c r="AX162">
        <v>125.1</v>
      </c>
      <c r="AY162">
        <f t="shared" si="75"/>
        <v>124.2</v>
      </c>
      <c r="AZ162">
        <v>112.3</v>
      </c>
      <c r="BA162">
        <f t="shared" si="76"/>
        <v>112.46666666666665</v>
      </c>
      <c r="BB162">
        <v>117.2</v>
      </c>
      <c r="BC162">
        <f t="shared" si="77"/>
        <v>117.13333333333333</v>
      </c>
      <c r="BD162">
        <v>124.8</v>
      </c>
      <c r="BE162">
        <f t="shared" si="78"/>
        <v>123.8</v>
      </c>
    </row>
    <row r="163" spans="1:57" hidden="1">
      <c r="A163" t="s">
        <v>34</v>
      </c>
      <c r="B163">
        <v>2015</v>
      </c>
      <c r="C163" t="s">
        <v>42</v>
      </c>
      <c r="D163">
        <v>124.6</v>
      </c>
      <c r="E163">
        <f t="shared" si="52"/>
        <v>124.16666666666667</v>
      </c>
      <c r="F163">
        <v>130.4</v>
      </c>
      <c r="G163">
        <f t="shared" si="53"/>
        <v>131.43333333333331</v>
      </c>
      <c r="H163">
        <v>118.7</v>
      </c>
      <c r="I163">
        <f t="shared" si="54"/>
        <v>119.93333333333334</v>
      </c>
      <c r="J163">
        <v>128.9</v>
      </c>
      <c r="K163">
        <f t="shared" si="55"/>
        <v>128.56666666666669</v>
      </c>
      <c r="L163">
        <v>111.9</v>
      </c>
      <c r="M163">
        <f t="shared" si="56"/>
        <v>111.40000000000002</v>
      </c>
      <c r="N163">
        <v>128.4</v>
      </c>
      <c r="O163">
        <f t="shared" si="57"/>
        <v>131.26666666666665</v>
      </c>
      <c r="P163">
        <v>162.19999999999999</v>
      </c>
      <c r="Q163">
        <f t="shared" si="58"/>
        <v>154.96666666666667</v>
      </c>
      <c r="R163">
        <v>150</v>
      </c>
      <c r="S163">
        <f t="shared" si="59"/>
        <v>144.36666666666667</v>
      </c>
      <c r="T163">
        <v>90.4</v>
      </c>
      <c r="U163">
        <f t="shared" si="60"/>
        <v>90.733333333333348</v>
      </c>
      <c r="V163">
        <v>128.4</v>
      </c>
      <c r="W163">
        <f t="shared" si="61"/>
        <v>127.09999999999998</v>
      </c>
      <c r="X163">
        <v>120.7</v>
      </c>
      <c r="Y163">
        <f t="shared" si="62"/>
        <v>120.33333333333333</v>
      </c>
      <c r="Z163">
        <v>132.5</v>
      </c>
      <c r="AA163">
        <f t="shared" si="63"/>
        <v>132</v>
      </c>
      <c r="AB163">
        <v>131.19999999999999</v>
      </c>
      <c r="AC163">
        <f t="shared" si="64"/>
        <v>129.9</v>
      </c>
      <c r="AD163">
        <v>132</v>
      </c>
      <c r="AE163">
        <f t="shared" si="65"/>
        <v>131.20000000000002</v>
      </c>
      <c r="AF163">
        <v>127.9</v>
      </c>
      <c r="AG163">
        <f t="shared" si="66"/>
        <v>127.26666666666667</v>
      </c>
      <c r="AH163">
        <v>123.4</v>
      </c>
      <c r="AI163">
        <f t="shared" si="67"/>
        <v>122.86666666666667</v>
      </c>
      <c r="AJ163">
        <v>127.2</v>
      </c>
      <c r="AK163">
        <f t="shared" si="68"/>
        <v>126.63333333333333</v>
      </c>
      <c r="AL163">
        <v>121.6</v>
      </c>
      <c r="AM163">
        <f t="shared" si="69"/>
        <v>120.8</v>
      </c>
      <c r="AN163">
        <v>120.4</v>
      </c>
      <c r="AO163">
        <f t="shared" si="70"/>
        <v>120.36666666666667</v>
      </c>
      <c r="AP163">
        <v>122.6</v>
      </c>
      <c r="AQ163">
        <f t="shared" si="71"/>
        <v>121.96666666666665</v>
      </c>
      <c r="AR163">
        <v>119.8</v>
      </c>
      <c r="AS163">
        <f t="shared" si="72"/>
        <v>119.39999999999999</v>
      </c>
      <c r="AT163">
        <v>111.3</v>
      </c>
      <c r="AU163">
        <f t="shared" si="73"/>
        <v>111.89999999999999</v>
      </c>
      <c r="AV163">
        <v>118.3</v>
      </c>
      <c r="AW163">
        <f t="shared" si="74"/>
        <v>117.76666666666667</v>
      </c>
      <c r="AX163">
        <v>125.7</v>
      </c>
      <c r="AY163">
        <f t="shared" si="75"/>
        <v>125.06666666666666</v>
      </c>
      <c r="AZ163">
        <v>113.4</v>
      </c>
      <c r="BA163">
        <f t="shared" si="76"/>
        <v>112.66666666666667</v>
      </c>
      <c r="BB163">
        <v>117.5</v>
      </c>
      <c r="BC163">
        <f t="shared" si="77"/>
        <v>117.3</v>
      </c>
      <c r="BD163">
        <v>125.4</v>
      </c>
      <c r="BE163">
        <f t="shared" si="78"/>
        <v>124.59999999999998</v>
      </c>
    </row>
    <row r="164" spans="1:57" hidden="1">
      <c r="A164" t="s">
        <v>34</v>
      </c>
      <c r="B164">
        <v>2015</v>
      </c>
      <c r="C164" t="s">
        <v>43</v>
      </c>
      <c r="D164">
        <v>125</v>
      </c>
      <c r="E164">
        <f t="shared" si="52"/>
        <v>124.60000000000001</v>
      </c>
      <c r="F164">
        <v>129.80000000000001</v>
      </c>
      <c r="G164">
        <f t="shared" si="53"/>
        <v>130.53333333333333</v>
      </c>
      <c r="H164">
        <v>118.9</v>
      </c>
      <c r="I164">
        <f t="shared" si="54"/>
        <v>119.23333333333335</v>
      </c>
      <c r="J164">
        <v>129.1</v>
      </c>
      <c r="K164">
        <f t="shared" si="55"/>
        <v>128.83333333333334</v>
      </c>
      <c r="L164">
        <v>113.3</v>
      </c>
      <c r="M164">
        <f t="shared" si="56"/>
        <v>112.2</v>
      </c>
      <c r="N164">
        <v>129</v>
      </c>
      <c r="O164">
        <f t="shared" si="57"/>
        <v>129.9</v>
      </c>
      <c r="P164">
        <v>160.4</v>
      </c>
      <c r="Q164">
        <f t="shared" si="58"/>
        <v>160.06666666666663</v>
      </c>
      <c r="R164">
        <v>165.3</v>
      </c>
      <c r="S164">
        <f t="shared" si="59"/>
        <v>153.1</v>
      </c>
      <c r="T164">
        <v>92.3</v>
      </c>
      <c r="U164">
        <f t="shared" si="60"/>
        <v>91.066666666666663</v>
      </c>
      <c r="V164">
        <v>129.69999999999999</v>
      </c>
      <c r="W164">
        <f t="shared" si="61"/>
        <v>128.29999999999998</v>
      </c>
      <c r="X164">
        <v>121.1</v>
      </c>
      <c r="Y164">
        <f t="shared" si="62"/>
        <v>120.73333333333335</v>
      </c>
      <c r="Z164">
        <v>133</v>
      </c>
      <c r="AA164">
        <f t="shared" si="63"/>
        <v>132.53333333333333</v>
      </c>
      <c r="AB164">
        <v>132.1</v>
      </c>
      <c r="AC164">
        <f t="shared" si="64"/>
        <v>131.20000000000002</v>
      </c>
      <c r="AD164">
        <v>132.5</v>
      </c>
      <c r="AE164">
        <f t="shared" si="65"/>
        <v>131.9</v>
      </c>
      <c r="AF164">
        <v>128.5</v>
      </c>
      <c r="AG164">
        <f t="shared" si="66"/>
        <v>127.86666666666667</v>
      </c>
      <c r="AH164">
        <v>123.8</v>
      </c>
      <c r="AI164">
        <f t="shared" si="67"/>
        <v>123.36666666666667</v>
      </c>
      <c r="AJ164">
        <v>127.8</v>
      </c>
      <c r="AK164">
        <f t="shared" si="68"/>
        <v>127.2</v>
      </c>
      <c r="AL164">
        <v>122.4</v>
      </c>
      <c r="AM164">
        <f t="shared" si="69"/>
        <v>121.63333333333333</v>
      </c>
      <c r="AN164">
        <v>120.8</v>
      </c>
      <c r="AO164">
        <f t="shared" si="70"/>
        <v>120.60000000000001</v>
      </c>
      <c r="AP164">
        <v>123</v>
      </c>
      <c r="AQ164">
        <f t="shared" si="71"/>
        <v>122.53333333333335</v>
      </c>
      <c r="AR164">
        <v>120.4</v>
      </c>
      <c r="AS164">
        <f t="shared" si="72"/>
        <v>119.86666666666667</v>
      </c>
      <c r="AT164">
        <v>111.4</v>
      </c>
      <c r="AU164">
        <f t="shared" si="73"/>
        <v>111.46666666666665</v>
      </c>
      <c r="AV164">
        <v>118.7</v>
      </c>
      <c r="AW164">
        <f t="shared" si="74"/>
        <v>118.26666666666667</v>
      </c>
      <c r="AX164">
        <v>125.9</v>
      </c>
      <c r="AY164">
        <f t="shared" si="75"/>
        <v>125.56666666666668</v>
      </c>
      <c r="AZ164">
        <v>113.9</v>
      </c>
      <c r="BA164">
        <f t="shared" si="76"/>
        <v>113.2</v>
      </c>
      <c r="BB164">
        <v>117.9</v>
      </c>
      <c r="BC164">
        <f t="shared" si="77"/>
        <v>117.53333333333335</v>
      </c>
      <c r="BD164">
        <v>126.1</v>
      </c>
      <c r="BE164">
        <f t="shared" si="78"/>
        <v>125.43333333333332</v>
      </c>
    </row>
    <row r="165" spans="1:57" hidden="1">
      <c r="A165" t="s">
        <v>34</v>
      </c>
      <c r="B165">
        <v>2015</v>
      </c>
      <c r="C165" t="s">
        <v>45</v>
      </c>
      <c r="D165">
        <v>125.4</v>
      </c>
      <c r="E165">
        <f t="shared" si="52"/>
        <v>125</v>
      </c>
      <c r="F165">
        <v>130.30000000000001</v>
      </c>
      <c r="G165">
        <f t="shared" si="53"/>
        <v>130.16666666666669</v>
      </c>
      <c r="H165">
        <v>121.6</v>
      </c>
      <c r="I165">
        <f t="shared" si="54"/>
        <v>119.73333333333335</v>
      </c>
      <c r="J165">
        <v>129.19999999999999</v>
      </c>
      <c r="K165">
        <f t="shared" si="55"/>
        <v>129.06666666666666</v>
      </c>
      <c r="L165">
        <v>114.9</v>
      </c>
      <c r="M165">
        <f t="shared" si="56"/>
        <v>113.36666666666667</v>
      </c>
      <c r="N165">
        <v>128.19999999999999</v>
      </c>
      <c r="O165">
        <f t="shared" si="57"/>
        <v>128.53333333333333</v>
      </c>
      <c r="P165">
        <v>158.4</v>
      </c>
      <c r="Q165">
        <f t="shared" si="58"/>
        <v>160.33333333333334</v>
      </c>
      <c r="R165">
        <v>171.2</v>
      </c>
      <c r="S165">
        <f t="shared" si="59"/>
        <v>162.16666666666666</v>
      </c>
      <c r="T165">
        <v>93.3</v>
      </c>
      <c r="U165">
        <f t="shared" si="60"/>
        <v>92</v>
      </c>
      <c r="V165">
        <v>131.19999999999999</v>
      </c>
      <c r="W165">
        <f t="shared" si="61"/>
        <v>129.76666666666668</v>
      </c>
      <c r="X165">
        <v>121.7</v>
      </c>
      <c r="Y165">
        <f t="shared" si="62"/>
        <v>121.16666666666667</v>
      </c>
      <c r="Z165">
        <v>134</v>
      </c>
      <c r="AA165">
        <f t="shared" si="63"/>
        <v>133.16666666666666</v>
      </c>
      <c r="AB165">
        <v>132.69999999999999</v>
      </c>
      <c r="AC165">
        <f t="shared" si="64"/>
        <v>131.99999999999997</v>
      </c>
      <c r="AD165">
        <v>133.6</v>
      </c>
      <c r="AE165">
        <f t="shared" si="65"/>
        <v>132.70000000000002</v>
      </c>
      <c r="AF165">
        <v>129.30000000000001</v>
      </c>
      <c r="AG165">
        <f t="shared" si="66"/>
        <v>128.56666666666666</v>
      </c>
      <c r="AH165">
        <v>124.5</v>
      </c>
      <c r="AI165">
        <f t="shared" si="67"/>
        <v>123.89999999999999</v>
      </c>
      <c r="AJ165">
        <v>128.6</v>
      </c>
      <c r="AK165">
        <f t="shared" si="68"/>
        <v>127.86666666666667</v>
      </c>
      <c r="AL165">
        <v>122.9</v>
      </c>
      <c r="AM165">
        <f t="shared" si="69"/>
        <v>122.3</v>
      </c>
      <c r="AN165">
        <v>121.6</v>
      </c>
      <c r="AO165">
        <f t="shared" si="70"/>
        <v>120.93333333333332</v>
      </c>
      <c r="AP165">
        <v>123.4</v>
      </c>
      <c r="AQ165">
        <f t="shared" si="71"/>
        <v>123</v>
      </c>
      <c r="AR165">
        <v>120.9</v>
      </c>
      <c r="AS165">
        <f t="shared" si="72"/>
        <v>120.36666666666667</v>
      </c>
      <c r="AT165">
        <v>111.5</v>
      </c>
      <c r="AU165">
        <f t="shared" si="73"/>
        <v>111.39999999999999</v>
      </c>
      <c r="AV165">
        <v>119.2</v>
      </c>
      <c r="AW165">
        <f t="shared" si="74"/>
        <v>118.73333333333333</v>
      </c>
      <c r="AX165">
        <v>126.3</v>
      </c>
      <c r="AY165">
        <f t="shared" si="75"/>
        <v>125.96666666666668</v>
      </c>
      <c r="AZ165">
        <v>113.8</v>
      </c>
      <c r="BA165">
        <f t="shared" si="76"/>
        <v>113.7</v>
      </c>
      <c r="BB165">
        <v>118.1</v>
      </c>
      <c r="BC165">
        <f t="shared" si="77"/>
        <v>117.83333333333333</v>
      </c>
      <c r="BD165">
        <v>126.6</v>
      </c>
      <c r="BE165">
        <f t="shared" si="78"/>
        <v>126.03333333333335</v>
      </c>
    </row>
    <row r="166" spans="1:57" hidden="1">
      <c r="A166" t="s">
        <v>34</v>
      </c>
      <c r="B166">
        <v>2015</v>
      </c>
      <c r="C166" t="s">
        <v>46</v>
      </c>
      <c r="D166">
        <v>125.7</v>
      </c>
      <c r="E166">
        <f t="shared" si="52"/>
        <v>125.36666666666667</v>
      </c>
      <c r="F166">
        <v>131.4</v>
      </c>
      <c r="G166">
        <f t="shared" si="53"/>
        <v>130.5</v>
      </c>
      <c r="H166">
        <v>124.8</v>
      </c>
      <c r="I166">
        <f t="shared" si="54"/>
        <v>121.76666666666667</v>
      </c>
      <c r="J166">
        <v>129.4</v>
      </c>
      <c r="K166">
        <f t="shared" si="55"/>
        <v>129.23333333333332</v>
      </c>
      <c r="L166">
        <v>115.3</v>
      </c>
      <c r="M166">
        <f t="shared" si="56"/>
        <v>114.5</v>
      </c>
      <c r="N166">
        <v>126.6</v>
      </c>
      <c r="O166">
        <f t="shared" si="57"/>
        <v>127.93333333333332</v>
      </c>
      <c r="P166">
        <v>146.69999999999999</v>
      </c>
      <c r="Q166">
        <f t="shared" si="58"/>
        <v>155.16666666666666</v>
      </c>
      <c r="R166">
        <v>171.5</v>
      </c>
      <c r="S166">
        <f t="shared" si="59"/>
        <v>169.33333333333334</v>
      </c>
      <c r="T166">
        <v>94.5</v>
      </c>
      <c r="U166">
        <f t="shared" si="60"/>
        <v>93.366666666666674</v>
      </c>
      <c r="V166">
        <v>132.1</v>
      </c>
      <c r="W166">
        <f t="shared" si="61"/>
        <v>131</v>
      </c>
      <c r="X166">
        <v>122</v>
      </c>
      <c r="Y166">
        <f t="shared" si="62"/>
        <v>121.60000000000001</v>
      </c>
      <c r="Z166">
        <v>134.69999999999999</v>
      </c>
      <c r="AA166">
        <f t="shared" si="63"/>
        <v>133.9</v>
      </c>
      <c r="AB166">
        <v>131.4</v>
      </c>
      <c r="AC166">
        <f t="shared" si="64"/>
        <v>132.06666666666663</v>
      </c>
      <c r="AD166">
        <v>134.5</v>
      </c>
      <c r="AE166">
        <f t="shared" si="65"/>
        <v>133.53333333333333</v>
      </c>
      <c r="AF166">
        <v>129.69999999999999</v>
      </c>
      <c r="AG166">
        <f t="shared" si="66"/>
        <v>129.16666666666666</v>
      </c>
      <c r="AH166">
        <v>124.8</v>
      </c>
      <c r="AI166">
        <f t="shared" si="67"/>
        <v>124.36666666666667</v>
      </c>
      <c r="AJ166">
        <v>129</v>
      </c>
      <c r="AK166">
        <f t="shared" si="68"/>
        <v>128.46666666666667</v>
      </c>
      <c r="AL166">
        <v>122.4</v>
      </c>
      <c r="AM166">
        <f t="shared" si="69"/>
        <v>122.56666666666668</v>
      </c>
      <c r="AN166">
        <v>122</v>
      </c>
      <c r="AO166">
        <f t="shared" si="70"/>
        <v>121.46666666666665</v>
      </c>
      <c r="AP166">
        <v>123.6</v>
      </c>
      <c r="AQ166">
        <f t="shared" si="71"/>
        <v>123.33333333333333</v>
      </c>
      <c r="AR166">
        <v>121.4</v>
      </c>
      <c r="AS166">
        <f t="shared" si="72"/>
        <v>120.90000000000002</v>
      </c>
      <c r="AT166">
        <v>111.5</v>
      </c>
      <c r="AU166">
        <f t="shared" si="73"/>
        <v>111.46666666666665</v>
      </c>
      <c r="AV166">
        <v>119.6</v>
      </c>
      <c r="AW166">
        <f t="shared" si="74"/>
        <v>119.16666666666667</v>
      </c>
      <c r="AX166">
        <v>126.2</v>
      </c>
      <c r="AY166">
        <f t="shared" si="75"/>
        <v>126.13333333333333</v>
      </c>
      <c r="AZ166">
        <v>113.7</v>
      </c>
      <c r="BA166">
        <f t="shared" si="76"/>
        <v>113.8</v>
      </c>
      <c r="BB166">
        <v>118.3</v>
      </c>
      <c r="BC166">
        <f t="shared" si="77"/>
        <v>118.10000000000001</v>
      </c>
      <c r="BD166">
        <v>126.1</v>
      </c>
      <c r="BE166">
        <f t="shared" si="78"/>
        <v>126.26666666666665</v>
      </c>
    </row>
    <row r="167" spans="1:57" hidden="1">
      <c r="A167" t="s">
        <v>34</v>
      </c>
      <c r="B167">
        <v>2016</v>
      </c>
      <c r="C167" t="s">
        <v>31</v>
      </c>
      <c r="D167">
        <v>126.1</v>
      </c>
      <c r="E167">
        <f t="shared" si="52"/>
        <v>125.73333333333335</v>
      </c>
      <c r="F167">
        <v>134.1</v>
      </c>
      <c r="G167">
        <f t="shared" si="53"/>
        <v>131.93333333333337</v>
      </c>
      <c r="H167">
        <v>128.6</v>
      </c>
      <c r="I167">
        <f t="shared" si="54"/>
        <v>125</v>
      </c>
      <c r="J167">
        <v>129.9</v>
      </c>
      <c r="K167">
        <f t="shared" si="55"/>
        <v>129.5</v>
      </c>
      <c r="L167">
        <v>115.5</v>
      </c>
      <c r="M167">
        <f t="shared" si="56"/>
        <v>115.23333333333333</v>
      </c>
      <c r="N167">
        <v>125.7</v>
      </c>
      <c r="O167">
        <f t="shared" si="57"/>
        <v>126.83333333333333</v>
      </c>
      <c r="P167">
        <v>141.5</v>
      </c>
      <c r="Q167">
        <f t="shared" si="58"/>
        <v>148.86666666666667</v>
      </c>
      <c r="R167">
        <v>170.7</v>
      </c>
      <c r="S167">
        <f t="shared" si="59"/>
        <v>171.13333333333333</v>
      </c>
      <c r="T167">
        <v>97.4</v>
      </c>
      <c r="U167">
        <f t="shared" si="60"/>
        <v>95.066666666666677</v>
      </c>
      <c r="V167">
        <v>132.9</v>
      </c>
      <c r="W167">
        <f t="shared" si="61"/>
        <v>132.06666666666663</v>
      </c>
      <c r="X167">
        <v>122.7</v>
      </c>
      <c r="Y167">
        <f t="shared" si="62"/>
        <v>122.13333333333333</v>
      </c>
      <c r="Z167">
        <v>135.30000000000001</v>
      </c>
      <c r="AA167">
        <f t="shared" si="63"/>
        <v>134.66666666666666</v>
      </c>
      <c r="AB167">
        <v>131.30000000000001</v>
      </c>
      <c r="AC167">
        <f t="shared" si="64"/>
        <v>131.80000000000001</v>
      </c>
      <c r="AD167">
        <v>135.19999999999999</v>
      </c>
      <c r="AE167">
        <f t="shared" si="65"/>
        <v>134.43333333333334</v>
      </c>
      <c r="AF167">
        <v>130.30000000000001</v>
      </c>
      <c r="AG167">
        <f t="shared" si="66"/>
        <v>129.76666666666668</v>
      </c>
      <c r="AH167">
        <v>125.1</v>
      </c>
      <c r="AI167">
        <f t="shared" si="67"/>
        <v>124.8</v>
      </c>
      <c r="AJ167">
        <v>129.5</v>
      </c>
      <c r="AK167">
        <f t="shared" si="68"/>
        <v>129.03333333333333</v>
      </c>
      <c r="AL167">
        <v>123.4</v>
      </c>
      <c r="AM167">
        <f t="shared" si="69"/>
        <v>122.90000000000002</v>
      </c>
      <c r="AN167">
        <v>122.7</v>
      </c>
      <c r="AO167">
        <f t="shared" si="70"/>
        <v>122.10000000000001</v>
      </c>
      <c r="AP167">
        <v>124.2</v>
      </c>
      <c r="AQ167">
        <f t="shared" si="71"/>
        <v>123.73333333333333</v>
      </c>
      <c r="AR167">
        <v>122</v>
      </c>
      <c r="AS167">
        <f t="shared" si="72"/>
        <v>121.43333333333334</v>
      </c>
      <c r="AT167">
        <v>111.1</v>
      </c>
      <c r="AU167">
        <f t="shared" si="73"/>
        <v>111.36666666666667</v>
      </c>
      <c r="AV167">
        <v>119.8</v>
      </c>
      <c r="AW167">
        <f t="shared" si="74"/>
        <v>119.53333333333335</v>
      </c>
      <c r="AX167">
        <v>126.3</v>
      </c>
      <c r="AY167">
        <f t="shared" si="75"/>
        <v>126.26666666666667</v>
      </c>
      <c r="AZ167">
        <v>114.5</v>
      </c>
      <c r="BA167">
        <f t="shared" si="76"/>
        <v>114</v>
      </c>
      <c r="BB167">
        <v>118.5</v>
      </c>
      <c r="BC167">
        <f t="shared" si="77"/>
        <v>118.3</v>
      </c>
      <c r="BD167">
        <v>126.3</v>
      </c>
      <c r="BE167">
        <f t="shared" si="78"/>
        <v>126.33333333333333</v>
      </c>
    </row>
    <row r="168" spans="1:57" hidden="1">
      <c r="A168" t="s">
        <v>34</v>
      </c>
      <c r="B168">
        <v>2016</v>
      </c>
      <c r="C168" t="s">
        <v>35</v>
      </c>
      <c r="D168">
        <v>126.4</v>
      </c>
      <c r="E168">
        <f t="shared" si="52"/>
        <v>126.06666666666668</v>
      </c>
      <c r="F168">
        <v>134.19999999999999</v>
      </c>
      <c r="G168">
        <f t="shared" si="53"/>
        <v>133.23333333333332</v>
      </c>
      <c r="H168">
        <v>128.69999999999999</v>
      </c>
      <c r="I168">
        <f t="shared" si="54"/>
        <v>127.36666666666666</v>
      </c>
      <c r="J168">
        <v>130.30000000000001</v>
      </c>
      <c r="K168">
        <f t="shared" si="55"/>
        <v>129.86666666666667</v>
      </c>
      <c r="L168">
        <v>114.8</v>
      </c>
      <c r="M168">
        <f t="shared" si="56"/>
        <v>115.2</v>
      </c>
      <c r="N168">
        <v>124.9</v>
      </c>
      <c r="O168">
        <f t="shared" si="57"/>
        <v>125.73333333333335</v>
      </c>
      <c r="P168">
        <v>130.30000000000001</v>
      </c>
      <c r="Q168">
        <f t="shared" si="58"/>
        <v>139.5</v>
      </c>
      <c r="R168">
        <v>167.4</v>
      </c>
      <c r="S168">
        <f t="shared" si="59"/>
        <v>169.86666666666667</v>
      </c>
      <c r="T168">
        <v>98.8</v>
      </c>
      <c r="U168">
        <f t="shared" si="60"/>
        <v>96.899999999999991</v>
      </c>
      <c r="V168">
        <v>133.6</v>
      </c>
      <c r="W168">
        <f t="shared" si="61"/>
        <v>132.86666666666667</v>
      </c>
      <c r="X168">
        <v>123</v>
      </c>
      <c r="Y168">
        <f t="shared" si="62"/>
        <v>122.56666666666666</v>
      </c>
      <c r="Z168">
        <v>135.80000000000001</v>
      </c>
      <c r="AA168">
        <f t="shared" si="63"/>
        <v>135.26666666666668</v>
      </c>
      <c r="AB168">
        <v>129.9</v>
      </c>
      <c r="AC168">
        <f t="shared" si="64"/>
        <v>130.86666666666667</v>
      </c>
      <c r="AD168">
        <v>135.9</v>
      </c>
      <c r="AE168">
        <f t="shared" si="65"/>
        <v>135.20000000000002</v>
      </c>
      <c r="AF168">
        <v>130.9</v>
      </c>
      <c r="AG168">
        <f t="shared" si="66"/>
        <v>130.29999999999998</v>
      </c>
      <c r="AH168">
        <v>125.8</v>
      </c>
      <c r="AI168">
        <f t="shared" si="67"/>
        <v>125.23333333333333</v>
      </c>
      <c r="AJ168">
        <v>130.19999999999999</v>
      </c>
      <c r="AK168">
        <f t="shared" si="68"/>
        <v>129.56666666666666</v>
      </c>
      <c r="AL168">
        <v>124.4</v>
      </c>
      <c r="AM168">
        <f t="shared" si="69"/>
        <v>123.40000000000002</v>
      </c>
      <c r="AN168">
        <v>123.1</v>
      </c>
      <c r="AO168">
        <f t="shared" si="70"/>
        <v>122.59999999999998</v>
      </c>
      <c r="AP168">
        <v>124.6</v>
      </c>
      <c r="AQ168">
        <f t="shared" si="71"/>
        <v>124.13333333333333</v>
      </c>
      <c r="AR168">
        <v>122.5</v>
      </c>
      <c r="AS168">
        <f t="shared" si="72"/>
        <v>121.96666666666665</v>
      </c>
      <c r="AT168">
        <v>111.4</v>
      </c>
      <c r="AU168">
        <f t="shared" si="73"/>
        <v>111.33333333333333</v>
      </c>
      <c r="AV168">
        <v>120.3</v>
      </c>
      <c r="AW168">
        <f t="shared" si="74"/>
        <v>119.89999999999999</v>
      </c>
      <c r="AX168">
        <v>126.6</v>
      </c>
      <c r="AY168">
        <f t="shared" si="75"/>
        <v>126.36666666666667</v>
      </c>
      <c r="AZ168">
        <v>116.6</v>
      </c>
      <c r="BA168">
        <f t="shared" si="76"/>
        <v>114.93333333333332</v>
      </c>
      <c r="BB168">
        <v>119.1</v>
      </c>
      <c r="BC168">
        <f t="shared" si="77"/>
        <v>118.63333333333333</v>
      </c>
      <c r="BD168">
        <v>126</v>
      </c>
      <c r="BE168">
        <f t="shared" si="78"/>
        <v>126.13333333333333</v>
      </c>
    </row>
    <row r="169" spans="1:57" hidden="1">
      <c r="A169" t="s">
        <v>34</v>
      </c>
      <c r="B169">
        <v>2016</v>
      </c>
      <c r="C169" t="s">
        <v>36</v>
      </c>
      <c r="D169">
        <v>126.5</v>
      </c>
      <c r="E169">
        <f t="shared" si="52"/>
        <v>126.33333333333333</v>
      </c>
      <c r="F169">
        <v>135.1</v>
      </c>
      <c r="G169">
        <f t="shared" si="53"/>
        <v>134.46666666666667</v>
      </c>
      <c r="H169">
        <v>124.6</v>
      </c>
      <c r="I169">
        <f t="shared" si="54"/>
        <v>127.3</v>
      </c>
      <c r="J169">
        <v>130.19999999999999</v>
      </c>
      <c r="K169">
        <f t="shared" si="55"/>
        <v>130.13333333333335</v>
      </c>
      <c r="L169">
        <v>114.5</v>
      </c>
      <c r="M169">
        <f t="shared" si="56"/>
        <v>114.93333333333334</v>
      </c>
      <c r="N169">
        <v>126.2</v>
      </c>
      <c r="O169">
        <f t="shared" si="57"/>
        <v>125.60000000000001</v>
      </c>
      <c r="P169">
        <v>129.80000000000001</v>
      </c>
      <c r="Q169">
        <f t="shared" si="58"/>
        <v>133.86666666666667</v>
      </c>
      <c r="R169">
        <v>164.3</v>
      </c>
      <c r="S169">
        <f t="shared" si="59"/>
        <v>167.46666666666667</v>
      </c>
      <c r="T169">
        <v>100.9</v>
      </c>
      <c r="U169">
        <f t="shared" si="60"/>
        <v>99.033333333333346</v>
      </c>
      <c r="V169">
        <v>133.9</v>
      </c>
      <c r="W169">
        <f t="shared" si="61"/>
        <v>133.46666666666667</v>
      </c>
      <c r="X169">
        <v>123.1</v>
      </c>
      <c r="Y169">
        <f t="shared" si="62"/>
        <v>122.93333333333332</v>
      </c>
      <c r="Z169">
        <v>136.30000000000001</v>
      </c>
      <c r="AA169">
        <f t="shared" si="63"/>
        <v>135.80000000000001</v>
      </c>
      <c r="AB169">
        <v>129.80000000000001</v>
      </c>
      <c r="AC169">
        <f t="shared" si="64"/>
        <v>130.33333333333334</v>
      </c>
      <c r="AD169">
        <v>136.5</v>
      </c>
      <c r="AE169">
        <f t="shared" si="65"/>
        <v>135.86666666666667</v>
      </c>
      <c r="AF169">
        <v>131.30000000000001</v>
      </c>
      <c r="AG169">
        <f t="shared" si="66"/>
        <v>130.83333333333334</v>
      </c>
      <c r="AH169">
        <v>126.1</v>
      </c>
      <c r="AI169">
        <f t="shared" si="67"/>
        <v>125.66666666666667</v>
      </c>
      <c r="AJ169">
        <v>130.5</v>
      </c>
      <c r="AK169">
        <f t="shared" si="68"/>
        <v>130.06666666666666</v>
      </c>
      <c r="AL169">
        <v>124.9</v>
      </c>
      <c r="AM169">
        <f t="shared" si="69"/>
        <v>124.23333333333335</v>
      </c>
      <c r="AN169">
        <v>122.4</v>
      </c>
      <c r="AO169">
        <f t="shared" si="70"/>
        <v>122.73333333333335</v>
      </c>
      <c r="AP169">
        <v>125.1</v>
      </c>
      <c r="AQ169">
        <f t="shared" si="71"/>
        <v>124.63333333333333</v>
      </c>
      <c r="AR169">
        <v>122.9</v>
      </c>
      <c r="AS169">
        <f t="shared" si="72"/>
        <v>122.46666666666665</v>
      </c>
      <c r="AT169">
        <v>110.9</v>
      </c>
      <c r="AU169">
        <f t="shared" si="73"/>
        <v>111.13333333333333</v>
      </c>
      <c r="AV169">
        <v>120.6</v>
      </c>
      <c r="AW169">
        <f t="shared" si="74"/>
        <v>120.23333333333333</v>
      </c>
      <c r="AX169">
        <v>126.9</v>
      </c>
      <c r="AY169">
        <f t="shared" si="75"/>
        <v>126.59999999999998</v>
      </c>
      <c r="AZ169">
        <v>117.3</v>
      </c>
      <c r="BA169">
        <f t="shared" si="76"/>
        <v>116.13333333333333</v>
      </c>
      <c r="BB169">
        <v>119.3</v>
      </c>
      <c r="BC169">
        <f t="shared" si="77"/>
        <v>118.96666666666665</v>
      </c>
      <c r="BD169">
        <v>126</v>
      </c>
      <c r="BE169">
        <f t="shared" si="78"/>
        <v>126.10000000000001</v>
      </c>
    </row>
    <row r="170" spans="1:57" hidden="1">
      <c r="A170" t="s">
        <v>34</v>
      </c>
      <c r="B170">
        <v>2016</v>
      </c>
      <c r="C170" t="s">
        <v>37</v>
      </c>
      <c r="D170">
        <v>126.6</v>
      </c>
      <c r="E170">
        <f t="shared" si="52"/>
        <v>126.5</v>
      </c>
      <c r="F170">
        <v>136.80000000000001</v>
      </c>
      <c r="G170">
        <f t="shared" si="53"/>
        <v>135.36666666666665</v>
      </c>
      <c r="H170">
        <v>122</v>
      </c>
      <c r="I170">
        <f t="shared" si="54"/>
        <v>125.09999999999998</v>
      </c>
      <c r="J170">
        <v>130.9</v>
      </c>
      <c r="K170">
        <f t="shared" si="55"/>
        <v>130.46666666666667</v>
      </c>
      <c r="L170">
        <v>114.8</v>
      </c>
      <c r="M170">
        <f t="shared" si="56"/>
        <v>114.7</v>
      </c>
      <c r="N170">
        <v>134.80000000000001</v>
      </c>
      <c r="O170">
        <f t="shared" si="57"/>
        <v>128.63333333333335</v>
      </c>
      <c r="P170">
        <v>135</v>
      </c>
      <c r="Q170">
        <f t="shared" si="58"/>
        <v>131.70000000000002</v>
      </c>
      <c r="R170">
        <v>167.5</v>
      </c>
      <c r="S170">
        <f t="shared" si="59"/>
        <v>166.4</v>
      </c>
      <c r="T170">
        <v>106.4</v>
      </c>
      <c r="U170">
        <f t="shared" si="60"/>
        <v>102.03333333333335</v>
      </c>
      <c r="V170">
        <v>134.4</v>
      </c>
      <c r="W170">
        <f t="shared" si="61"/>
        <v>133.96666666666667</v>
      </c>
      <c r="X170">
        <v>123.6</v>
      </c>
      <c r="Y170">
        <f t="shared" si="62"/>
        <v>123.23333333333333</v>
      </c>
      <c r="Z170">
        <v>136.69999999999999</v>
      </c>
      <c r="AA170">
        <f t="shared" si="63"/>
        <v>136.26666666666668</v>
      </c>
      <c r="AB170">
        <v>131.80000000000001</v>
      </c>
      <c r="AC170">
        <f t="shared" si="64"/>
        <v>130.50000000000003</v>
      </c>
      <c r="AD170">
        <v>137.1</v>
      </c>
      <c r="AE170">
        <f t="shared" si="65"/>
        <v>136.5</v>
      </c>
      <c r="AF170">
        <v>131.80000000000001</v>
      </c>
      <c r="AG170">
        <f t="shared" si="66"/>
        <v>131.33333333333334</v>
      </c>
      <c r="AH170">
        <v>126.4</v>
      </c>
      <c r="AI170">
        <f t="shared" si="67"/>
        <v>126.09999999999998</v>
      </c>
      <c r="AJ170">
        <v>131</v>
      </c>
      <c r="AK170">
        <f t="shared" si="68"/>
        <v>130.56666666666666</v>
      </c>
      <c r="AL170">
        <v>125.6</v>
      </c>
      <c r="AM170">
        <f t="shared" si="69"/>
        <v>124.96666666666665</v>
      </c>
      <c r="AN170">
        <v>122.3</v>
      </c>
      <c r="AO170">
        <f t="shared" si="70"/>
        <v>122.60000000000001</v>
      </c>
      <c r="AP170">
        <v>125.5</v>
      </c>
      <c r="AQ170">
        <f t="shared" si="71"/>
        <v>125.06666666666666</v>
      </c>
      <c r="AR170">
        <v>123.2</v>
      </c>
      <c r="AS170">
        <f t="shared" si="72"/>
        <v>122.86666666666667</v>
      </c>
      <c r="AT170">
        <v>112.1</v>
      </c>
      <c r="AU170">
        <f t="shared" si="73"/>
        <v>111.46666666666665</v>
      </c>
      <c r="AV170">
        <v>121.1</v>
      </c>
      <c r="AW170">
        <f t="shared" si="74"/>
        <v>120.66666666666667</v>
      </c>
      <c r="AX170">
        <v>127.7</v>
      </c>
      <c r="AY170">
        <f t="shared" si="75"/>
        <v>127.06666666666666</v>
      </c>
      <c r="AZ170">
        <v>118.1</v>
      </c>
      <c r="BA170">
        <f t="shared" si="76"/>
        <v>117.33333333333333</v>
      </c>
      <c r="BB170">
        <v>120</v>
      </c>
      <c r="BC170">
        <f t="shared" si="77"/>
        <v>119.46666666666665</v>
      </c>
      <c r="BD170">
        <v>127.3</v>
      </c>
      <c r="BE170">
        <f t="shared" si="78"/>
        <v>126.43333333333334</v>
      </c>
    </row>
    <row r="171" spans="1:57" hidden="1">
      <c r="A171" t="s">
        <v>34</v>
      </c>
      <c r="B171">
        <v>2016</v>
      </c>
      <c r="C171" t="s">
        <v>38</v>
      </c>
      <c r="D171">
        <v>126.8</v>
      </c>
      <c r="E171">
        <f t="shared" si="52"/>
        <v>126.63333333333333</v>
      </c>
      <c r="F171">
        <v>139.1</v>
      </c>
      <c r="G171">
        <f t="shared" si="53"/>
        <v>137</v>
      </c>
      <c r="H171">
        <v>125.4</v>
      </c>
      <c r="I171">
        <f t="shared" si="54"/>
        <v>124</v>
      </c>
      <c r="J171">
        <v>131.69999999999999</v>
      </c>
      <c r="K171">
        <f t="shared" si="55"/>
        <v>130.93333333333334</v>
      </c>
      <c r="L171">
        <v>115</v>
      </c>
      <c r="M171">
        <f t="shared" si="56"/>
        <v>114.76666666666667</v>
      </c>
      <c r="N171">
        <v>136</v>
      </c>
      <c r="O171">
        <f t="shared" si="57"/>
        <v>132.33333333333334</v>
      </c>
      <c r="P171">
        <v>145.1</v>
      </c>
      <c r="Q171">
        <f t="shared" si="58"/>
        <v>136.63333333333333</v>
      </c>
      <c r="R171">
        <v>171.7</v>
      </c>
      <c r="S171">
        <f t="shared" si="59"/>
        <v>167.83333333333334</v>
      </c>
      <c r="T171">
        <v>108.7</v>
      </c>
      <c r="U171">
        <f t="shared" si="60"/>
        <v>105.33333333333333</v>
      </c>
      <c r="V171">
        <v>135.30000000000001</v>
      </c>
      <c r="W171">
        <f t="shared" si="61"/>
        <v>134.53333333333333</v>
      </c>
      <c r="X171">
        <v>124.2</v>
      </c>
      <c r="Y171">
        <f t="shared" si="62"/>
        <v>123.63333333333333</v>
      </c>
      <c r="Z171">
        <v>137.4</v>
      </c>
      <c r="AA171">
        <f t="shared" si="63"/>
        <v>136.79999999999998</v>
      </c>
      <c r="AB171">
        <v>134</v>
      </c>
      <c r="AC171">
        <f t="shared" si="64"/>
        <v>131.86666666666667</v>
      </c>
      <c r="AD171">
        <v>137.69999999999999</v>
      </c>
      <c r="AE171">
        <f t="shared" si="65"/>
        <v>137.1</v>
      </c>
      <c r="AF171">
        <v>132.19999999999999</v>
      </c>
      <c r="AG171">
        <f t="shared" si="66"/>
        <v>131.76666666666668</v>
      </c>
      <c r="AH171">
        <v>126.8</v>
      </c>
      <c r="AI171">
        <f t="shared" si="67"/>
        <v>126.43333333333334</v>
      </c>
      <c r="AJ171">
        <v>131.4</v>
      </c>
      <c r="AK171">
        <f t="shared" si="68"/>
        <v>130.96666666666667</v>
      </c>
      <c r="AL171">
        <v>126</v>
      </c>
      <c r="AM171">
        <f t="shared" si="69"/>
        <v>125.5</v>
      </c>
      <c r="AN171">
        <v>122.7</v>
      </c>
      <c r="AO171">
        <f t="shared" si="70"/>
        <v>122.46666666666665</v>
      </c>
      <c r="AP171">
        <v>126</v>
      </c>
      <c r="AQ171">
        <f t="shared" si="71"/>
        <v>125.53333333333335</v>
      </c>
      <c r="AR171">
        <v>123.7</v>
      </c>
      <c r="AS171">
        <f t="shared" si="72"/>
        <v>123.26666666666667</v>
      </c>
      <c r="AT171">
        <v>112.8</v>
      </c>
      <c r="AU171">
        <f t="shared" si="73"/>
        <v>111.93333333333334</v>
      </c>
      <c r="AV171">
        <v>121.5</v>
      </c>
      <c r="AW171">
        <f t="shared" si="74"/>
        <v>121.06666666666666</v>
      </c>
      <c r="AX171">
        <v>128.5</v>
      </c>
      <c r="AY171">
        <f t="shared" si="75"/>
        <v>127.7</v>
      </c>
      <c r="AZ171">
        <v>119.2</v>
      </c>
      <c r="BA171">
        <f t="shared" si="76"/>
        <v>118.19999999999999</v>
      </c>
      <c r="BB171">
        <v>120.7</v>
      </c>
      <c r="BC171">
        <f t="shared" si="77"/>
        <v>120</v>
      </c>
      <c r="BD171">
        <v>128.6</v>
      </c>
      <c r="BE171">
        <f t="shared" si="78"/>
        <v>127.3</v>
      </c>
    </row>
    <row r="172" spans="1:57" hidden="1">
      <c r="A172" t="s">
        <v>34</v>
      </c>
      <c r="B172">
        <v>2016</v>
      </c>
      <c r="C172" t="s">
        <v>39</v>
      </c>
      <c r="D172">
        <v>127.7</v>
      </c>
      <c r="E172">
        <f t="shared" si="52"/>
        <v>127.03333333333332</v>
      </c>
      <c r="F172">
        <v>140.5</v>
      </c>
      <c r="G172">
        <f t="shared" si="53"/>
        <v>138.79999999999998</v>
      </c>
      <c r="H172">
        <v>128.30000000000001</v>
      </c>
      <c r="I172">
        <f t="shared" si="54"/>
        <v>125.23333333333335</v>
      </c>
      <c r="J172">
        <v>132.6</v>
      </c>
      <c r="K172">
        <f t="shared" si="55"/>
        <v>131.73333333333335</v>
      </c>
      <c r="L172">
        <v>115.5</v>
      </c>
      <c r="M172">
        <f t="shared" si="56"/>
        <v>115.10000000000001</v>
      </c>
      <c r="N172">
        <v>136.5</v>
      </c>
      <c r="O172">
        <f t="shared" si="57"/>
        <v>135.76666666666668</v>
      </c>
      <c r="P172">
        <v>159.69999999999999</v>
      </c>
      <c r="Q172">
        <f t="shared" si="58"/>
        <v>146.6</v>
      </c>
      <c r="R172">
        <v>174.3</v>
      </c>
      <c r="S172">
        <f t="shared" si="59"/>
        <v>171.16666666666666</v>
      </c>
      <c r="T172">
        <v>109.9</v>
      </c>
      <c r="U172">
        <f t="shared" si="60"/>
        <v>108.33333333333333</v>
      </c>
      <c r="V172">
        <v>136.30000000000001</v>
      </c>
      <c r="W172">
        <f t="shared" si="61"/>
        <v>135.33333333333334</v>
      </c>
      <c r="X172">
        <v>124.4</v>
      </c>
      <c r="Y172">
        <f t="shared" si="62"/>
        <v>124.06666666666668</v>
      </c>
      <c r="Z172">
        <v>138.1</v>
      </c>
      <c r="AA172">
        <f t="shared" si="63"/>
        <v>137.4</v>
      </c>
      <c r="AB172">
        <v>136.80000000000001</v>
      </c>
      <c r="AC172">
        <f t="shared" si="64"/>
        <v>134.20000000000002</v>
      </c>
      <c r="AD172">
        <v>138.69999999999999</v>
      </c>
      <c r="AE172">
        <f t="shared" si="65"/>
        <v>137.83333333333331</v>
      </c>
      <c r="AF172">
        <v>132.9</v>
      </c>
      <c r="AG172">
        <f t="shared" si="66"/>
        <v>132.29999999999998</v>
      </c>
      <c r="AH172">
        <v>127.2</v>
      </c>
      <c r="AI172">
        <f t="shared" si="67"/>
        <v>126.8</v>
      </c>
      <c r="AJ172">
        <v>132</v>
      </c>
      <c r="AK172">
        <f t="shared" si="68"/>
        <v>131.46666666666667</v>
      </c>
      <c r="AL172">
        <v>125.5</v>
      </c>
      <c r="AM172">
        <f t="shared" si="69"/>
        <v>125.7</v>
      </c>
      <c r="AN172">
        <v>123.3</v>
      </c>
      <c r="AO172">
        <f t="shared" si="70"/>
        <v>122.76666666666667</v>
      </c>
      <c r="AP172">
        <v>126.4</v>
      </c>
      <c r="AQ172">
        <f t="shared" si="71"/>
        <v>125.96666666666665</v>
      </c>
      <c r="AR172">
        <v>124.1</v>
      </c>
      <c r="AS172">
        <f t="shared" si="72"/>
        <v>123.66666666666667</v>
      </c>
      <c r="AT172">
        <v>114.2</v>
      </c>
      <c r="AU172">
        <f t="shared" si="73"/>
        <v>113.03333333333332</v>
      </c>
      <c r="AV172">
        <v>121.7</v>
      </c>
      <c r="AW172">
        <f t="shared" si="74"/>
        <v>121.43333333333334</v>
      </c>
      <c r="AX172">
        <v>129.69999999999999</v>
      </c>
      <c r="AY172">
        <f t="shared" si="75"/>
        <v>128.63333333333333</v>
      </c>
      <c r="AZ172">
        <v>119.4</v>
      </c>
      <c r="BA172">
        <f t="shared" si="76"/>
        <v>118.90000000000002</v>
      </c>
      <c r="BB172">
        <v>121.5</v>
      </c>
      <c r="BC172">
        <f t="shared" si="77"/>
        <v>120.73333333333333</v>
      </c>
      <c r="BD172">
        <v>130.1</v>
      </c>
      <c r="BE172">
        <f t="shared" si="78"/>
        <v>128.66666666666666</v>
      </c>
    </row>
    <row r="173" spans="1:57" hidden="1">
      <c r="A173" t="s">
        <v>34</v>
      </c>
      <c r="B173">
        <v>2016</v>
      </c>
      <c r="C173" t="s">
        <v>40</v>
      </c>
      <c r="D173">
        <v>128.5</v>
      </c>
      <c r="E173">
        <f t="shared" si="52"/>
        <v>127.66666666666667</v>
      </c>
      <c r="F173">
        <v>141.19999999999999</v>
      </c>
      <c r="G173">
        <f t="shared" si="53"/>
        <v>140.26666666666668</v>
      </c>
      <c r="H173">
        <v>132.30000000000001</v>
      </c>
      <c r="I173">
        <f t="shared" si="54"/>
        <v>128.66666666666666</v>
      </c>
      <c r="J173">
        <v>133.5</v>
      </c>
      <c r="K173">
        <f t="shared" si="55"/>
        <v>132.6</v>
      </c>
      <c r="L173">
        <v>116.4</v>
      </c>
      <c r="M173">
        <f t="shared" si="56"/>
        <v>115.63333333333333</v>
      </c>
      <c r="N173">
        <v>137.80000000000001</v>
      </c>
      <c r="O173">
        <f t="shared" si="57"/>
        <v>136.76666666666668</v>
      </c>
      <c r="P173">
        <v>165.4</v>
      </c>
      <c r="Q173">
        <f t="shared" si="58"/>
        <v>156.73333333333332</v>
      </c>
      <c r="R173">
        <v>177.4</v>
      </c>
      <c r="S173">
        <f t="shared" si="59"/>
        <v>174.46666666666667</v>
      </c>
      <c r="T173">
        <v>111.3</v>
      </c>
      <c r="U173">
        <f t="shared" si="60"/>
        <v>109.96666666666668</v>
      </c>
      <c r="V173">
        <v>137.5</v>
      </c>
      <c r="W173">
        <f t="shared" si="61"/>
        <v>136.36666666666667</v>
      </c>
      <c r="X173">
        <v>125</v>
      </c>
      <c r="Y173">
        <f t="shared" si="62"/>
        <v>124.53333333333335</v>
      </c>
      <c r="Z173">
        <v>138.80000000000001</v>
      </c>
      <c r="AA173">
        <f t="shared" si="63"/>
        <v>138.1</v>
      </c>
      <c r="AB173">
        <v>138.4</v>
      </c>
      <c r="AC173">
        <f t="shared" si="64"/>
        <v>136.4</v>
      </c>
      <c r="AD173">
        <v>139.30000000000001</v>
      </c>
      <c r="AE173">
        <f t="shared" si="65"/>
        <v>138.56666666666666</v>
      </c>
      <c r="AF173">
        <v>133.5</v>
      </c>
      <c r="AG173">
        <f t="shared" si="66"/>
        <v>132.86666666666667</v>
      </c>
      <c r="AH173">
        <v>127.6</v>
      </c>
      <c r="AI173">
        <f t="shared" si="67"/>
        <v>127.2</v>
      </c>
      <c r="AJ173">
        <v>132.69999999999999</v>
      </c>
      <c r="AK173">
        <f t="shared" si="68"/>
        <v>132.03333333333333</v>
      </c>
      <c r="AL173">
        <v>126.4</v>
      </c>
      <c r="AM173">
        <f t="shared" si="69"/>
        <v>125.96666666666665</v>
      </c>
      <c r="AN173">
        <v>123.4</v>
      </c>
      <c r="AO173">
        <f t="shared" si="70"/>
        <v>123.13333333333333</v>
      </c>
      <c r="AP173">
        <v>126.9</v>
      </c>
      <c r="AQ173">
        <f t="shared" si="71"/>
        <v>126.43333333333334</v>
      </c>
      <c r="AR173">
        <v>124.5</v>
      </c>
      <c r="AS173">
        <f t="shared" si="72"/>
        <v>124.10000000000001</v>
      </c>
      <c r="AT173">
        <v>113.9</v>
      </c>
      <c r="AU173">
        <f t="shared" si="73"/>
        <v>113.63333333333333</v>
      </c>
      <c r="AV173">
        <v>122.4</v>
      </c>
      <c r="AW173">
        <f t="shared" si="74"/>
        <v>121.86666666666667</v>
      </c>
      <c r="AX173">
        <v>130.80000000000001</v>
      </c>
      <c r="AY173">
        <f t="shared" si="75"/>
        <v>129.66666666666666</v>
      </c>
      <c r="AZ173">
        <v>120.5</v>
      </c>
      <c r="BA173">
        <f t="shared" si="76"/>
        <v>119.7</v>
      </c>
      <c r="BB173">
        <v>121.9</v>
      </c>
      <c r="BC173">
        <f t="shared" si="77"/>
        <v>121.36666666666667</v>
      </c>
      <c r="BD173">
        <v>131.1</v>
      </c>
      <c r="BE173">
        <f t="shared" si="78"/>
        <v>129.93333333333331</v>
      </c>
    </row>
    <row r="174" spans="1:57" hidden="1">
      <c r="A174" t="s">
        <v>34</v>
      </c>
      <c r="B174">
        <v>2016</v>
      </c>
      <c r="C174" t="s">
        <v>41</v>
      </c>
      <c r="D174">
        <v>129.30000000000001</v>
      </c>
      <c r="E174">
        <f t="shared" si="52"/>
        <v>128.5</v>
      </c>
      <c r="F174">
        <v>139.30000000000001</v>
      </c>
      <c r="G174">
        <f t="shared" si="53"/>
        <v>140.33333333333334</v>
      </c>
      <c r="H174">
        <v>131.6</v>
      </c>
      <c r="I174">
        <f t="shared" si="54"/>
        <v>130.73333333333335</v>
      </c>
      <c r="J174">
        <v>134.1</v>
      </c>
      <c r="K174">
        <f t="shared" si="55"/>
        <v>133.4</v>
      </c>
      <c r="L174">
        <v>116.9</v>
      </c>
      <c r="M174">
        <f t="shared" si="56"/>
        <v>116.26666666666667</v>
      </c>
      <c r="N174">
        <v>138.1</v>
      </c>
      <c r="O174">
        <f t="shared" si="57"/>
        <v>137.46666666666667</v>
      </c>
      <c r="P174">
        <v>159.1</v>
      </c>
      <c r="Q174">
        <f t="shared" si="58"/>
        <v>161.4</v>
      </c>
      <c r="R174">
        <v>175.6</v>
      </c>
      <c r="S174">
        <f t="shared" si="59"/>
        <v>175.76666666666668</v>
      </c>
      <c r="T174">
        <v>112.9</v>
      </c>
      <c r="U174">
        <f t="shared" si="60"/>
        <v>111.36666666666667</v>
      </c>
      <c r="V174">
        <v>138.1</v>
      </c>
      <c r="W174">
        <f t="shared" si="61"/>
        <v>137.29999999999998</v>
      </c>
      <c r="X174">
        <v>125.5</v>
      </c>
      <c r="Y174">
        <f t="shared" si="62"/>
        <v>124.96666666666665</v>
      </c>
      <c r="Z174">
        <v>139.5</v>
      </c>
      <c r="AA174">
        <f t="shared" si="63"/>
        <v>138.79999999999998</v>
      </c>
      <c r="AB174">
        <v>137.9</v>
      </c>
      <c r="AC174">
        <f t="shared" si="64"/>
        <v>137.70000000000002</v>
      </c>
      <c r="AD174">
        <v>140.19999999999999</v>
      </c>
      <c r="AE174">
        <f t="shared" si="65"/>
        <v>139.4</v>
      </c>
      <c r="AF174">
        <v>134.1</v>
      </c>
      <c r="AG174">
        <f t="shared" si="66"/>
        <v>133.5</v>
      </c>
      <c r="AH174">
        <v>128.19999999999999</v>
      </c>
      <c r="AI174">
        <f t="shared" si="67"/>
        <v>127.66666666666667</v>
      </c>
      <c r="AJ174">
        <v>133.19999999999999</v>
      </c>
      <c r="AK174">
        <f t="shared" si="68"/>
        <v>132.63333333333333</v>
      </c>
      <c r="AL174">
        <v>127.3</v>
      </c>
      <c r="AM174">
        <f t="shared" si="69"/>
        <v>126.39999999999999</v>
      </c>
      <c r="AN174">
        <v>123.6</v>
      </c>
      <c r="AO174">
        <f t="shared" si="70"/>
        <v>123.43333333333332</v>
      </c>
      <c r="AP174">
        <v>127.4</v>
      </c>
      <c r="AQ174">
        <f t="shared" si="71"/>
        <v>126.90000000000002</v>
      </c>
      <c r="AR174">
        <v>124.8</v>
      </c>
      <c r="AS174">
        <f t="shared" si="72"/>
        <v>124.46666666666665</v>
      </c>
      <c r="AT174">
        <v>113.1</v>
      </c>
      <c r="AU174">
        <f t="shared" si="73"/>
        <v>113.73333333333335</v>
      </c>
      <c r="AV174">
        <v>122.7</v>
      </c>
      <c r="AW174">
        <f t="shared" si="74"/>
        <v>122.26666666666667</v>
      </c>
      <c r="AX174">
        <v>131.69999999999999</v>
      </c>
      <c r="AY174">
        <f t="shared" si="75"/>
        <v>130.73333333333332</v>
      </c>
      <c r="AZ174">
        <v>121.5</v>
      </c>
      <c r="BA174">
        <f t="shared" si="76"/>
        <v>120.46666666666665</v>
      </c>
      <c r="BB174">
        <v>122.1</v>
      </c>
      <c r="BC174">
        <f t="shared" si="77"/>
        <v>121.83333333333333</v>
      </c>
      <c r="BD174">
        <v>131.1</v>
      </c>
      <c r="BE174">
        <f t="shared" si="78"/>
        <v>130.76666666666665</v>
      </c>
    </row>
    <row r="175" spans="1:57" hidden="1">
      <c r="A175" t="s">
        <v>34</v>
      </c>
      <c r="B175">
        <v>2016</v>
      </c>
      <c r="C175" t="s">
        <v>42</v>
      </c>
      <c r="D175">
        <v>129.9</v>
      </c>
      <c r="E175">
        <f t="shared" si="52"/>
        <v>129.23333333333335</v>
      </c>
      <c r="F175">
        <v>138</v>
      </c>
      <c r="G175">
        <f t="shared" si="53"/>
        <v>139.5</v>
      </c>
      <c r="H175">
        <v>130.5</v>
      </c>
      <c r="I175">
        <f t="shared" si="54"/>
        <v>131.46666666666667</v>
      </c>
      <c r="J175">
        <v>134.4</v>
      </c>
      <c r="K175">
        <f t="shared" si="55"/>
        <v>134</v>
      </c>
      <c r="L175">
        <v>117.2</v>
      </c>
      <c r="M175">
        <f t="shared" si="56"/>
        <v>116.83333333333333</v>
      </c>
      <c r="N175">
        <v>136.1</v>
      </c>
      <c r="O175">
        <f t="shared" si="57"/>
        <v>137.33333333333334</v>
      </c>
      <c r="P175">
        <v>150.69999999999999</v>
      </c>
      <c r="Q175">
        <f t="shared" si="58"/>
        <v>158.4</v>
      </c>
      <c r="R175">
        <v>171.5</v>
      </c>
      <c r="S175">
        <f t="shared" si="59"/>
        <v>174.83333333333334</v>
      </c>
      <c r="T175">
        <v>113.8</v>
      </c>
      <c r="U175">
        <f t="shared" si="60"/>
        <v>112.66666666666667</v>
      </c>
      <c r="V175">
        <v>138.80000000000001</v>
      </c>
      <c r="W175">
        <f t="shared" si="61"/>
        <v>138.13333333333335</v>
      </c>
      <c r="X175">
        <v>126</v>
      </c>
      <c r="Y175">
        <f t="shared" si="62"/>
        <v>125.5</v>
      </c>
      <c r="Z175">
        <v>140.19999999999999</v>
      </c>
      <c r="AA175">
        <f t="shared" si="63"/>
        <v>139.5</v>
      </c>
      <c r="AB175">
        <v>136.6</v>
      </c>
      <c r="AC175">
        <f t="shared" si="64"/>
        <v>137.63333333333333</v>
      </c>
      <c r="AD175">
        <v>141</v>
      </c>
      <c r="AE175">
        <f t="shared" si="65"/>
        <v>140.16666666666666</v>
      </c>
      <c r="AF175">
        <v>134.6</v>
      </c>
      <c r="AG175">
        <f t="shared" si="66"/>
        <v>134.06666666666669</v>
      </c>
      <c r="AH175">
        <v>128.6</v>
      </c>
      <c r="AI175">
        <f t="shared" si="67"/>
        <v>128.13333333333333</v>
      </c>
      <c r="AJ175">
        <v>133.80000000000001</v>
      </c>
      <c r="AK175">
        <f t="shared" si="68"/>
        <v>133.23333333333332</v>
      </c>
      <c r="AL175">
        <v>127.9</v>
      </c>
      <c r="AM175">
        <f t="shared" si="69"/>
        <v>127.2</v>
      </c>
      <c r="AN175">
        <v>124.1</v>
      </c>
      <c r="AO175">
        <f t="shared" si="70"/>
        <v>123.7</v>
      </c>
      <c r="AP175">
        <v>127.9</v>
      </c>
      <c r="AQ175">
        <f t="shared" si="71"/>
        <v>127.40000000000002</v>
      </c>
      <c r="AR175">
        <v>125.4</v>
      </c>
      <c r="AS175">
        <f t="shared" si="72"/>
        <v>124.90000000000002</v>
      </c>
      <c r="AT175">
        <v>114.3</v>
      </c>
      <c r="AU175">
        <f t="shared" si="73"/>
        <v>113.76666666666667</v>
      </c>
      <c r="AV175">
        <v>122.9</v>
      </c>
      <c r="AW175">
        <f t="shared" si="74"/>
        <v>122.66666666666667</v>
      </c>
      <c r="AX175">
        <v>131.80000000000001</v>
      </c>
      <c r="AY175">
        <f t="shared" si="75"/>
        <v>131.43333333333334</v>
      </c>
      <c r="AZ175">
        <v>122.1</v>
      </c>
      <c r="BA175">
        <f t="shared" si="76"/>
        <v>121.36666666666667</v>
      </c>
      <c r="BB175">
        <v>122.8</v>
      </c>
      <c r="BC175">
        <f t="shared" si="77"/>
        <v>122.26666666666667</v>
      </c>
      <c r="BD175">
        <v>130.9</v>
      </c>
      <c r="BE175">
        <f t="shared" si="78"/>
        <v>131.03333333333333</v>
      </c>
    </row>
    <row r="176" spans="1:57" hidden="1">
      <c r="A176" t="s">
        <v>34</v>
      </c>
      <c r="B176">
        <v>2016</v>
      </c>
      <c r="C176" t="s">
        <v>43</v>
      </c>
      <c r="D176">
        <v>130.5</v>
      </c>
      <c r="E176">
        <f t="shared" si="52"/>
        <v>129.9</v>
      </c>
      <c r="F176">
        <v>137.9</v>
      </c>
      <c r="G176">
        <f t="shared" si="53"/>
        <v>138.4</v>
      </c>
      <c r="H176">
        <v>130.19999999999999</v>
      </c>
      <c r="I176">
        <f t="shared" si="54"/>
        <v>130.76666666666668</v>
      </c>
      <c r="J176">
        <v>134.80000000000001</v>
      </c>
      <c r="K176">
        <f t="shared" si="55"/>
        <v>134.43333333333334</v>
      </c>
      <c r="L176">
        <v>117.8</v>
      </c>
      <c r="M176">
        <f t="shared" si="56"/>
        <v>117.30000000000001</v>
      </c>
      <c r="N176">
        <v>134.69999999999999</v>
      </c>
      <c r="O176">
        <f t="shared" si="57"/>
        <v>136.29999999999998</v>
      </c>
      <c r="P176">
        <v>151.19999999999999</v>
      </c>
      <c r="Q176">
        <f t="shared" si="58"/>
        <v>153.66666666666666</v>
      </c>
      <c r="R176">
        <v>172.1</v>
      </c>
      <c r="S176">
        <f t="shared" si="59"/>
        <v>173.06666666666669</v>
      </c>
      <c r="T176">
        <v>114.1</v>
      </c>
      <c r="U176">
        <f t="shared" si="60"/>
        <v>113.59999999999998</v>
      </c>
      <c r="V176">
        <v>139.30000000000001</v>
      </c>
      <c r="W176">
        <f t="shared" si="61"/>
        <v>138.73333333333332</v>
      </c>
      <c r="X176">
        <v>126.1</v>
      </c>
      <c r="Y176">
        <f t="shared" si="62"/>
        <v>125.86666666666667</v>
      </c>
      <c r="Z176">
        <v>141.1</v>
      </c>
      <c r="AA176">
        <f t="shared" si="63"/>
        <v>140.26666666666665</v>
      </c>
      <c r="AB176">
        <v>137</v>
      </c>
      <c r="AC176">
        <f t="shared" si="64"/>
        <v>137.16666666666666</v>
      </c>
      <c r="AD176">
        <v>141.80000000000001</v>
      </c>
      <c r="AE176">
        <f t="shared" si="65"/>
        <v>141</v>
      </c>
      <c r="AF176">
        <v>135.5</v>
      </c>
      <c r="AG176">
        <f t="shared" si="66"/>
        <v>134.73333333333332</v>
      </c>
      <c r="AH176">
        <v>129.1</v>
      </c>
      <c r="AI176">
        <f t="shared" si="67"/>
        <v>128.63333333333333</v>
      </c>
      <c r="AJ176">
        <v>134.5</v>
      </c>
      <c r="AK176">
        <f t="shared" si="68"/>
        <v>133.83333333333334</v>
      </c>
      <c r="AL176">
        <v>128.69999999999999</v>
      </c>
      <c r="AM176">
        <f t="shared" si="69"/>
        <v>127.96666666666665</v>
      </c>
      <c r="AN176">
        <v>124.3</v>
      </c>
      <c r="AO176">
        <f t="shared" si="70"/>
        <v>124</v>
      </c>
      <c r="AP176">
        <v>128.4</v>
      </c>
      <c r="AQ176">
        <f t="shared" si="71"/>
        <v>127.90000000000002</v>
      </c>
      <c r="AR176">
        <v>126.1</v>
      </c>
      <c r="AS176">
        <f t="shared" si="72"/>
        <v>125.43333333333332</v>
      </c>
      <c r="AT176">
        <v>115.2</v>
      </c>
      <c r="AU176">
        <f t="shared" si="73"/>
        <v>114.19999999999999</v>
      </c>
      <c r="AV176">
        <v>123.5</v>
      </c>
      <c r="AW176">
        <f t="shared" si="74"/>
        <v>123.03333333333335</v>
      </c>
      <c r="AX176">
        <v>132.4</v>
      </c>
      <c r="AY176">
        <f t="shared" si="75"/>
        <v>131.96666666666667</v>
      </c>
      <c r="AZ176">
        <v>122.1</v>
      </c>
      <c r="BA176">
        <f t="shared" si="76"/>
        <v>121.89999999999999</v>
      </c>
      <c r="BB176">
        <v>123.4</v>
      </c>
      <c r="BC176">
        <f t="shared" si="77"/>
        <v>122.76666666666665</v>
      </c>
      <c r="BD176">
        <v>131.4</v>
      </c>
      <c r="BE176">
        <f t="shared" si="78"/>
        <v>131.13333333333333</v>
      </c>
    </row>
    <row r="177" spans="1:57" hidden="1">
      <c r="A177" t="s">
        <v>34</v>
      </c>
      <c r="B177">
        <v>2016</v>
      </c>
      <c r="C177" t="s">
        <v>45</v>
      </c>
      <c r="D177">
        <v>131.4</v>
      </c>
      <c r="E177">
        <f t="shared" si="52"/>
        <v>130.6</v>
      </c>
      <c r="F177">
        <v>137.80000000000001</v>
      </c>
      <c r="G177">
        <f t="shared" si="53"/>
        <v>137.9</v>
      </c>
      <c r="H177">
        <v>132</v>
      </c>
      <c r="I177">
        <f t="shared" si="54"/>
        <v>130.9</v>
      </c>
      <c r="J177">
        <v>135</v>
      </c>
      <c r="K177">
        <f t="shared" si="55"/>
        <v>134.73333333333335</v>
      </c>
      <c r="L177">
        <v>118</v>
      </c>
      <c r="M177">
        <f t="shared" si="56"/>
        <v>117.66666666666667</v>
      </c>
      <c r="N177">
        <v>134.1</v>
      </c>
      <c r="O177">
        <f t="shared" si="57"/>
        <v>134.96666666666667</v>
      </c>
      <c r="P177">
        <v>141.9</v>
      </c>
      <c r="Q177">
        <f t="shared" si="58"/>
        <v>147.93333333333331</v>
      </c>
      <c r="R177">
        <v>171.7</v>
      </c>
      <c r="S177">
        <f t="shared" si="59"/>
        <v>171.76666666666665</v>
      </c>
      <c r="T177">
        <v>114.1</v>
      </c>
      <c r="U177">
        <f t="shared" si="60"/>
        <v>114</v>
      </c>
      <c r="V177">
        <v>139.69999999999999</v>
      </c>
      <c r="W177">
        <f t="shared" si="61"/>
        <v>139.26666666666668</v>
      </c>
      <c r="X177">
        <v>126.2</v>
      </c>
      <c r="Y177">
        <f t="shared" si="62"/>
        <v>126.10000000000001</v>
      </c>
      <c r="Z177">
        <v>141.80000000000001</v>
      </c>
      <c r="AA177">
        <f t="shared" si="63"/>
        <v>141.03333333333333</v>
      </c>
      <c r="AB177">
        <v>136.1</v>
      </c>
      <c r="AC177">
        <f t="shared" si="64"/>
        <v>136.56666666666669</v>
      </c>
      <c r="AD177">
        <v>142</v>
      </c>
      <c r="AE177">
        <f t="shared" si="65"/>
        <v>141.6</v>
      </c>
      <c r="AF177">
        <v>135.80000000000001</v>
      </c>
      <c r="AG177">
        <f t="shared" si="66"/>
        <v>135.30000000000001</v>
      </c>
      <c r="AH177">
        <v>129.30000000000001</v>
      </c>
      <c r="AI177">
        <f t="shared" si="67"/>
        <v>129</v>
      </c>
      <c r="AJ177">
        <v>135</v>
      </c>
      <c r="AK177">
        <f t="shared" si="68"/>
        <v>134.43333333333334</v>
      </c>
      <c r="AL177">
        <v>129.1</v>
      </c>
      <c r="AM177">
        <f t="shared" si="69"/>
        <v>128.56666666666669</v>
      </c>
      <c r="AN177">
        <v>125</v>
      </c>
      <c r="AO177">
        <f t="shared" si="70"/>
        <v>124.46666666666665</v>
      </c>
      <c r="AP177">
        <v>128.6</v>
      </c>
      <c r="AQ177">
        <f t="shared" si="71"/>
        <v>128.29999999999998</v>
      </c>
      <c r="AR177">
        <v>126.4</v>
      </c>
      <c r="AS177">
        <f t="shared" si="72"/>
        <v>125.96666666666665</v>
      </c>
      <c r="AT177">
        <v>115.7</v>
      </c>
      <c r="AU177">
        <f t="shared" si="73"/>
        <v>115.06666666666666</v>
      </c>
      <c r="AV177">
        <v>124</v>
      </c>
      <c r="AW177">
        <f t="shared" si="74"/>
        <v>123.46666666666665</v>
      </c>
      <c r="AX177">
        <v>132.80000000000001</v>
      </c>
      <c r="AY177">
        <f t="shared" si="75"/>
        <v>132.33333333333334</v>
      </c>
      <c r="AZ177">
        <v>122.6</v>
      </c>
      <c r="BA177">
        <f t="shared" si="76"/>
        <v>122.26666666666665</v>
      </c>
      <c r="BB177">
        <v>123.8</v>
      </c>
      <c r="BC177">
        <f t="shared" si="77"/>
        <v>123.33333333333333</v>
      </c>
      <c r="BD177">
        <v>131.19999999999999</v>
      </c>
      <c r="BE177">
        <f t="shared" si="78"/>
        <v>131.16666666666666</v>
      </c>
    </row>
    <row r="178" spans="1:57" hidden="1">
      <c r="A178" t="s">
        <v>34</v>
      </c>
      <c r="B178">
        <v>2016</v>
      </c>
      <c r="C178" t="s">
        <v>46</v>
      </c>
      <c r="D178">
        <v>132.30000000000001</v>
      </c>
      <c r="E178">
        <f t="shared" si="52"/>
        <v>131.4</v>
      </c>
      <c r="F178">
        <v>137.6</v>
      </c>
      <c r="G178">
        <f t="shared" si="53"/>
        <v>137.76666666666668</v>
      </c>
      <c r="H178">
        <v>132.9</v>
      </c>
      <c r="I178">
        <f t="shared" si="54"/>
        <v>131.70000000000002</v>
      </c>
      <c r="J178">
        <v>135.1</v>
      </c>
      <c r="K178">
        <f t="shared" si="55"/>
        <v>134.96666666666667</v>
      </c>
      <c r="L178">
        <v>118.6</v>
      </c>
      <c r="M178">
        <f t="shared" si="56"/>
        <v>118.13333333333333</v>
      </c>
      <c r="N178">
        <v>132.69999999999999</v>
      </c>
      <c r="O178">
        <f t="shared" si="57"/>
        <v>133.83333333333331</v>
      </c>
      <c r="P178">
        <v>125.3</v>
      </c>
      <c r="Q178">
        <f t="shared" si="58"/>
        <v>139.46666666666667</v>
      </c>
      <c r="R178">
        <v>168.7</v>
      </c>
      <c r="S178">
        <f t="shared" si="59"/>
        <v>170.83333333333334</v>
      </c>
      <c r="T178">
        <v>114.4</v>
      </c>
      <c r="U178">
        <f t="shared" si="60"/>
        <v>114.2</v>
      </c>
      <c r="V178">
        <v>140.19999999999999</v>
      </c>
      <c r="W178">
        <f t="shared" si="61"/>
        <v>139.73333333333332</v>
      </c>
      <c r="X178">
        <v>126.6</v>
      </c>
      <c r="Y178">
        <f t="shared" si="62"/>
        <v>126.3</v>
      </c>
      <c r="Z178">
        <v>142.30000000000001</v>
      </c>
      <c r="AA178">
        <f t="shared" si="63"/>
        <v>141.73333333333332</v>
      </c>
      <c r="AB178">
        <v>134</v>
      </c>
      <c r="AC178">
        <f t="shared" si="64"/>
        <v>135.70000000000002</v>
      </c>
      <c r="AD178">
        <v>143.1</v>
      </c>
      <c r="AE178">
        <f t="shared" si="65"/>
        <v>142.29999999999998</v>
      </c>
      <c r="AF178">
        <v>136.30000000000001</v>
      </c>
      <c r="AG178">
        <f t="shared" si="66"/>
        <v>135.86666666666667</v>
      </c>
      <c r="AH178">
        <v>129.80000000000001</v>
      </c>
      <c r="AI178">
        <f t="shared" si="67"/>
        <v>129.4</v>
      </c>
      <c r="AJ178">
        <v>135.4</v>
      </c>
      <c r="AK178">
        <f t="shared" si="68"/>
        <v>134.96666666666667</v>
      </c>
      <c r="AL178">
        <v>128.5</v>
      </c>
      <c r="AM178">
        <f t="shared" si="69"/>
        <v>128.76666666666665</v>
      </c>
      <c r="AN178">
        <v>126.6</v>
      </c>
      <c r="AO178">
        <f t="shared" si="70"/>
        <v>125.3</v>
      </c>
      <c r="AP178">
        <v>129.19999999999999</v>
      </c>
      <c r="AQ178">
        <f t="shared" si="71"/>
        <v>128.73333333333332</v>
      </c>
      <c r="AR178">
        <v>126.9</v>
      </c>
      <c r="AS178">
        <f t="shared" si="72"/>
        <v>126.46666666666665</v>
      </c>
      <c r="AT178">
        <v>116</v>
      </c>
      <c r="AU178">
        <f t="shared" si="73"/>
        <v>115.63333333333333</v>
      </c>
      <c r="AV178">
        <v>124.2</v>
      </c>
      <c r="AW178">
        <f t="shared" si="74"/>
        <v>123.89999999999999</v>
      </c>
      <c r="AX178">
        <v>133.1</v>
      </c>
      <c r="AY178">
        <f t="shared" si="75"/>
        <v>132.76666666666668</v>
      </c>
      <c r="AZ178">
        <v>121.1</v>
      </c>
      <c r="BA178">
        <f t="shared" si="76"/>
        <v>121.93333333333332</v>
      </c>
      <c r="BB178">
        <v>123.9</v>
      </c>
      <c r="BC178">
        <f t="shared" si="77"/>
        <v>123.7</v>
      </c>
      <c r="BD178">
        <v>130.4</v>
      </c>
      <c r="BE178">
        <f t="shared" si="78"/>
        <v>131</v>
      </c>
    </row>
    <row r="179" spans="1:57" hidden="1">
      <c r="A179" t="s">
        <v>34</v>
      </c>
      <c r="B179">
        <v>2017</v>
      </c>
      <c r="C179" t="s">
        <v>31</v>
      </c>
      <c r="D179">
        <v>132.80000000000001</v>
      </c>
      <c r="E179">
        <f t="shared" si="52"/>
        <v>132.16666666666669</v>
      </c>
      <c r="F179">
        <v>138.19999999999999</v>
      </c>
      <c r="G179">
        <f t="shared" si="53"/>
        <v>137.86666666666665</v>
      </c>
      <c r="H179">
        <v>132.19999999999999</v>
      </c>
      <c r="I179">
        <f t="shared" si="54"/>
        <v>132.36666666666665</v>
      </c>
      <c r="J179">
        <v>135.4</v>
      </c>
      <c r="K179">
        <f t="shared" si="55"/>
        <v>135.16666666666666</v>
      </c>
      <c r="L179">
        <v>119.1</v>
      </c>
      <c r="M179">
        <f t="shared" si="56"/>
        <v>118.56666666666666</v>
      </c>
      <c r="N179">
        <v>133</v>
      </c>
      <c r="O179">
        <f t="shared" si="57"/>
        <v>133.26666666666665</v>
      </c>
      <c r="P179">
        <v>119.4</v>
      </c>
      <c r="Q179">
        <f t="shared" si="58"/>
        <v>128.86666666666667</v>
      </c>
      <c r="R179">
        <v>159.5</v>
      </c>
      <c r="S179">
        <f t="shared" si="59"/>
        <v>166.63333333333333</v>
      </c>
      <c r="T179">
        <v>115.6</v>
      </c>
      <c r="U179">
        <f t="shared" si="60"/>
        <v>114.7</v>
      </c>
      <c r="V179">
        <v>139.6</v>
      </c>
      <c r="W179">
        <f t="shared" si="61"/>
        <v>139.83333333333334</v>
      </c>
      <c r="X179">
        <v>126.6</v>
      </c>
      <c r="Y179">
        <f t="shared" si="62"/>
        <v>126.46666666666665</v>
      </c>
      <c r="Z179">
        <v>142.80000000000001</v>
      </c>
      <c r="AA179">
        <f t="shared" si="63"/>
        <v>142.30000000000001</v>
      </c>
      <c r="AB179">
        <v>133.1</v>
      </c>
      <c r="AC179">
        <f t="shared" si="64"/>
        <v>134.4</v>
      </c>
      <c r="AD179">
        <v>143.80000000000001</v>
      </c>
      <c r="AE179">
        <f t="shared" si="65"/>
        <v>142.96666666666667</v>
      </c>
      <c r="AF179">
        <v>136.6</v>
      </c>
      <c r="AG179">
        <f t="shared" si="66"/>
        <v>136.23333333333335</v>
      </c>
      <c r="AH179">
        <v>130.19999999999999</v>
      </c>
      <c r="AI179">
        <f t="shared" si="67"/>
        <v>129.76666666666668</v>
      </c>
      <c r="AJ179">
        <v>135.6</v>
      </c>
      <c r="AK179">
        <f t="shared" si="68"/>
        <v>135.33333333333334</v>
      </c>
      <c r="AL179">
        <v>129.6</v>
      </c>
      <c r="AM179">
        <f t="shared" si="69"/>
        <v>129.06666666666669</v>
      </c>
      <c r="AN179">
        <v>126.8</v>
      </c>
      <c r="AO179">
        <f t="shared" si="70"/>
        <v>126.13333333333333</v>
      </c>
      <c r="AP179">
        <v>129.4</v>
      </c>
      <c r="AQ179">
        <f t="shared" si="71"/>
        <v>129.06666666666663</v>
      </c>
      <c r="AR179">
        <v>127.1</v>
      </c>
      <c r="AS179">
        <f t="shared" si="72"/>
        <v>126.8</v>
      </c>
      <c r="AT179">
        <v>117</v>
      </c>
      <c r="AU179">
        <f t="shared" si="73"/>
        <v>116.23333333333333</v>
      </c>
      <c r="AV179">
        <v>124.2</v>
      </c>
      <c r="AW179">
        <f t="shared" si="74"/>
        <v>124.13333333333333</v>
      </c>
      <c r="AX179">
        <v>133.30000000000001</v>
      </c>
      <c r="AY179">
        <f t="shared" si="75"/>
        <v>133.06666666666666</v>
      </c>
      <c r="AZ179">
        <v>121.7</v>
      </c>
      <c r="BA179">
        <f t="shared" si="76"/>
        <v>121.8</v>
      </c>
      <c r="BB179">
        <v>124.4</v>
      </c>
      <c r="BC179">
        <f t="shared" si="77"/>
        <v>124.03333333333335</v>
      </c>
      <c r="BD179">
        <v>130.30000000000001</v>
      </c>
      <c r="BE179">
        <f t="shared" si="78"/>
        <v>130.63333333333335</v>
      </c>
    </row>
    <row r="180" spans="1:57" hidden="1">
      <c r="A180" t="s">
        <v>34</v>
      </c>
      <c r="B180">
        <v>2017</v>
      </c>
      <c r="C180" t="s">
        <v>35</v>
      </c>
      <c r="D180">
        <v>133.1</v>
      </c>
      <c r="E180">
        <f t="shared" si="52"/>
        <v>132.73333333333335</v>
      </c>
      <c r="F180">
        <v>138.80000000000001</v>
      </c>
      <c r="G180">
        <f t="shared" si="53"/>
        <v>138.19999999999999</v>
      </c>
      <c r="H180">
        <v>129.30000000000001</v>
      </c>
      <c r="I180">
        <f t="shared" si="54"/>
        <v>131.46666666666667</v>
      </c>
      <c r="J180">
        <v>135.80000000000001</v>
      </c>
      <c r="K180">
        <f t="shared" si="55"/>
        <v>135.43333333333334</v>
      </c>
      <c r="L180">
        <v>119.2</v>
      </c>
      <c r="M180">
        <f t="shared" si="56"/>
        <v>118.96666666666665</v>
      </c>
      <c r="N180">
        <v>135.30000000000001</v>
      </c>
      <c r="O180">
        <f t="shared" si="57"/>
        <v>133.66666666666666</v>
      </c>
      <c r="P180">
        <v>119.5</v>
      </c>
      <c r="Q180">
        <f t="shared" si="58"/>
        <v>121.39999999999999</v>
      </c>
      <c r="R180">
        <v>152.19999999999999</v>
      </c>
      <c r="S180">
        <f t="shared" si="59"/>
        <v>160.13333333333333</v>
      </c>
      <c r="T180">
        <v>117.3</v>
      </c>
      <c r="U180">
        <f t="shared" si="60"/>
        <v>115.76666666666667</v>
      </c>
      <c r="V180">
        <v>138.69999999999999</v>
      </c>
      <c r="W180">
        <f t="shared" si="61"/>
        <v>139.49999999999997</v>
      </c>
      <c r="X180">
        <v>126.9</v>
      </c>
      <c r="Y180">
        <f t="shared" si="62"/>
        <v>126.7</v>
      </c>
      <c r="Z180">
        <v>143.19999999999999</v>
      </c>
      <c r="AA180">
        <f t="shared" si="63"/>
        <v>142.76666666666668</v>
      </c>
      <c r="AB180">
        <v>133</v>
      </c>
      <c r="AC180">
        <f t="shared" si="64"/>
        <v>133.36666666666667</v>
      </c>
      <c r="AD180">
        <v>144.4</v>
      </c>
      <c r="AE180">
        <f t="shared" si="65"/>
        <v>143.76666666666665</v>
      </c>
      <c r="AF180">
        <v>136.80000000000001</v>
      </c>
      <c r="AG180">
        <f t="shared" si="66"/>
        <v>136.56666666666666</v>
      </c>
      <c r="AH180">
        <v>130.30000000000001</v>
      </c>
      <c r="AI180">
        <f t="shared" si="67"/>
        <v>130.1</v>
      </c>
      <c r="AJ180">
        <v>135.9</v>
      </c>
      <c r="AK180">
        <f t="shared" si="68"/>
        <v>135.63333333333333</v>
      </c>
      <c r="AL180">
        <v>130.5</v>
      </c>
      <c r="AM180">
        <f t="shared" si="69"/>
        <v>129.53333333333333</v>
      </c>
      <c r="AN180">
        <v>127.9</v>
      </c>
      <c r="AO180">
        <f t="shared" si="70"/>
        <v>127.09999999999998</v>
      </c>
      <c r="AP180">
        <v>129.69999999999999</v>
      </c>
      <c r="AQ180">
        <f t="shared" si="71"/>
        <v>129.43333333333334</v>
      </c>
      <c r="AR180">
        <v>127.4</v>
      </c>
      <c r="AS180">
        <f t="shared" si="72"/>
        <v>127.13333333333333</v>
      </c>
      <c r="AT180">
        <v>117.4</v>
      </c>
      <c r="AU180">
        <f t="shared" si="73"/>
        <v>116.8</v>
      </c>
      <c r="AV180">
        <v>124.6</v>
      </c>
      <c r="AW180">
        <f t="shared" si="74"/>
        <v>124.33333333333333</v>
      </c>
      <c r="AX180">
        <v>133.4</v>
      </c>
      <c r="AY180">
        <f t="shared" si="75"/>
        <v>133.26666666666665</v>
      </c>
      <c r="AZ180">
        <v>122.6</v>
      </c>
      <c r="BA180">
        <f t="shared" si="76"/>
        <v>121.8</v>
      </c>
      <c r="BB180">
        <v>124.8</v>
      </c>
      <c r="BC180">
        <f t="shared" si="77"/>
        <v>124.36666666666667</v>
      </c>
      <c r="BD180">
        <v>130.6</v>
      </c>
      <c r="BE180">
        <f t="shared" si="78"/>
        <v>130.43333333333337</v>
      </c>
    </row>
    <row r="181" spans="1:57" hidden="1">
      <c r="A181" t="s">
        <v>34</v>
      </c>
      <c r="B181">
        <v>2017</v>
      </c>
      <c r="C181" t="s">
        <v>36</v>
      </c>
      <c r="D181">
        <v>133.30000000000001</v>
      </c>
      <c r="E181">
        <f t="shared" si="52"/>
        <v>133.06666666666666</v>
      </c>
      <c r="F181">
        <v>139</v>
      </c>
      <c r="G181">
        <f t="shared" si="53"/>
        <v>138.66666666666666</v>
      </c>
      <c r="H181">
        <v>128.6</v>
      </c>
      <c r="I181">
        <f t="shared" si="54"/>
        <v>130.03333333333333</v>
      </c>
      <c r="J181">
        <v>136.30000000000001</v>
      </c>
      <c r="K181">
        <f t="shared" si="55"/>
        <v>135.83333333333334</v>
      </c>
      <c r="L181">
        <v>118.8</v>
      </c>
      <c r="M181">
        <f t="shared" si="56"/>
        <v>119.03333333333335</v>
      </c>
      <c r="N181">
        <v>138.30000000000001</v>
      </c>
      <c r="O181">
        <f t="shared" si="57"/>
        <v>135.53333333333333</v>
      </c>
      <c r="P181">
        <v>120.5</v>
      </c>
      <c r="Q181">
        <f t="shared" si="58"/>
        <v>119.8</v>
      </c>
      <c r="R181">
        <v>143.9</v>
      </c>
      <c r="S181">
        <f t="shared" si="59"/>
        <v>151.86666666666667</v>
      </c>
      <c r="T181">
        <v>118</v>
      </c>
      <c r="U181">
        <f t="shared" si="60"/>
        <v>116.96666666666665</v>
      </c>
      <c r="V181">
        <v>137.9</v>
      </c>
      <c r="W181">
        <f t="shared" si="61"/>
        <v>138.73333333333332</v>
      </c>
      <c r="X181">
        <v>127.2</v>
      </c>
      <c r="Y181">
        <f t="shared" si="62"/>
        <v>126.89999999999999</v>
      </c>
      <c r="Z181">
        <v>144</v>
      </c>
      <c r="AA181">
        <f t="shared" si="63"/>
        <v>143.33333333333334</v>
      </c>
      <c r="AB181">
        <v>133.1</v>
      </c>
      <c r="AC181">
        <f t="shared" si="64"/>
        <v>133.06666666666669</v>
      </c>
      <c r="AD181">
        <v>145.1</v>
      </c>
      <c r="AE181">
        <f t="shared" si="65"/>
        <v>144.43333333333337</v>
      </c>
      <c r="AF181">
        <v>137.30000000000001</v>
      </c>
      <c r="AG181">
        <f t="shared" si="66"/>
        <v>136.9</v>
      </c>
      <c r="AH181">
        <v>130.6</v>
      </c>
      <c r="AI181">
        <f t="shared" si="67"/>
        <v>130.36666666666667</v>
      </c>
      <c r="AJ181">
        <v>136.4</v>
      </c>
      <c r="AK181">
        <f t="shared" si="68"/>
        <v>135.96666666666667</v>
      </c>
      <c r="AL181">
        <v>131.1</v>
      </c>
      <c r="AM181">
        <f t="shared" si="69"/>
        <v>130.4</v>
      </c>
      <c r="AN181">
        <v>129.1</v>
      </c>
      <c r="AO181">
        <f t="shared" si="70"/>
        <v>127.93333333333332</v>
      </c>
      <c r="AP181">
        <v>130.1</v>
      </c>
      <c r="AQ181">
        <f t="shared" si="71"/>
        <v>129.73333333333335</v>
      </c>
      <c r="AR181">
        <v>127.8</v>
      </c>
      <c r="AS181">
        <f t="shared" si="72"/>
        <v>127.43333333333334</v>
      </c>
      <c r="AT181">
        <v>117.6</v>
      </c>
      <c r="AU181">
        <f t="shared" si="73"/>
        <v>117.33333333333333</v>
      </c>
      <c r="AV181">
        <v>125</v>
      </c>
      <c r="AW181">
        <f t="shared" si="74"/>
        <v>124.60000000000001</v>
      </c>
      <c r="AX181">
        <v>133.80000000000001</v>
      </c>
      <c r="AY181">
        <f t="shared" si="75"/>
        <v>133.50000000000003</v>
      </c>
      <c r="AZ181">
        <v>122.6</v>
      </c>
      <c r="BA181">
        <f t="shared" si="76"/>
        <v>122.3</v>
      </c>
      <c r="BB181">
        <v>125.1</v>
      </c>
      <c r="BC181">
        <f t="shared" si="77"/>
        <v>124.76666666666665</v>
      </c>
      <c r="BD181">
        <v>130.9</v>
      </c>
      <c r="BE181">
        <f t="shared" si="78"/>
        <v>130.6</v>
      </c>
    </row>
    <row r="182" spans="1:57" hidden="1">
      <c r="A182" t="s">
        <v>34</v>
      </c>
      <c r="B182">
        <v>2017</v>
      </c>
      <c r="C182" t="s">
        <v>37</v>
      </c>
      <c r="D182">
        <v>133</v>
      </c>
      <c r="E182">
        <f t="shared" si="52"/>
        <v>133.13333333333333</v>
      </c>
      <c r="F182">
        <v>139.4</v>
      </c>
      <c r="G182">
        <f t="shared" si="53"/>
        <v>139.06666666666669</v>
      </c>
      <c r="H182">
        <v>126.1</v>
      </c>
      <c r="I182">
        <f t="shared" si="54"/>
        <v>128</v>
      </c>
      <c r="J182">
        <v>137.19999999999999</v>
      </c>
      <c r="K182">
        <f t="shared" si="55"/>
        <v>136.43333333333334</v>
      </c>
      <c r="L182">
        <v>118.4</v>
      </c>
      <c r="M182">
        <f t="shared" si="56"/>
        <v>118.8</v>
      </c>
      <c r="N182">
        <v>139.9</v>
      </c>
      <c r="O182">
        <f t="shared" si="57"/>
        <v>137.83333333333334</v>
      </c>
      <c r="P182">
        <v>123.4</v>
      </c>
      <c r="Q182">
        <f t="shared" si="58"/>
        <v>121.13333333333333</v>
      </c>
      <c r="R182">
        <v>140.9</v>
      </c>
      <c r="S182">
        <f t="shared" si="59"/>
        <v>145.66666666666666</v>
      </c>
      <c r="T182">
        <v>118.5</v>
      </c>
      <c r="U182">
        <f t="shared" si="60"/>
        <v>117.93333333333334</v>
      </c>
      <c r="V182">
        <v>136.5</v>
      </c>
      <c r="W182">
        <f t="shared" si="61"/>
        <v>137.70000000000002</v>
      </c>
      <c r="X182">
        <v>127.4</v>
      </c>
      <c r="Y182">
        <f t="shared" si="62"/>
        <v>127.16666666666667</v>
      </c>
      <c r="Z182">
        <v>144.19999999999999</v>
      </c>
      <c r="AA182">
        <f t="shared" si="63"/>
        <v>143.79999999999998</v>
      </c>
      <c r="AB182">
        <v>133.5</v>
      </c>
      <c r="AC182">
        <f t="shared" si="64"/>
        <v>133.20000000000002</v>
      </c>
      <c r="AD182">
        <v>145.4</v>
      </c>
      <c r="AE182">
        <f t="shared" si="65"/>
        <v>144.96666666666667</v>
      </c>
      <c r="AF182">
        <v>138</v>
      </c>
      <c r="AG182">
        <f t="shared" si="66"/>
        <v>137.36666666666667</v>
      </c>
      <c r="AH182">
        <v>131.1</v>
      </c>
      <c r="AI182">
        <f t="shared" si="67"/>
        <v>130.66666666666666</v>
      </c>
      <c r="AJ182">
        <v>137</v>
      </c>
      <c r="AK182">
        <f t="shared" si="68"/>
        <v>136.43333333333334</v>
      </c>
      <c r="AL182">
        <v>131.69999999999999</v>
      </c>
      <c r="AM182">
        <f t="shared" si="69"/>
        <v>131.1</v>
      </c>
      <c r="AN182">
        <v>129.80000000000001</v>
      </c>
      <c r="AO182">
        <f t="shared" si="70"/>
        <v>128.93333333333334</v>
      </c>
      <c r="AP182">
        <v>130.4</v>
      </c>
      <c r="AQ182">
        <f t="shared" si="71"/>
        <v>130.06666666666663</v>
      </c>
      <c r="AR182">
        <v>128.1</v>
      </c>
      <c r="AS182">
        <f t="shared" si="72"/>
        <v>127.76666666666665</v>
      </c>
      <c r="AT182">
        <v>116.6</v>
      </c>
      <c r="AU182">
        <f t="shared" si="73"/>
        <v>117.2</v>
      </c>
      <c r="AV182">
        <v>125.1</v>
      </c>
      <c r="AW182">
        <f t="shared" si="74"/>
        <v>124.89999999999999</v>
      </c>
      <c r="AX182">
        <v>134.5</v>
      </c>
      <c r="AY182">
        <f t="shared" si="75"/>
        <v>133.9</v>
      </c>
      <c r="AZ182">
        <v>123.1</v>
      </c>
      <c r="BA182">
        <f t="shared" si="76"/>
        <v>122.76666666666665</v>
      </c>
      <c r="BB182">
        <v>125.1</v>
      </c>
      <c r="BC182">
        <f t="shared" si="77"/>
        <v>125</v>
      </c>
      <c r="BD182">
        <v>131.1</v>
      </c>
      <c r="BE182">
        <f t="shared" si="78"/>
        <v>130.86666666666667</v>
      </c>
    </row>
    <row r="183" spans="1:57" hidden="1">
      <c r="A183" t="s">
        <v>34</v>
      </c>
      <c r="B183">
        <v>2017</v>
      </c>
      <c r="C183" t="s">
        <v>38</v>
      </c>
      <c r="D183">
        <v>132.9</v>
      </c>
      <c r="E183">
        <f t="shared" si="52"/>
        <v>133.06666666666669</v>
      </c>
      <c r="F183">
        <v>141.6</v>
      </c>
      <c r="G183">
        <f t="shared" si="53"/>
        <v>140</v>
      </c>
      <c r="H183">
        <v>126.3</v>
      </c>
      <c r="I183">
        <f t="shared" si="54"/>
        <v>127</v>
      </c>
      <c r="J183">
        <v>137.69999999999999</v>
      </c>
      <c r="K183">
        <f t="shared" si="55"/>
        <v>137.06666666666666</v>
      </c>
      <c r="L183">
        <v>118.1</v>
      </c>
      <c r="M183">
        <f t="shared" si="56"/>
        <v>118.43333333333332</v>
      </c>
      <c r="N183">
        <v>137.9</v>
      </c>
      <c r="O183">
        <f t="shared" si="57"/>
        <v>138.70000000000002</v>
      </c>
      <c r="P183">
        <v>125.6</v>
      </c>
      <c r="Q183">
        <f t="shared" si="58"/>
        <v>123.16666666666667</v>
      </c>
      <c r="R183">
        <v>138.30000000000001</v>
      </c>
      <c r="S183">
        <f t="shared" si="59"/>
        <v>141.03333333333333</v>
      </c>
      <c r="T183">
        <v>119.4</v>
      </c>
      <c r="U183">
        <f t="shared" si="60"/>
        <v>118.63333333333333</v>
      </c>
      <c r="V183">
        <v>136</v>
      </c>
      <c r="W183">
        <f t="shared" si="61"/>
        <v>136.79999999999998</v>
      </c>
      <c r="X183">
        <v>127.6</v>
      </c>
      <c r="Y183">
        <f t="shared" si="62"/>
        <v>127.40000000000002</v>
      </c>
      <c r="Z183">
        <v>144.5</v>
      </c>
      <c r="AA183">
        <f t="shared" si="63"/>
        <v>144.23333333333332</v>
      </c>
      <c r="AB183">
        <v>133.69999999999999</v>
      </c>
      <c r="AC183">
        <f t="shared" si="64"/>
        <v>133.43333333333334</v>
      </c>
      <c r="AD183">
        <v>146.19999999999999</v>
      </c>
      <c r="AE183">
        <f t="shared" si="65"/>
        <v>145.56666666666666</v>
      </c>
      <c r="AF183">
        <v>138.19999999999999</v>
      </c>
      <c r="AG183">
        <f t="shared" si="66"/>
        <v>137.83333333333334</v>
      </c>
      <c r="AH183">
        <v>131.4</v>
      </c>
      <c r="AI183">
        <f t="shared" si="67"/>
        <v>131.03333333333333</v>
      </c>
      <c r="AJ183">
        <v>137.19999999999999</v>
      </c>
      <c r="AK183">
        <f t="shared" si="68"/>
        <v>136.86666666666665</v>
      </c>
      <c r="AL183">
        <v>132.1</v>
      </c>
      <c r="AM183">
        <f t="shared" si="69"/>
        <v>131.63333333333333</v>
      </c>
      <c r="AN183">
        <v>129.4</v>
      </c>
      <c r="AO183">
        <f t="shared" si="70"/>
        <v>129.43333333333331</v>
      </c>
      <c r="AP183">
        <v>130.9</v>
      </c>
      <c r="AQ183">
        <f t="shared" si="71"/>
        <v>130.46666666666667</v>
      </c>
      <c r="AR183">
        <v>128.4</v>
      </c>
      <c r="AS183">
        <f t="shared" si="72"/>
        <v>128.1</v>
      </c>
      <c r="AT183">
        <v>116.7</v>
      </c>
      <c r="AU183">
        <f t="shared" si="73"/>
        <v>116.96666666666665</v>
      </c>
      <c r="AV183">
        <v>125.7</v>
      </c>
      <c r="AW183">
        <f t="shared" si="74"/>
        <v>125.26666666666667</v>
      </c>
      <c r="AX183">
        <v>134.80000000000001</v>
      </c>
      <c r="AY183">
        <f t="shared" si="75"/>
        <v>134.36666666666667</v>
      </c>
      <c r="AZ183">
        <v>123</v>
      </c>
      <c r="BA183">
        <f t="shared" si="76"/>
        <v>122.89999999999999</v>
      </c>
      <c r="BB183">
        <v>125.3</v>
      </c>
      <c r="BC183">
        <f t="shared" si="77"/>
        <v>125.16666666666667</v>
      </c>
      <c r="BD183">
        <v>131.4</v>
      </c>
      <c r="BE183">
        <f t="shared" si="78"/>
        <v>131.13333333333333</v>
      </c>
    </row>
    <row r="184" spans="1:57" hidden="1">
      <c r="A184" t="s">
        <v>34</v>
      </c>
      <c r="B184">
        <v>2017</v>
      </c>
      <c r="C184" t="s">
        <v>39</v>
      </c>
      <c r="D184">
        <v>133.30000000000001</v>
      </c>
      <c r="E184">
        <f t="shared" si="52"/>
        <v>133.06666666666666</v>
      </c>
      <c r="F184">
        <v>145.5</v>
      </c>
      <c r="G184">
        <f t="shared" si="53"/>
        <v>142.16666666666666</v>
      </c>
      <c r="H184">
        <v>128.1</v>
      </c>
      <c r="I184">
        <f t="shared" si="54"/>
        <v>126.83333333333333</v>
      </c>
      <c r="J184">
        <v>138.1</v>
      </c>
      <c r="K184">
        <f t="shared" si="55"/>
        <v>137.66666666666666</v>
      </c>
      <c r="L184">
        <v>118.2</v>
      </c>
      <c r="M184">
        <f t="shared" si="56"/>
        <v>118.23333333333333</v>
      </c>
      <c r="N184">
        <v>139.19999999999999</v>
      </c>
      <c r="O184">
        <f t="shared" si="57"/>
        <v>139</v>
      </c>
      <c r="P184">
        <v>133.30000000000001</v>
      </c>
      <c r="Q184">
        <f t="shared" si="58"/>
        <v>127.43333333333334</v>
      </c>
      <c r="R184">
        <v>136.19999999999999</v>
      </c>
      <c r="S184">
        <f t="shared" si="59"/>
        <v>138.46666666666667</v>
      </c>
      <c r="T184">
        <v>119.6</v>
      </c>
      <c r="U184">
        <f t="shared" si="60"/>
        <v>119.16666666666667</v>
      </c>
      <c r="V184">
        <v>135.30000000000001</v>
      </c>
      <c r="W184">
        <f t="shared" si="61"/>
        <v>135.93333333333334</v>
      </c>
      <c r="X184">
        <v>127.8</v>
      </c>
      <c r="Y184">
        <f t="shared" si="62"/>
        <v>127.60000000000001</v>
      </c>
      <c r="Z184">
        <v>144.9</v>
      </c>
      <c r="AA184">
        <f t="shared" si="63"/>
        <v>144.53333333333333</v>
      </c>
      <c r="AB184">
        <v>135.19999999999999</v>
      </c>
      <c r="AC184">
        <f t="shared" si="64"/>
        <v>134.13333333333333</v>
      </c>
      <c r="AD184">
        <v>146.5</v>
      </c>
      <c r="AE184">
        <f t="shared" si="65"/>
        <v>146.03333333333333</v>
      </c>
      <c r="AF184">
        <v>138.5</v>
      </c>
      <c r="AG184">
        <f t="shared" si="66"/>
        <v>138.23333333333332</v>
      </c>
      <c r="AH184">
        <v>131.69999999999999</v>
      </c>
      <c r="AI184">
        <f t="shared" si="67"/>
        <v>131.4</v>
      </c>
      <c r="AJ184">
        <v>137.5</v>
      </c>
      <c r="AK184">
        <f t="shared" si="68"/>
        <v>137.23333333333332</v>
      </c>
      <c r="AL184">
        <v>131.4</v>
      </c>
      <c r="AM184">
        <f t="shared" si="69"/>
        <v>131.73333333333332</v>
      </c>
      <c r="AN184">
        <v>128.80000000000001</v>
      </c>
      <c r="AO184">
        <f t="shared" si="70"/>
        <v>129.33333333333334</v>
      </c>
      <c r="AP184">
        <v>131.19999999999999</v>
      </c>
      <c r="AQ184">
        <f t="shared" si="71"/>
        <v>130.83333333333334</v>
      </c>
      <c r="AR184">
        <v>128.5</v>
      </c>
      <c r="AS184">
        <f t="shared" si="72"/>
        <v>128.33333333333334</v>
      </c>
      <c r="AT184">
        <v>116.5</v>
      </c>
      <c r="AU184">
        <f t="shared" si="73"/>
        <v>116.60000000000001</v>
      </c>
      <c r="AV184">
        <v>125.9</v>
      </c>
      <c r="AW184">
        <f t="shared" si="74"/>
        <v>125.56666666666668</v>
      </c>
      <c r="AX184">
        <v>135.4</v>
      </c>
      <c r="AY184">
        <f t="shared" si="75"/>
        <v>134.9</v>
      </c>
      <c r="AZ184">
        <v>123.4</v>
      </c>
      <c r="BA184">
        <f t="shared" si="76"/>
        <v>123.16666666666667</v>
      </c>
      <c r="BB184">
        <v>125.5</v>
      </c>
      <c r="BC184">
        <f t="shared" si="77"/>
        <v>125.3</v>
      </c>
      <c r="BD184">
        <v>132</v>
      </c>
      <c r="BE184">
        <f t="shared" si="78"/>
        <v>131.5</v>
      </c>
    </row>
    <row r="185" spans="1:57" hidden="1">
      <c r="A185" t="s">
        <v>34</v>
      </c>
      <c r="B185">
        <v>2017</v>
      </c>
      <c r="C185" t="s">
        <v>40</v>
      </c>
      <c r="D185">
        <v>133.6</v>
      </c>
      <c r="E185">
        <f t="shared" si="52"/>
        <v>133.26666666666668</v>
      </c>
      <c r="F185">
        <v>145.69999999999999</v>
      </c>
      <c r="G185">
        <f t="shared" si="53"/>
        <v>144.26666666666668</v>
      </c>
      <c r="H185">
        <v>129.6</v>
      </c>
      <c r="I185">
        <f t="shared" si="54"/>
        <v>128</v>
      </c>
      <c r="J185">
        <v>138.5</v>
      </c>
      <c r="K185">
        <f t="shared" si="55"/>
        <v>138.1</v>
      </c>
      <c r="L185">
        <v>118.1</v>
      </c>
      <c r="M185">
        <f t="shared" si="56"/>
        <v>118.13333333333333</v>
      </c>
      <c r="N185">
        <v>141.80000000000001</v>
      </c>
      <c r="O185">
        <f t="shared" si="57"/>
        <v>139.63333333333335</v>
      </c>
      <c r="P185">
        <v>159.5</v>
      </c>
      <c r="Q185">
        <f t="shared" si="58"/>
        <v>139.46666666666667</v>
      </c>
      <c r="R185">
        <v>133.6</v>
      </c>
      <c r="S185">
        <f t="shared" si="59"/>
        <v>136.03333333333333</v>
      </c>
      <c r="T185">
        <v>120.5</v>
      </c>
      <c r="U185">
        <f t="shared" si="60"/>
        <v>119.83333333333333</v>
      </c>
      <c r="V185">
        <v>135.19999999999999</v>
      </c>
      <c r="W185">
        <f t="shared" si="61"/>
        <v>135.5</v>
      </c>
      <c r="X185">
        <v>128.5</v>
      </c>
      <c r="Y185">
        <f t="shared" si="62"/>
        <v>127.96666666666665</v>
      </c>
      <c r="Z185">
        <v>145.80000000000001</v>
      </c>
      <c r="AA185">
        <f t="shared" si="63"/>
        <v>145.06666666666666</v>
      </c>
      <c r="AB185">
        <v>139</v>
      </c>
      <c r="AC185">
        <f t="shared" si="64"/>
        <v>135.96666666666667</v>
      </c>
      <c r="AD185">
        <v>148.19999999999999</v>
      </c>
      <c r="AE185">
        <f t="shared" si="65"/>
        <v>146.96666666666667</v>
      </c>
      <c r="AF185">
        <v>139.30000000000001</v>
      </c>
      <c r="AG185">
        <f t="shared" si="66"/>
        <v>138.66666666666666</v>
      </c>
      <c r="AH185">
        <v>132.1</v>
      </c>
      <c r="AI185">
        <f t="shared" si="67"/>
        <v>131.73333333333335</v>
      </c>
      <c r="AJ185">
        <v>138.30000000000001</v>
      </c>
      <c r="AK185">
        <f t="shared" si="68"/>
        <v>137.66666666666666</v>
      </c>
      <c r="AL185">
        <v>132.6</v>
      </c>
      <c r="AM185">
        <f t="shared" si="69"/>
        <v>132.03333333333333</v>
      </c>
      <c r="AN185">
        <v>129.4</v>
      </c>
      <c r="AO185">
        <f t="shared" si="70"/>
        <v>129.20000000000002</v>
      </c>
      <c r="AP185">
        <v>131.9</v>
      </c>
      <c r="AQ185">
        <f t="shared" si="71"/>
        <v>131.33333333333334</v>
      </c>
      <c r="AR185">
        <v>129.4</v>
      </c>
      <c r="AS185">
        <f t="shared" si="72"/>
        <v>128.76666666666665</v>
      </c>
      <c r="AT185">
        <v>116</v>
      </c>
      <c r="AU185">
        <f t="shared" si="73"/>
        <v>116.39999999999999</v>
      </c>
      <c r="AV185">
        <v>126.6</v>
      </c>
      <c r="AW185">
        <f t="shared" si="74"/>
        <v>126.06666666666668</v>
      </c>
      <c r="AX185">
        <v>136.80000000000001</v>
      </c>
      <c r="AY185">
        <f t="shared" si="75"/>
        <v>135.66666666666669</v>
      </c>
      <c r="AZ185">
        <v>123.6</v>
      </c>
      <c r="BA185">
        <f t="shared" si="76"/>
        <v>123.33333333333333</v>
      </c>
      <c r="BB185">
        <v>125.9</v>
      </c>
      <c r="BC185">
        <f t="shared" si="77"/>
        <v>125.56666666666668</v>
      </c>
      <c r="BD185">
        <v>134.19999999999999</v>
      </c>
      <c r="BE185">
        <f t="shared" si="78"/>
        <v>132.53333333333333</v>
      </c>
    </row>
    <row r="186" spans="1:57" hidden="1">
      <c r="A186" t="s">
        <v>34</v>
      </c>
      <c r="B186">
        <v>2017</v>
      </c>
      <c r="C186" t="s">
        <v>41</v>
      </c>
      <c r="D186">
        <v>134.30000000000001</v>
      </c>
      <c r="E186">
        <f t="shared" si="52"/>
        <v>133.73333333333332</v>
      </c>
      <c r="F186">
        <v>143.4</v>
      </c>
      <c r="G186">
        <f t="shared" si="53"/>
        <v>144.86666666666667</v>
      </c>
      <c r="H186">
        <v>129.30000000000001</v>
      </c>
      <c r="I186">
        <f t="shared" si="54"/>
        <v>129</v>
      </c>
      <c r="J186">
        <v>139</v>
      </c>
      <c r="K186">
        <f t="shared" si="55"/>
        <v>138.53333333333333</v>
      </c>
      <c r="L186">
        <v>118.1</v>
      </c>
      <c r="M186">
        <f t="shared" si="56"/>
        <v>118.13333333333333</v>
      </c>
      <c r="N186">
        <v>145.5</v>
      </c>
      <c r="O186">
        <f t="shared" si="57"/>
        <v>142.16666666666666</v>
      </c>
      <c r="P186">
        <v>168.6</v>
      </c>
      <c r="Q186">
        <f t="shared" si="58"/>
        <v>153.79999999999998</v>
      </c>
      <c r="R186">
        <v>132.69999999999999</v>
      </c>
      <c r="S186">
        <f t="shared" si="59"/>
        <v>134.16666666666666</v>
      </c>
      <c r="T186">
        <v>121.2</v>
      </c>
      <c r="U186">
        <f t="shared" si="60"/>
        <v>120.43333333333334</v>
      </c>
      <c r="V186">
        <v>135.6</v>
      </c>
      <c r="W186">
        <f t="shared" si="61"/>
        <v>135.36666666666667</v>
      </c>
      <c r="X186">
        <v>128.69999999999999</v>
      </c>
      <c r="Y186">
        <f t="shared" si="62"/>
        <v>128.33333333333334</v>
      </c>
      <c r="Z186">
        <v>146.80000000000001</v>
      </c>
      <c r="AA186">
        <f t="shared" si="63"/>
        <v>145.83333333333334</v>
      </c>
      <c r="AB186">
        <v>140.6</v>
      </c>
      <c r="AC186">
        <f t="shared" si="64"/>
        <v>138.26666666666665</v>
      </c>
      <c r="AD186">
        <v>149.80000000000001</v>
      </c>
      <c r="AE186">
        <f t="shared" si="65"/>
        <v>148.16666666666666</v>
      </c>
      <c r="AF186">
        <v>140.30000000000001</v>
      </c>
      <c r="AG186">
        <f t="shared" si="66"/>
        <v>139.36666666666667</v>
      </c>
      <c r="AH186">
        <v>133</v>
      </c>
      <c r="AI186">
        <f t="shared" si="67"/>
        <v>132.26666666666665</v>
      </c>
      <c r="AJ186">
        <v>139.30000000000001</v>
      </c>
      <c r="AK186">
        <f t="shared" si="68"/>
        <v>138.36666666666667</v>
      </c>
      <c r="AL186">
        <v>134.4</v>
      </c>
      <c r="AM186">
        <f t="shared" si="69"/>
        <v>132.79999999999998</v>
      </c>
      <c r="AN186">
        <v>129.80000000000001</v>
      </c>
      <c r="AO186">
        <f t="shared" si="70"/>
        <v>129.33333333333334</v>
      </c>
      <c r="AP186">
        <v>132.80000000000001</v>
      </c>
      <c r="AQ186">
        <f t="shared" si="71"/>
        <v>131.96666666666667</v>
      </c>
      <c r="AR186">
        <v>130.19999999999999</v>
      </c>
      <c r="AS186">
        <f t="shared" si="72"/>
        <v>129.36666666666665</v>
      </c>
      <c r="AT186">
        <v>117.3</v>
      </c>
      <c r="AU186">
        <f t="shared" si="73"/>
        <v>116.60000000000001</v>
      </c>
      <c r="AV186">
        <v>127.3</v>
      </c>
      <c r="AW186">
        <f t="shared" si="74"/>
        <v>126.60000000000001</v>
      </c>
      <c r="AX186">
        <v>137.6</v>
      </c>
      <c r="AY186">
        <f t="shared" si="75"/>
        <v>136.60000000000002</v>
      </c>
      <c r="AZ186">
        <v>124.5</v>
      </c>
      <c r="BA186">
        <f t="shared" si="76"/>
        <v>123.83333333333333</v>
      </c>
      <c r="BB186">
        <v>126.8</v>
      </c>
      <c r="BC186">
        <f t="shared" si="77"/>
        <v>126.06666666666666</v>
      </c>
      <c r="BD186">
        <v>135.4</v>
      </c>
      <c r="BE186">
        <f t="shared" si="78"/>
        <v>133.86666666666667</v>
      </c>
    </row>
    <row r="187" spans="1:57" hidden="1">
      <c r="A187" t="s">
        <v>34</v>
      </c>
      <c r="B187">
        <v>2017</v>
      </c>
      <c r="C187" t="s">
        <v>42</v>
      </c>
      <c r="D187">
        <v>134.69999999999999</v>
      </c>
      <c r="E187">
        <f t="shared" si="52"/>
        <v>134.19999999999999</v>
      </c>
      <c r="F187">
        <v>142.4</v>
      </c>
      <c r="G187">
        <f t="shared" si="53"/>
        <v>143.83333333333334</v>
      </c>
      <c r="H187">
        <v>130.19999999999999</v>
      </c>
      <c r="I187">
        <f t="shared" si="54"/>
        <v>129.69999999999999</v>
      </c>
      <c r="J187">
        <v>139.6</v>
      </c>
      <c r="K187">
        <f t="shared" si="55"/>
        <v>139.03333333333333</v>
      </c>
      <c r="L187">
        <v>118.4</v>
      </c>
      <c r="M187">
        <f t="shared" si="56"/>
        <v>118.2</v>
      </c>
      <c r="N187">
        <v>143</v>
      </c>
      <c r="O187">
        <f t="shared" si="57"/>
        <v>143.43333333333334</v>
      </c>
      <c r="P187">
        <v>156.6</v>
      </c>
      <c r="Q187">
        <f t="shared" si="58"/>
        <v>161.56666666666669</v>
      </c>
      <c r="R187">
        <v>132.9</v>
      </c>
      <c r="S187">
        <f t="shared" si="59"/>
        <v>133.06666666666663</v>
      </c>
      <c r="T187">
        <v>121.5</v>
      </c>
      <c r="U187">
        <f t="shared" si="60"/>
        <v>121.06666666666666</v>
      </c>
      <c r="V187">
        <v>135.6</v>
      </c>
      <c r="W187">
        <f t="shared" si="61"/>
        <v>135.46666666666667</v>
      </c>
      <c r="X187">
        <v>128.80000000000001</v>
      </c>
      <c r="Y187">
        <f t="shared" si="62"/>
        <v>128.66666666666666</v>
      </c>
      <c r="Z187">
        <v>147.30000000000001</v>
      </c>
      <c r="AA187">
        <f t="shared" si="63"/>
        <v>146.63333333333335</v>
      </c>
      <c r="AB187">
        <v>139</v>
      </c>
      <c r="AC187">
        <f t="shared" si="64"/>
        <v>139.53333333333333</v>
      </c>
      <c r="AD187">
        <v>150.80000000000001</v>
      </c>
      <c r="AE187">
        <f t="shared" si="65"/>
        <v>149.6</v>
      </c>
      <c r="AF187">
        <v>141.1</v>
      </c>
      <c r="AG187">
        <f t="shared" si="66"/>
        <v>140.23333333333335</v>
      </c>
      <c r="AH187">
        <v>133.4</v>
      </c>
      <c r="AI187">
        <f t="shared" si="67"/>
        <v>132.83333333333334</v>
      </c>
      <c r="AJ187">
        <v>140</v>
      </c>
      <c r="AK187">
        <f t="shared" si="68"/>
        <v>139.20000000000002</v>
      </c>
      <c r="AL187">
        <v>135.69999999999999</v>
      </c>
      <c r="AM187">
        <f t="shared" si="69"/>
        <v>134.23333333333332</v>
      </c>
      <c r="AN187">
        <v>131</v>
      </c>
      <c r="AO187">
        <f t="shared" si="70"/>
        <v>130.06666666666669</v>
      </c>
      <c r="AP187">
        <v>133.30000000000001</v>
      </c>
      <c r="AQ187">
        <f t="shared" si="71"/>
        <v>132.66666666666669</v>
      </c>
      <c r="AR187">
        <v>130.6</v>
      </c>
      <c r="AS187">
        <f t="shared" si="72"/>
        <v>130.06666666666669</v>
      </c>
      <c r="AT187">
        <v>118.3</v>
      </c>
      <c r="AU187">
        <f t="shared" si="73"/>
        <v>117.2</v>
      </c>
      <c r="AV187">
        <v>127.9</v>
      </c>
      <c r="AW187">
        <f t="shared" si="74"/>
        <v>127.26666666666665</v>
      </c>
      <c r="AX187">
        <v>137.4</v>
      </c>
      <c r="AY187">
        <f t="shared" si="75"/>
        <v>137.26666666666665</v>
      </c>
      <c r="AZ187">
        <v>125.7</v>
      </c>
      <c r="BA187">
        <f t="shared" si="76"/>
        <v>124.60000000000001</v>
      </c>
      <c r="BB187">
        <v>127.5</v>
      </c>
      <c r="BC187">
        <f t="shared" si="77"/>
        <v>126.73333333333333</v>
      </c>
      <c r="BD187">
        <v>135.19999999999999</v>
      </c>
      <c r="BE187">
        <f t="shared" si="78"/>
        <v>134.93333333333334</v>
      </c>
    </row>
    <row r="188" spans="1:57" hidden="1">
      <c r="A188" t="s">
        <v>34</v>
      </c>
      <c r="B188">
        <v>2017</v>
      </c>
      <c r="C188" t="s">
        <v>43</v>
      </c>
      <c r="D188">
        <v>135.30000000000001</v>
      </c>
      <c r="E188">
        <f t="shared" si="52"/>
        <v>134.76666666666668</v>
      </c>
      <c r="F188">
        <v>142.19999999999999</v>
      </c>
      <c r="G188">
        <f t="shared" si="53"/>
        <v>142.66666666666666</v>
      </c>
      <c r="H188">
        <v>131.19999999999999</v>
      </c>
      <c r="I188">
        <f t="shared" si="54"/>
        <v>130.23333333333332</v>
      </c>
      <c r="J188">
        <v>140.6</v>
      </c>
      <c r="K188">
        <f t="shared" si="55"/>
        <v>139.73333333333335</v>
      </c>
      <c r="L188">
        <v>119</v>
      </c>
      <c r="M188">
        <f t="shared" si="56"/>
        <v>118.5</v>
      </c>
      <c r="N188">
        <v>141.5</v>
      </c>
      <c r="O188">
        <f t="shared" si="57"/>
        <v>143.33333333333334</v>
      </c>
      <c r="P188">
        <v>162.6</v>
      </c>
      <c r="Q188">
        <f t="shared" si="58"/>
        <v>162.6</v>
      </c>
      <c r="R188">
        <v>132.30000000000001</v>
      </c>
      <c r="S188">
        <f t="shared" si="59"/>
        <v>132.63333333333335</v>
      </c>
      <c r="T188">
        <v>121.8</v>
      </c>
      <c r="U188">
        <f t="shared" si="60"/>
        <v>121.5</v>
      </c>
      <c r="V188">
        <v>136.30000000000001</v>
      </c>
      <c r="W188">
        <f t="shared" si="61"/>
        <v>135.83333333333334</v>
      </c>
      <c r="X188">
        <v>128.69999999999999</v>
      </c>
      <c r="Y188">
        <f t="shared" si="62"/>
        <v>128.73333333333332</v>
      </c>
      <c r="Z188">
        <v>148.1</v>
      </c>
      <c r="AA188">
        <f t="shared" si="63"/>
        <v>147.4</v>
      </c>
      <c r="AB188">
        <v>140.1</v>
      </c>
      <c r="AC188">
        <f t="shared" si="64"/>
        <v>139.9</v>
      </c>
      <c r="AD188">
        <v>151.6</v>
      </c>
      <c r="AE188">
        <f t="shared" si="65"/>
        <v>150.73333333333335</v>
      </c>
      <c r="AF188">
        <v>142</v>
      </c>
      <c r="AG188">
        <f t="shared" si="66"/>
        <v>141.13333333333333</v>
      </c>
      <c r="AH188">
        <v>134.1</v>
      </c>
      <c r="AI188">
        <f t="shared" si="67"/>
        <v>133.5</v>
      </c>
      <c r="AJ188">
        <v>140.80000000000001</v>
      </c>
      <c r="AK188">
        <f t="shared" si="68"/>
        <v>140.03333333333333</v>
      </c>
      <c r="AL188">
        <v>137.30000000000001</v>
      </c>
      <c r="AM188">
        <f t="shared" si="69"/>
        <v>135.80000000000001</v>
      </c>
      <c r="AN188">
        <v>132.19999999999999</v>
      </c>
      <c r="AO188">
        <f t="shared" si="70"/>
        <v>131</v>
      </c>
      <c r="AP188">
        <v>133.6</v>
      </c>
      <c r="AQ188">
        <f t="shared" si="71"/>
        <v>133.23333333333335</v>
      </c>
      <c r="AR188">
        <v>131.30000000000001</v>
      </c>
      <c r="AS188">
        <f t="shared" si="72"/>
        <v>130.69999999999999</v>
      </c>
      <c r="AT188">
        <v>117.8</v>
      </c>
      <c r="AU188">
        <f t="shared" si="73"/>
        <v>117.8</v>
      </c>
      <c r="AV188">
        <v>128.4</v>
      </c>
      <c r="AW188">
        <f t="shared" si="74"/>
        <v>127.86666666666667</v>
      </c>
      <c r="AX188">
        <v>137.9</v>
      </c>
      <c r="AY188">
        <f t="shared" si="75"/>
        <v>137.63333333333333</v>
      </c>
      <c r="AZ188">
        <v>126.2</v>
      </c>
      <c r="BA188">
        <f t="shared" si="76"/>
        <v>125.46666666666665</v>
      </c>
      <c r="BB188">
        <v>127.7</v>
      </c>
      <c r="BC188">
        <f t="shared" si="77"/>
        <v>127.33333333333333</v>
      </c>
      <c r="BD188">
        <v>136.1</v>
      </c>
      <c r="BE188">
        <f t="shared" si="78"/>
        <v>135.56666666666669</v>
      </c>
    </row>
    <row r="189" spans="1:57" hidden="1">
      <c r="A189" t="s">
        <v>34</v>
      </c>
      <c r="B189">
        <v>2017</v>
      </c>
      <c r="C189" t="s">
        <v>45</v>
      </c>
      <c r="D189">
        <v>135.69999999999999</v>
      </c>
      <c r="E189">
        <f t="shared" si="52"/>
        <v>135.23333333333332</v>
      </c>
      <c r="F189">
        <v>142.4</v>
      </c>
      <c r="G189">
        <f t="shared" si="53"/>
        <v>142.33333333333334</v>
      </c>
      <c r="H189">
        <v>142.9</v>
      </c>
      <c r="I189">
        <f t="shared" si="54"/>
        <v>134.76666666666665</v>
      </c>
      <c r="J189">
        <v>140.80000000000001</v>
      </c>
      <c r="K189">
        <f t="shared" si="55"/>
        <v>140.33333333333334</v>
      </c>
      <c r="L189">
        <v>119.2</v>
      </c>
      <c r="M189">
        <f t="shared" si="56"/>
        <v>118.86666666666667</v>
      </c>
      <c r="N189">
        <v>142.19999999999999</v>
      </c>
      <c r="O189">
        <f t="shared" si="57"/>
        <v>142.23333333333332</v>
      </c>
      <c r="P189">
        <v>173.8</v>
      </c>
      <c r="Q189">
        <f t="shared" si="58"/>
        <v>164.33333333333334</v>
      </c>
      <c r="R189">
        <v>131.19999999999999</v>
      </c>
      <c r="S189">
        <f t="shared" si="59"/>
        <v>132.13333333333335</v>
      </c>
      <c r="T189">
        <v>123</v>
      </c>
      <c r="U189">
        <f t="shared" si="60"/>
        <v>122.10000000000001</v>
      </c>
      <c r="V189">
        <v>136.80000000000001</v>
      </c>
      <c r="W189">
        <f t="shared" si="61"/>
        <v>136.23333333333332</v>
      </c>
      <c r="X189">
        <v>129.19999999999999</v>
      </c>
      <c r="Y189">
        <f t="shared" si="62"/>
        <v>128.9</v>
      </c>
      <c r="Z189">
        <v>148.9</v>
      </c>
      <c r="AA189">
        <f t="shared" si="63"/>
        <v>148.1</v>
      </c>
      <c r="AB189">
        <v>142.1</v>
      </c>
      <c r="AC189">
        <f t="shared" si="64"/>
        <v>140.4</v>
      </c>
      <c r="AD189">
        <v>153.19999999999999</v>
      </c>
      <c r="AE189">
        <f t="shared" si="65"/>
        <v>151.86666666666665</v>
      </c>
      <c r="AF189">
        <v>143</v>
      </c>
      <c r="AG189">
        <f t="shared" si="66"/>
        <v>142.03333333333333</v>
      </c>
      <c r="AH189">
        <v>134.80000000000001</v>
      </c>
      <c r="AI189">
        <f t="shared" si="67"/>
        <v>134.1</v>
      </c>
      <c r="AJ189">
        <v>141.80000000000001</v>
      </c>
      <c r="AK189">
        <f t="shared" si="68"/>
        <v>140.86666666666667</v>
      </c>
      <c r="AL189">
        <v>138.6</v>
      </c>
      <c r="AM189">
        <f t="shared" si="69"/>
        <v>137.20000000000002</v>
      </c>
      <c r="AN189">
        <v>135.30000000000001</v>
      </c>
      <c r="AO189">
        <f t="shared" si="70"/>
        <v>132.83333333333334</v>
      </c>
      <c r="AP189">
        <v>134.4</v>
      </c>
      <c r="AQ189">
        <f t="shared" si="71"/>
        <v>133.76666666666665</v>
      </c>
      <c r="AR189">
        <v>132.6</v>
      </c>
      <c r="AS189">
        <f t="shared" si="72"/>
        <v>131.5</v>
      </c>
      <c r="AT189">
        <v>118.3</v>
      </c>
      <c r="AU189">
        <f t="shared" si="73"/>
        <v>118.13333333333333</v>
      </c>
      <c r="AV189">
        <v>128.9</v>
      </c>
      <c r="AW189">
        <f t="shared" si="74"/>
        <v>128.4</v>
      </c>
      <c r="AX189">
        <v>138.6</v>
      </c>
      <c r="AY189">
        <f t="shared" si="75"/>
        <v>137.96666666666667</v>
      </c>
      <c r="AZ189">
        <v>126.8</v>
      </c>
      <c r="BA189">
        <f t="shared" si="76"/>
        <v>126.23333333333333</v>
      </c>
      <c r="BB189">
        <v>128.4</v>
      </c>
      <c r="BC189">
        <f t="shared" si="77"/>
        <v>127.86666666666667</v>
      </c>
      <c r="BD189">
        <v>137.6</v>
      </c>
      <c r="BE189">
        <f t="shared" si="78"/>
        <v>136.29999999999998</v>
      </c>
    </row>
    <row r="190" spans="1:57" hidden="1">
      <c r="A190" t="s">
        <v>34</v>
      </c>
      <c r="B190">
        <v>2017</v>
      </c>
      <c r="C190" t="s">
        <v>46</v>
      </c>
      <c r="D190">
        <v>135.80000000000001</v>
      </c>
      <c r="E190">
        <f t="shared" si="52"/>
        <v>135.6</v>
      </c>
      <c r="F190">
        <v>143.30000000000001</v>
      </c>
      <c r="G190">
        <f t="shared" si="53"/>
        <v>142.63333333333335</v>
      </c>
      <c r="H190">
        <v>145.19999999999999</v>
      </c>
      <c r="I190">
        <f t="shared" si="54"/>
        <v>139.76666666666668</v>
      </c>
      <c r="J190">
        <v>141</v>
      </c>
      <c r="K190">
        <f t="shared" si="55"/>
        <v>140.79999999999998</v>
      </c>
      <c r="L190">
        <v>120.5</v>
      </c>
      <c r="M190">
        <f t="shared" si="56"/>
        <v>119.56666666666666</v>
      </c>
      <c r="N190">
        <v>141.5</v>
      </c>
      <c r="O190">
        <f t="shared" si="57"/>
        <v>141.73333333333332</v>
      </c>
      <c r="P190">
        <v>161.69999999999999</v>
      </c>
      <c r="Q190">
        <f t="shared" si="58"/>
        <v>166.03333333333333</v>
      </c>
      <c r="R190">
        <v>129.1</v>
      </c>
      <c r="S190">
        <f t="shared" si="59"/>
        <v>130.86666666666667</v>
      </c>
      <c r="T190">
        <v>121.5</v>
      </c>
      <c r="U190">
        <f t="shared" si="60"/>
        <v>122.10000000000001</v>
      </c>
      <c r="V190">
        <v>137.1</v>
      </c>
      <c r="W190">
        <f t="shared" si="61"/>
        <v>136.73333333333335</v>
      </c>
      <c r="X190">
        <v>128.80000000000001</v>
      </c>
      <c r="Y190">
        <f t="shared" si="62"/>
        <v>128.9</v>
      </c>
      <c r="Z190">
        <v>149</v>
      </c>
      <c r="AA190">
        <f t="shared" si="63"/>
        <v>148.66666666666666</v>
      </c>
      <c r="AB190">
        <v>140.5</v>
      </c>
      <c r="AC190">
        <f t="shared" si="64"/>
        <v>140.9</v>
      </c>
      <c r="AD190">
        <v>154.19999999999999</v>
      </c>
      <c r="AE190">
        <f t="shared" si="65"/>
        <v>152.99999999999997</v>
      </c>
      <c r="AF190">
        <v>143.1</v>
      </c>
      <c r="AG190">
        <f t="shared" si="66"/>
        <v>142.70000000000002</v>
      </c>
      <c r="AH190">
        <v>135.1</v>
      </c>
      <c r="AI190">
        <f t="shared" si="67"/>
        <v>134.66666666666666</v>
      </c>
      <c r="AJ190">
        <v>142</v>
      </c>
      <c r="AK190">
        <f t="shared" si="68"/>
        <v>141.53333333333333</v>
      </c>
      <c r="AL190">
        <v>139.1</v>
      </c>
      <c r="AM190">
        <f t="shared" si="69"/>
        <v>138.33333333333334</v>
      </c>
      <c r="AN190">
        <v>136.6</v>
      </c>
      <c r="AO190">
        <f t="shared" si="70"/>
        <v>134.70000000000002</v>
      </c>
      <c r="AP190">
        <v>134.69999999999999</v>
      </c>
      <c r="AQ190">
        <f t="shared" si="71"/>
        <v>134.23333333333332</v>
      </c>
      <c r="AR190">
        <v>133.1</v>
      </c>
      <c r="AS190">
        <f t="shared" si="72"/>
        <v>132.33333333333334</v>
      </c>
      <c r="AT190">
        <v>118.5</v>
      </c>
      <c r="AU190">
        <f t="shared" si="73"/>
        <v>118.2</v>
      </c>
      <c r="AV190">
        <v>129</v>
      </c>
      <c r="AW190">
        <f t="shared" si="74"/>
        <v>128.76666666666668</v>
      </c>
      <c r="AX190">
        <v>138.5</v>
      </c>
      <c r="AY190">
        <f t="shared" si="75"/>
        <v>138.33333333333334</v>
      </c>
      <c r="AZ190">
        <v>126.5</v>
      </c>
      <c r="BA190">
        <f t="shared" si="76"/>
        <v>126.5</v>
      </c>
      <c r="BB190">
        <v>128.6</v>
      </c>
      <c r="BC190">
        <f t="shared" si="77"/>
        <v>128.23333333333335</v>
      </c>
      <c r="BD190">
        <v>137.19999999999999</v>
      </c>
      <c r="BE190">
        <f t="shared" si="78"/>
        <v>136.96666666666667</v>
      </c>
    </row>
    <row r="191" spans="1:57" hidden="1">
      <c r="A191" t="s">
        <v>34</v>
      </c>
      <c r="B191">
        <v>2018</v>
      </c>
      <c r="C191" t="s">
        <v>31</v>
      </c>
      <c r="D191">
        <v>136</v>
      </c>
      <c r="E191">
        <f t="shared" si="52"/>
        <v>135.83333333333334</v>
      </c>
      <c r="F191">
        <v>144.19999999999999</v>
      </c>
      <c r="G191">
        <f t="shared" si="53"/>
        <v>143.30000000000001</v>
      </c>
      <c r="H191">
        <v>143.69999999999999</v>
      </c>
      <c r="I191">
        <f t="shared" si="54"/>
        <v>143.93333333333334</v>
      </c>
      <c r="J191">
        <v>141.1</v>
      </c>
      <c r="K191">
        <f t="shared" si="55"/>
        <v>140.96666666666667</v>
      </c>
      <c r="L191">
        <v>120.7</v>
      </c>
      <c r="M191">
        <f t="shared" si="56"/>
        <v>120.13333333333333</v>
      </c>
      <c r="N191">
        <v>141.30000000000001</v>
      </c>
      <c r="O191">
        <f t="shared" si="57"/>
        <v>141.66666666666666</v>
      </c>
      <c r="P191">
        <v>151.6</v>
      </c>
      <c r="Q191">
        <f t="shared" si="58"/>
        <v>162.36666666666667</v>
      </c>
      <c r="R191">
        <v>127.3</v>
      </c>
      <c r="S191">
        <f t="shared" si="59"/>
        <v>129.19999999999999</v>
      </c>
      <c r="T191">
        <v>118.8</v>
      </c>
      <c r="U191">
        <f t="shared" si="60"/>
        <v>121.10000000000001</v>
      </c>
      <c r="V191">
        <v>137.5</v>
      </c>
      <c r="W191">
        <f t="shared" si="61"/>
        <v>137.13333333333333</v>
      </c>
      <c r="X191">
        <v>129</v>
      </c>
      <c r="Y191">
        <f t="shared" si="62"/>
        <v>129</v>
      </c>
      <c r="Z191">
        <v>149.5</v>
      </c>
      <c r="AA191">
        <f t="shared" si="63"/>
        <v>149.13333333333333</v>
      </c>
      <c r="AB191">
        <v>139.19999999999999</v>
      </c>
      <c r="AC191">
        <f t="shared" si="64"/>
        <v>140.6</v>
      </c>
      <c r="AD191">
        <v>154.69999999999999</v>
      </c>
      <c r="AE191">
        <f t="shared" si="65"/>
        <v>154.03333333333333</v>
      </c>
      <c r="AF191">
        <v>143.5</v>
      </c>
      <c r="AG191">
        <f t="shared" si="66"/>
        <v>143.20000000000002</v>
      </c>
      <c r="AH191">
        <v>135.5</v>
      </c>
      <c r="AI191">
        <f t="shared" si="67"/>
        <v>135.13333333333333</v>
      </c>
      <c r="AJ191">
        <v>142.30000000000001</v>
      </c>
      <c r="AK191">
        <f t="shared" si="68"/>
        <v>142.03333333333333</v>
      </c>
      <c r="AL191">
        <v>140.4</v>
      </c>
      <c r="AM191">
        <f t="shared" si="69"/>
        <v>139.36666666666667</v>
      </c>
      <c r="AN191">
        <v>136.6</v>
      </c>
      <c r="AO191">
        <f t="shared" si="70"/>
        <v>136.16666666666666</v>
      </c>
      <c r="AP191">
        <v>134.9</v>
      </c>
      <c r="AQ191">
        <f t="shared" si="71"/>
        <v>134.66666666666666</v>
      </c>
      <c r="AR191">
        <v>133.30000000000001</v>
      </c>
      <c r="AS191">
        <f t="shared" si="72"/>
        <v>133</v>
      </c>
      <c r="AT191">
        <v>119.3</v>
      </c>
      <c r="AU191">
        <f t="shared" si="73"/>
        <v>118.7</v>
      </c>
      <c r="AV191">
        <v>129.69999999999999</v>
      </c>
      <c r="AW191">
        <f t="shared" si="74"/>
        <v>129.19999999999999</v>
      </c>
      <c r="AX191">
        <v>139</v>
      </c>
      <c r="AY191">
        <f t="shared" si="75"/>
        <v>138.70000000000002</v>
      </c>
      <c r="AZ191">
        <v>127.3</v>
      </c>
      <c r="BA191">
        <f t="shared" si="76"/>
        <v>126.86666666666667</v>
      </c>
      <c r="BB191">
        <v>129.1</v>
      </c>
      <c r="BC191">
        <f t="shared" si="77"/>
        <v>128.70000000000002</v>
      </c>
      <c r="BD191">
        <v>136.9</v>
      </c>
      <c r="BE191">
        <f t="shared" si="78"/>
        <v>137.23333333333332</v>
      </c>
    </row>
    <row r="192" spans="1:57" hidden="1">
      <c r="A192" t="s">
        <v>34</v>
      </c>
      <c r="B192">
        <v>2018</v>
      </c>
      <c r="C192" t="s">
        <v>35</v>
      </c>
      <c r="D192">
        <v>135.9</v>
      </c>
      <c r="E192">
        <f t="shared" si="52"/>
        <v>135.9</v>
      </c>
      <c r="F192">
        <v>143.5</v>
      </c>
      <c r="G192">
        <f t="shared" si="53"/>
        <v>143.66666666666666</v>
      </c>
      <c r="H192">
        <v>140.30000000000001</v>
      </c>
      <c r="I192">
        <f t="shared" si="54"/>
        <v>143.06666666666666</v>
      </c>
      <c r="J192">
        <v>140.9</v>
      </c>
      <c r="K192">
        <f t="shared" si="55"/>
        <v>141</v>
      </c>
      <c r="L192">
        <v>120.4</v>
      </c>
      <c r="M192">
        <f t="shared" si="56"/>
        <v>120.53333333333335</v>
      </c>
      <c r="N192">
        <v>142.9</v>
      </c>
      <c r="O192">
        <f t="shared" si="57"/>
        <v>141.9</v>
      </c>
      <c r="P192">
        <v>140.5</v>
      </c>
      <c r="Q192">
        <f t="shared" si="58"/>
        <v>151.26666666666665</v>
      </c>
      <c r="R192">
        <v>125.8</v>
      </c>
      <c r="S192">
        <f t="shared" si="59"/>
        <v>127.39999999999999</v>
      </c>
      <c r="T192">
        <v>117.1</v>
      </c>
      <c r="U192">
        <f t="shared" si="60"/>
        <v>119.13333333333333</v>
      </c>
      <c r="V192">
        <v>137.30000000000001</v>
      </c>
      <c r="W192">
        <f t="shared" si="61"/>
        <v>137.30000000000001</v>
      </c>
      <c r="X192">
        <v>128.6</v>
      </c>
      <c r="Y192">
        <f t="shared" si="62"/>
        <v>128.79999999999998</v>
      </c>
      <c r="Z192">
        <v>149.6</v>
      </c>
      <c r="AA192">
        <f t="shared" si="63"/>
        <v>149.36666666666667</v>
      </c>
      <c r="AB192">
        <v>137.6</v>
      </c>
      <c r="AC192">
        <f t="shared" si="64"/>
        <v>139.1</v>
      </c>
      <c r="AD192">
        <v>154.9</v>
      </c>
      <c r="AE192">
        <f t="shared" si="65"/>
        <v>154.6</v>
      </c>
      <c r="AF192">
        <v>143.80000000000001</v>
      </c>
      <c r="AG192">
        <f t="shared" si="66"/>
        <v>143.46666666666667</v>
      </c>
      <c r="AH192">
        <v>135.6</v>
      </c>
      <c r="AI192">
        <f t="shared" si="67"/>
        <v>135.4</v>
      </c>
      <c r="AJ192">
        <v>142.6</v>
      </c>
      <c r="AK192">
        <f t="shared" si="68"/>
        <v>142.29999999999998</v>
      </c>
      <c r="AL192">
        <v>141.30000000000001</v>
      </c>
      <c r="AM192">
        <f t="shared" si="69"/>
        <v>140.26666666666668</v>
      </c>
      <c r="AN192">
        <v>136.69999999999999</v>
      </c>
      <c r="AO192">
        <f t="shared" si="70"/>
        <v>136.63333333333333</v>
      </c>
      <c r="AP192">
        <v>135.19999999999999</v>
      </c>
      <c r="AQ192">
        <f t="shared" si="71"/>
        <v>134.93333333333334</v>
      </c>
      <c r="AR192">
        <v>133.80000000000001</v>
      </c>
      <c r="AS192">
        <f t="shared" si="72"/>
        <v>133.4</v>
      </c>
      <c r="AT192">
        <v>120.2</v>
      </c>
      <c r="AU192">
        <f t="shared" si="73"/>
        <v>119.33333333333333</v>
      </c>
      <c r="AV192">
        <v>129.9</v>
      </c>
      <c r="AW192">
        <f t="shared" si="74"/>
        <v>129.53333333333333</v>
      </c>
      <c r="AX192">
        <v>139</v>
      </c>
      <c r="AY192">
        <f t="shared" si="75"/>
        <v>138.83333333333334</v>
      </c>
      <c r="AZ192">
        <v>127.7</v>
      </c>
      <c r="BA192">
        <f t="shared" si="76"/>
        <v>127.16666666666667</v>
      </c>
      <c r="BB192">
        <v>129.6</v>
      </c>
      <c r="BC192">
        <f t="shared" si="77"/>
        <v>129.1</v>
      </c>
      <c r="BD192">
        <v>136.4</v>
      </c>
      <c r="BE192">
        <f t="shared" si="78"/>
        <v>136.83333333333334</v>
      </c>
    </row>
    <row r="193" spans="1:57" hidden="1">
      <c r="A193" t="s">
        <v>34</v>
      </c>
      <c r="B193">
        <v>2018</v>
      </c>
      <c r="C193" t="s">
        <v>36</v>
      </c>
      <c r="D193">
        <v>136.19999999999999</v>
      </c>
      <c r="E193">
        <f t="shared" si="52"/>
        <v>136.03333333333333</v>
      </c>
      <c r="F193">
        <v>143.6</v>
      </c>
      <c r="G193">
        <f t="shared" si="53"/>
        <v>143.76666666666665</v>
      </c>
      <c r="H193">
        <v>138.30000000000001</v>
      </c>
      <c r="I193">
        <f t="shared" si="54"/>
        <v>140.76666666666668</v>
      </c>
      <c r="J193">
        <v>141.19999999999999</v>
      </c>
      <c r="K193">
        <f t="shared" si="55"/>
        <v>141.06666666666666</v>
      </c>
      <c r="L193">
        <v>120.7</v>
      </c>
      <c r="M193">
        <f t="shared" si="56"/>
        <v>120.60000000000001</v>
      </c>
      <c r="N193">
        <v>146.19999999999999</v>
      </c>
      <c r="O193">
        <f t="shared" si="57"/>
        <v>143.46666666666667</v>
      </c>
      <c r="P193">
        <v>134.6</v>
      </c>
      <c r="Q193">
        <f t="shared" si="58"/>
        <v>142.23333333333335</v>
      </c>
      <c r="R193">
        <v>124.6</v>
      </c>
      <c r="S193">
        <f t="shared" si="59"/>
        <v>125.89999999999999</v>
      </c>
      <c r="T193">
        <v>116.1</v>
      </c>
      <c r="U193">
        <f t="shared" si="60"/>
        <v>117.33333333333333</v>
      </c>
      <c r="V193">
        <v>137.80000000000001</v>
      </c>
      <c r="W193">
        <f t="shared" si="61"/>
        <v>137.53333333333333</v>
      </c>
      <c r="X193">
        <v>129.1</v>
      </c>
      <c r="Y193">
        <f t="shared" si="62"/>
        <v>128.9</v>
      </c>
      <c r="Z193">
        <v>150.4</v>
      </c>
      <c r="AA193">
        <f t="shared" si="63"/>
        <v>149.83333333333334</v>
      </c>
      <c r="AB193">
        <v>137.19999999999999</v>
      </c>
      <c r="AC193">
        <f t="shared" si="64"/>
        <v>137.99999999999997</v>
      </c>
      <c r="AD193">
        <v>156.30000000000001</v>
      </c>
      <c r="AE193">
        <f t="shared" si="65"/>
        <v>155.30000000000001</v>
      </c>
      <c r="AF193">
        <v>144.30000000000001</v>
      </c>
      <c r="AG193">
        <f t="shared" si="66"/>
        <v>143.86666666666667</v>
      </c>
      <c r="AH193">
        <v>136.19999999999999</v>
      </c>
      <c r="AI193">
        <f t="shared" si="67"/>
        <v>135.76666666666668</v>
      </c>
      <c r="AJ193">
        <v>143.1</v>
      </c>
      <c r="AK193">
        <f t="shared" si="68"/>
        <v>142.66666666666666</v>
      </c>
      <c r="AL193">
        <v>142</v>
      </c>
      <c r="AM193">
        <f t="shared" si="69"/>
        <v>141.23333333333335</v>
      </c>
      <c r="AN193">
        <v>136.5</v>
      </c>
      <c r="AO193">
        <f t="shared" si="70"/>
        <v>136.6</v>
      </c>
      <c r="AP193">
        <v>135.6</v>
      </c>
      <c r="AQ193">
        <f t="shared" si="71"/>
        <v>135.23333333333335</v>
      </c>
      <c r="AR193">
        <v>134.30000000000001</v>
      </c>
      <c r="AS193">
        <f t="shared" si="72"/>
        <v>133.80000000000001</v>
      </c>
      <c r="AT193">
        <v>121</v>
      </c>
      <c r="AU193">
        <f t="shared" si="73"/>
        <v>120.16666666666667</v>
      </c>
      <c r="AV193">
        <v>130.4</v>
      </c>
      <c r="AW193">
        <f t="shared" si="74"/>
        <v>130</v>
      </c>
      <c r="AX193">
        <v>139.80000000000001</v>
      </c>
      <c r="AY193">
        <f t="shared" si="75"/>
        <v>139.26666666666668</v>
      </c>
      <c r="AZ193">
        <v>128.19999999999999</v>
      </c>
      <c r="BA193">
        <f t="shared" si="76"/>
        <v>127.73333333333333</v>
      </c>
      <c r="BB193">
        <v>130.30000000000001</v>
      </c>
      <c r="BC193">
        <f t="shared" si="77"/>
        <v>129.66666666666666</v>
      </c>
      <c r="BD193">
        <v>136.5</v>
      </c>
      <c r="BE193">
        <f t="shared" si="78"/>
        <v>136.6</v>
      </c>
    </row>
    <row r="194" spans="1:57" hidden="1">
      <c r="A194" t="s">
        <v>34</v>
      </c>
      <c r="B194">
        <v>2018</v>
      </c>
      <c r="C194" t="s">
        <v>37</v>
      </c>
      <c r="D194">
        <v>136.4</v>
      </c>
      <c r="E194">
        <f t="shared" si="52"/>
        <v>136.16666666666666</v>
      </c>
      <c r="F194">
        <v>144.4</v>
      </c>
      <c r="G194">
        <f t="shared" si="53"/>
        <v>143.83333333333334</v>
      </c>
      <c r="H194">
        <v>133.9</v>
      </c>
      <c r="I194">
        <f t="shared" si="54"/>
        <v>137.5</v>
      </c>
      <c r="J194">
        <v>141.6</v>
      </c>
      <c r="K194">
        <f t="shared" si="55"/>
        <v>141.23333333333335</v>
      </c>
      <c r="L194">
        <v>121</v>
      </c>
      <c r="M194">
        <f t="shared" si="56"/>
        <v>120.7</v>
      </c>
      <c r="N194">
        <v>153.5</v>
      </c>
      <c r="O194">
        <f t="shared" si="57"/>
        <v>147.53333333333333</v>
      </c>
      <c r="P194">
        <v>132.6</v>
      </c>
      <c r="Q194">
        <f t="shared" si="58"/>
        <v>135.9</v>
      </c>
      <c r="R194">
        <v>123.5</v>
      </c>
      <c r="S194">
        <f t="shared" si="59"/>
        <v>124.63333333333333</v>
      </c>
      <c r="T194">
        <v>113.7</v>
      </c>
      <c r="U194">
        <f t="shared" si="60"/>
        <v>115.63333333333333</v>
      </c>
      <c r="V194">
        <v>138.19999999999999</v>
      </c>
      <c r="W194">
        <f t="shared" si="61"/>
        <v>137.76666666666668</v>
      </c>
      <c r="X194">
        <v>129.6</v>
      </c>
      <c r="Y194">
        <f t="shared" si="62"/>
        <v>129.1</v>
      </c>
      <c r="Z194">
        <v>151.19999999999999</v>
      </c>
      <c r="AA194">
        <f t="shared" si="63"/>
        <v>150.4</v>
      </c>
      <c r="AB194">
        <v>137.5</v>
      </c>
      <c r="AC194">
        <f t="shared" si="64"/>
        <v>137.43333333333331</v>
      </c>
      <c r="AD194">
        <v>156.9</v>
      </c>
      <c r="AE194">
        <f t="shared" si="65"/>
        <v>156.03333333333333</v>
      </c>
      <c r="AF194">
        <v>145.30000000000001</v>
      </c>
      <c r="AG194">
        <f t="shared" si="66"/>
        <v>144.46666666666667</v>
      </c>
      <c r="AH194">
        <v>136.69999999999999</v>
      </c>
      <c r="AI194">
        <f t="shared" si="67"/>
        <v>136.16666666666666</v>
      </c>
      <c r="AJ194">
        <v>144</v>
      </c>
      <c r="AK194">
        <f t="shared" si="68"/>
        <v>143.23333333333332</v>
      </c>
      <c r="AL194">
        <v>142.9</v>
      </c>
      <c r="AM194">
        <f t="shared" si="69"/>
        <v>142.06666666666669</v>
      </c>
      <c r="AN194">
        <v>136.5</v>
      </c>
      <c r="AO194">
        <f t="shared" si="70"/>
        <v>136.56666666666666</v>
      </c>
      <c r="AP194">
        <v>136.6</v>
      </c>
      <c r="AQ194">
        <f t="shared" si="71"/>
        <v>135.79999999999998</v>
      </c>
      <c r="AR194">
        <v>135.19999999999999</v>
      </c>
      <c r="AS194">
        <f t="shared" si="72"/>
        <v>134.43333333333334</v>
      </c>
      <c r="AT194">
        <v>121.9</v>
      </c>
      <c r="AU194">
        <f t="shared" si="73"/>
        <v>121.03333333333335</v>
      </c>
      <c r="AV194">
        <v>131.30000000000001</v>
      </c>
      <c r="AW194">
        <f t="shared" si="74"/>
        <v>130.53333333333333</v>
      </c>
      <c r="AX194">
        <v>141.4</v>
      </c>
      <c r="AY194">
        <f t="shared" si="75"/>
        <v>140.06666666666669</v>
      </c>
      <c r="AZ194">
        <v>129.19999999999999</v>
      </c>
      <c r="BA194">
        <f t="shared" si="76"/>
        <v>128.36666666666665</v>
      </c>
      <c r="BB194">
        <v>131.30000000000001</v>
      </c>
      <c r="BC194">
        <f t="shared" si="77"/>
        <v>130.4</v>
      </c>
      <c r="BD194">
        <v>137.1</v>
      </c>
      <c r="BE194">
        <f t="shared" si="78"/>
        <v>136.66666666666666</v>
      </c>
    </row>
    <row r="195" spans="1:57" hidden="1">
      <c r="A195" t="s">
        <v>34</v>
      </c>
      <c r="B195">
        <v>2018</v>
      </c>
      <c r="C195" t="s">
        <v>38</v>
      </c>
      <c r="D195">
        <v>136.6</v>
      </c>
      <c r="E195">
        <f t="shared" si="52"/>
        <v>136.4</v>
      </c>
      <c r="F195">
        <v>146.6</v>
      </c>
      <c r="G195">
        <f t="shared" si="53"/>
        <v>144.86666666666667</v>
      </c>
      <c r="H195">
        <v>133.6</v>
      </c>
      <c r="I195">
        <f t="shared" si="54"/>
        <v>135.26666666666668</v>
      </c>
      <c r="J195">
        <v>142.1</v>
      </c>
      <c r="K195">
        <f t="shared" si="55"/>
        <v>141.63333333333333</v>
      </c>
      <c r="L195">
        <v>121</v>
      </c>
      <c r="M195">
        <f t="shared" si="56"/>
        <v>120.89999999999999</v>
      </c>
      <c r="N195">
        <v>154.6</v>
      </c>
      <c r="O195">
        <f t="shared" si="57"/>
        <v>151.43333333333331</v>
      </c>
      <c r="P195">
        <v>135.6</v>
      </c>
      <c r="Q195">
        <f t="shared" si="58"/>
        <v>134.26666666666665</v>
      </c>
      <c r="R195">
        <v>122.3</v>
      </c>
      <c r="S195">
        <f t="shared" si="59"/>
        <v>123.46666666666665</v>
      </c>
      <c r="T195">
        <v>109.6</v>
      </c>
      <c r="U195">
        <f t="shared" si="60"/>
        <v>113.13333333333333</v>
      </c>
      <c r="V195">
        <v>138.1</v>
      </c>
      <c r="W195">
        <f t="shared" si="61"/>
        <v>138.03333333333333</v>
      </c>
      <c r="X195">
        <v>129.9</v>
      </c>
      <c r="Y195">
        <f t="shared" si="62"/>
        <v>129.53333333333333</v>
      </c>
      <c r="Z195">
        <v>151.69999999999999</v>
      </c>
      <c r="AA195">
        <f t="shared" si="63"/>
        <v>151.1</v>
      </c>
      <c r="AB195">
        <v>138.1</v>
      </c>
      <c r="AC195">
        <f t="shared" si="64"/>
        <v>137.6</v>
      </c>
      <c r="AD195">
        <v>157.9</v>
      </c>
      <c r="AE195">
        <f t="shared" si="65"/>
        <v>157.03333333333333</v>
      </c>
      <c r="AF195">
        <v>146</v>
      </c>
      <c r="AG195">
        <f t="shared" si="66"/>
        <v>145.20000000000002</v>
      </c>
      <c r="AH195">
        <v>137.4</v>
      </c>
      <c r="AI195">
        <f t="shared" si="67"/>
        <v>136.76666666666665</v>
      </c>
      <c r="AJ195">
        <v>144.69999999999999</v>
      </c>
      <c r="AK195">
        <f t="shared" si="68"/>
        <v>143.93333333333334</v>
      </c>
      <c r="AL195">
        <v>143.19999999999999</v>
      </c>
      <c r="AM195">
        <f t="shared" si="69"/>
        <v>142.69999999999999</v>
      </c>
      <c r="AN195">
        <v>136.9</v>
      </c>
      <c r="AO195">
        <f t="shared" si="70"/>
        <v>136.63333333333333</v>
      </c>
      <c r="AP195">
        <v>137.4</v>
      </c>
      <c r="AQ195">
        <f t="shared" si="71"/>
        <v>136.53333333333333</v>
      </c>
      <c r="AR195">
        <v>136</v>
      </c>
      <c r="AS195">
        <f t="shared" si="72"/>
        <v>135.16666666666666</v>
      </c>
      <c r="AT195">
        <v>122.9</v>
      </c>
      <c r="AU195">
        <f t="shared" si="73"/>
        <v>121.93333333333334</v>
      </c>
      <c r="AV195">
        <v>131.80000000000001</v>
      </c>
      <c r="AW195">
        <f t="shared" si="74"/>
        <v>131.16666666666669</v>
      </c>
      <c r="AX195">
        <v>142.1</v>
      </c>
      <c r="AY195">
        <f t="shared" si="75"/>
        <v>141.10000000000002</v>
      </c>
      <c r="AZ195">
        <v>129.9</v>
      </c>
      <c r="BA195">
        <f t="shared" si="76"/>
        <v>129.1</v>
      </c>
      <c r="BB195">
        <v>132.1</v>
      </c>
      <c r="BC195">
        <f t="shared" si="77"/>
        <v>131.23333333333335</v>
      </c>
      <c r="BD195">
        <v>137.80000000000001</v>
      </c>
      <c r="BE195">
        <f t="shared" si="78"/>
        <v>137.13333333333335</v>
      </c>
    </row>
    <row r="196" spans="1:57" hidden="1">
      <c r="A196" t="s">
        <v>34</v>
      </c>
      <c r="B196">
        <v>2018</v>
      </c>
      <c r="C196" t="s">
        <v>39</v>
      </c>
      <c r="D196">
        <v>136.9</v>
      </c>
      <c r="E196">
        <f t="shared" si="52"/>
        <v>136.63333333333333</v>
      </c>
      <c r="F196">
        <v>148.69999999999999</v>
      </c>
      <c r="G196">
        <f t="shared" si="53"/>
        <v>146.56666666666666</v>
      </c>
      <c r="H196">
        <v>135.6</v>
      </c>
      <c r="I196">
        <f t="shared" si="54"/>
        <v>134.36666666666667</v>
      </c>
      <c r="J196">
        <v>142.30000000000001</v>
      </c>
      <c r="K196">
        <f t="shared" si="55"/>
        <v>142</v>
      </c>
      <c r="L196">
        <v>121.3</v>
      </c>
      <c r="M196">
        <f t="shared" si="56"/>
        <v>121.10000000000001</v>
      </c>
      <c r="N196">
        <v>153.19999999999999</v>
      </c>
      <c r="O196">
        <f t="shared" si="57"/>
        <v>153.76666666666668</v>
      </c>
      <c r="P196">
        <v>143.69999999999999</v>
      </c>
      <c r="Q196">
        <f t="shared" si="58"/>
        <v>137.29999999999998</v>
      </c>
      <c r="R196">
        <v>121.4</v>
      </c>
      <c r="S196">
        <f t="shared" si="59"/>
        <v>122.40000000000002</v>
      </c>
      <c r="T196">
        <v>111.1</v>
      </c>
      <c r="U196">
        <f t="shared" si="60"/>
        <v>111.46666666666665</v>
      </c>
      <c r="V196">
        <v>138.4</v>
      </c>
      <c r="W196">
        <f t="shared" si="61"/>
        <v>138.23333333333332</v>
      </c>
      <c r="X196">
        <v>130.30000000000001</v>
      </c>
      <c r="Y196">
        <f t="shared" si="62"/>
        <v>129.93333333333334</v>
      </c>
      <c r="Z196">
        <v>151.80000000000001</v>
      </c>
      <c r="AA196">
        <f t="shared" si="63"/>
        <v>151.56666666666666</v>
      </c>
      <c r="AB196">
        <v>139.4</v>
      </c>
      <c r="AC196">
        <f t="shared" si="64"/>
        <v>138.33333333333334</v>
      </c>
      <c r="AD196">
        <v>158.30000000000001</v>
      </c>
      <c r="AE196">
        <f t="shared" si="65"/>
        <v>157.70000000000002</v>
      </c>
      <c r="AF196">
        <v>146.4</v>
      </c>
      <c r="AG196">
        <f t="shared" si="66"/>
        <v>145.9</v>
      </c>
      <c r="AH196">
        <v>138.1</v>
      </c>
      <c r="AI196">
        <f t="shared" si="67"/>
        <v>137.4</v>
      </c>
      <c r="AJ196">
        <v>145.19999999999999</v>
      </c>
      <c r="AK196">
        <f t="shared" si="68"/>
        <v>144.63333333333333</v>
      </c>
      <c r="AL196">
        <v>142.5</v>
      </c>
      <c r="AM196">
        <f t="shared" si="69"/>
        <v>142.86666666666667</v>
      </c>
      <c r="AN196">
        <v>138.1</v>
      </c>
      <c r="AO196">
        <f t="shared" si="70"/>
        <v>137.16666666666666</v>
      </c>
      <c r="AP196">
        <v>137.9</v>
      </c>
      <c r="AQ196">
        <f t="shared" si="71"/>
        <v>137.29999999999998</v>
      </c>
      <c r="AR196">
        <v>136.19999999999999</v>
      </c>
      <c r="AS196">
        <f t="shared" si="72"/>
        <v>135.79999999999998</v>
      </c>
      <c r="AT196">
        <v>123.7</v>
      </c>
      <c r="AU196">
        <f t="shared" si="73"/>
        <v>122.83333333333333</v>
      </c>
      <c r="AV196">
        <v>132.6</v>
      </c>
      <c r="AW196">
        <f t="shared" si="74"/>
        <v>131.9</v>
      </c>
      <c r="AX196">
        <v>142.80000000000001</v>
      </c>
      <c r="AY196">
        <f t="shared" si="75"/>
        <v>142.1</v>
      </c>
      <c r="AZ196">
        <v>130.1</v>
      </c>
      <c r="BA196">
        <f t="shared" si="76"/>
        <v>129.73333333333335</v>
      </c>
      <c r="BB196">
        <v>132.6</v>
      </c>
      <c r="BC196">
        <f t="shared" si="77"/>
        <v>132</v>
      </c>
      <c r="BD196">
        <v>138.5</v>
      </c>
      <c r="BE196">
        <f t="shared" si="78"/>
        <v>137.79999999999998</v>
      </c>
    </row>
    <row r="197" spans="1:57" hidden="1">
      <c r="A197" t="s">
        <v>34</v>
      </c>
      <c r="B197">
        <v>2018</v>
      </c>
      <c r="C197" t="s">
        <v>40</v>
      </c>
      <c r="D197">
        <v>137.5</v>
      </c>
      <c r="E197">
        <f t="shared" si="52"/>
        <v>137</v>
      </c>
      <c r="F197">
        <v>149.1</v>
      </c>
      <c r="G197">
        <f t="shared" si="53"/>
        <v>148.13333333333333</v>
      </c>
      <c r="H197">
        <v>139.19999999999999</v>
      </c>
      <c r="I197">
        <f t="shared" si="54"/>
        <v>136.13333333333333</v>
      </c>
      <c r="J197">
        <v>142.5</v>
      </c>
      <c r="K197">
        <f t="shared" si="55"/>
        <v>142.29999999999998</v>
      </c>
      <c r="L197">
        <v>121.4</v>
      </c>
      <c r="M197">
        <f t="shared" si="56"/>
        <v>121.23333333333335</v>
      </c>
      <c r="N197">
        <v>151.6</v>
      </c>
      <c r="O197">
        <f t="shared" si="57"/>
        <v>153.13333333333333</v>
      </c>
      <c r="P197">
        <v>155.9</v>
      </c>
      <c r="Q197">
        <f t="shared" si="58"/>
        <v>145.06666666666663</v>
      </c>
      <c r="R197">
        <v>121.7</v>
      </c>
      <c r="S197">
        <f t="shared" si="59"/>
        <v>121.8</v>
      </c>
      <c r="T197">
        <v>113.5</v>
      </c>
      <c r="U197">
        <f t="shared" si="60"/>
        <v>111.39999999999999</v>
      </c>
      <c r="V197">
        <v>138.9</v>
      </c>
      <c r="W197">
        <f t="shared" si="61"/>
        <v>138.46666666666667</v>
      </c>
      <c r="X197">
        <v>130.30000000000001</v>
      </c>
      <c r="Y197">
        <f t="shared" si="62"/>
        <v>130.16666666666669</v>
      </c>
      <c r="Z197">
        <v>152.30000000000001</v>
      </c>
      <c r="AA197">
        <f t="shared" si="63"/>
        <v>151.93333333333334</v>
      </c>
      <c r="AB197">
        <v>141.4</v>
      </c>
      <c r="AC197">
        <f t="shared" si="64"/>
        <v>139.63333333333333</v>
      </c>
      <c r="AD197">
        <v>157.5</v>
      </c>
      <c r="AE197">
        <f t="shared" si="65"/>
        <v>157.9</v>
      </c>
      <c r="AF197">
        <v>146.80000000000001</v>
      </c>
      <c r="AG197">
        <f t="shared" si="66"/>
        <v>146.4</v>
      </c>
      <c r="AH197">
        <v>138.4</v>
      </c>
      <c r="AI197">
        <f t="shared" si="67"/>
        <v>137.96666666666667</v>
      </c>
      <c r="AJ197">
        <v>145.6</v>
      </c>
      <c r="AK197">
        <f t="shared" si="68"/>
        <v>145.16666666666666</v>
      </c>
      <c r="AL197">
        <v>143.6</v>
      </c>
      <c r="AM197">
        <f t="shared" si="69"/>
        <v>143.1</v>
      </c>
      <c r="AN197">
        <v>139.69999999999999</v>
      </c>
      <c r="AO197">
        <f t="shared" si="70"/>
        <v>138.23333333333332</v>
      </c>
      <c r="AP197">
        <v>138.6</v>
      </c>
      <c r="AQ197">
        <f t="shared" si="71"/>
        <v>137.96666666666667</v>
      </c>
      <c r="AR197">
        <v>137</v>
      </c>
      <c r="AS197">
        <f t="shared" si="72"/>
        <v>136.4</v>
      </c>
      <c r="AT197">
        <v>123.6</v>
      </c>
      <c r="AU197">
        <f t="shared" si="73"/>
        <v>123.40000000000002</v>
      </c>
      <c r="AV197">
        <v>133.1</v>
      </c>
      <c r="AW197">
        <f t="shared" si="74"/>
        <v>132.5</v>
      </c>
      <c r="AX197">
        <v>144.69999999999999</v>
      </c>
      <c r="AY197">
        <f t="shared" si="75"/>
        <v>143.19999999999999</v>
      </c>
      <c r="AZ197">
        <v>130.1</v>
      </c>
      <c r="BA197">
        <f t="shared" si="76"/>
        <v>130.03333333333333</v>
      </c>
      <c r="BB197">
        <v>133.19999999999999</v>
      </c>
      <c r="BC197">
        <f t="shared" si="77"/>
        <v>132.63333333333333</v>
      </c>
      <c r="BD197">
        <v>139.80000000000001</v>
      </c>
      <c r="BE197">
        <f t="shared" si="78"/>
        <v>138.70000000000002</v>
      </c>
    </row>
    <row r="198" spans="1:57" hidden="1">
      <c r="A198" t="s">
        <v>34</v>
      </c>
      <c r="B198">
        <v>2018</v>
      </c>
      <c r="C198" t="s">
        <v>41</v>
      </c>
      <c r="D198">
        <v>138.30000000000001</v>
      </c>
      <c r="E198">
        <f t="shared" ref="E198:E254" si="79">AVERAGE(D196:D198)</f>
        <v>137.56666666666666</v>
      </c>
      <c r="F198">
        <v>148</v>
      </c>
      <c r="G198">
        <f t="shared" ref="G198:G254" si="80">AVERAGE(F196:F198)</f>
        <v>148.6</v>
      </c>
      <c r="H198">
        <v>138.1</v>
      </c>
      <c r="I198">
        <f t="shared" ref="I198:I254" si="81">AVERAGE(H196:H198)</f>
        <v>137.63333333333333</v>
      </c>
      <c r="J198">
        <v>142.6</v>
      </c>
      <c r="K198">
        <f t="shared" ref="K198:K254" si="82">AVERAGE(J196:J198)</f>
        <v>142.46666666666667</v>
      </c>
      <c r="L198">
        <v>122.2</v>
      </c>
      <c r="M198">
        <f t="shared" ref="M198:M254" si="83">AVERAGE(L196:L198)</f>
        <v>121.63333333333333</v>
      </c>
      <c r="N198">
        <v>150.6</v>
      </c>
      <c r="O198">
        <f t="shared" ref="O198:O254" si="84">AVERAGE(N196:N198)</f>
        <v>151.79999999999998</v>
      </c>
      <c r="P198">
        <v>156.6</v>
      </c>
      <c r="Q198">
        <f t="shared" ref="Q198:Q254" si="85">AVERAGE(P196:P198)</f>
        <v>152.06666666666669</v>
      </c>
      <c r="R198">
        <v>122.4</v>
      </c>
      <c r="S198">
        <f t="shared" ref="S198:S254" si="86">AVERAGE(R196:R198)</f>
        <v>121.83333333333333</v>
      </c>
      <c r="T198">
        <v>114.7</v>
      </c>
      <c r="U198">
        <f t="shared" ref="U198:U254" si="87">AVERAGE(T196:T198)</f>
        <v>113.10000000000001</v>
      </c>
      <c r="V198">
        <v>139.4</v>
      </c>
      <c r="W198">
        <f t="shared" ref="W198:W254" si="88">AVERAGE(V196:V198)</f>
        <v>138.9</v>
      </c>
      <c r="X198">
        <v>131.1</v>
      </c>
      <c r="Y198">
        <f t="shared" ref="Y198:Y254" si="89">AVERAGE(X196:X198)</f>
        <v>130.56666666666669</v>
      </c>
      <c r="Z198">
        <v>153</v>
      </c>
      <c r="AA198">
        <f t="shared" ref="AA198:AA254" si="90">AVERAGE(Z196:Z198)</f>
        <v>152.36666666666667</v>
      </c>
      <c r="AB198">
        <v>141.69999999999999</v>
      </c>
      <c r="AC198">
        <f t="shared" ref="AC198:AC254" si="91">AVERAGE(AB196:AB198)</f>
        <v>140.83333333333334</v>
      </c>
      <c r="AD198">
        <v>157.9</v>
      </c>
      <c r="AE198">
        <f t="shared" ref="AE198:AE254" si="92">AVERAGE(AD196:AD198)</f>
        <v>157.9</v>
      </c>
      <c r="AF198">
        <v>147.30000000000001</v>
      </c>
      <c r="AG198">
        <f t="shared" ref="AG198:AG254" si="93">AVERAGE(AF196:AF198)</f>
        <v>146.83333333333334</v>
      </c>
      <c r="AH198">
        <v>138.80000000000001</v>
      </c>
      <c r="AI198">
        <f t="shared" ref="AI198:AI254" si="94">AVERAGE(AH196:AH198)</f>
        <v>138.43333333333334</v>
      </c>
      <c r="AJ198">
        <v>146.1</v>
      </c>
      <c r="AK198">
        <f t="shared" ref="AK198:AK254" si="95">AVERAGE(AJ196:AJ198)</f>
        <v>145.63333333333333</v>
      </c>
      <c r="AL198">
        <v>144.6</v>
      </c>
      <c r="AM198">
        <f t="shared" ref="AM198:AM254" si="96">AVERAGE(AL196:AL198)</f>
        <v>143.56666666666669</v>
      </c>
      <c r="AN198">
        <v>140.9</v>
      </c>
      <c r="AO198">
        <f t="shared" ref="AO198:AO254" si="97">AVERAGE(AN196:AN198)</f>
        <v>139.56666666666663</v>
      </c>
      <c r="AP198">
        <v>139.4</v>
      </c>
      <c r="AQ198">
        <f t="shared" ref="AQ198:AQ254" si="98">AVERAGE(AP196:AP198)</f>
        <v>138.63333333333333</v>
      </c>
      <c r="AR198">
        <v>137.69999999999999</v>
      </c>
      <c r="AS198">
        <f t="shared" ref="AS198:AS254" si="99">AVERAGE(AR196:AR198)</f>
        <v>136.96666666666667</v>
      </c>
      <c r="AT198">
        <v>124.3</v>
      </c>
      <c r="AU198">
        <f t="shared" ref="AU198:AU254" si="100">AVERAGE(AT196:AT198)</f>
        <v>123.86666666666667</v>
      </c>
      <c r="AV198">
        <v>133.6</v>
      </c>
      <c r="AW198">
        <f t="shared" ref="AW198:AW254" si="101">AVERAGE(AV196:AV198)</f>
        <v>133.1</v>
      </c>
      <c r="AX198">
        <v>146</v>
      </c>
      <c r="AY198">
        <f t="shared" ref="AY198:AY254" si="102">AVERAGE(AX196:AX198)</f>
        <v>144.5</v>
      </c>
      <c r="AZ198">
        <v>130.1</v>
      </c>
      <c r="BA198">
        <f t="shared" ref="BA198:BA254" si="103">AVERAGE(AZ196:AZ198)</f>
        <v>130.1</v>
      </c>
      <c r="BB198">
        <v>133.9</v>
      </c>
      <c r="BC198">
        <f t="shared" ref="BC198:BC254" si="104">AVERAGE(BB196:BB198)</f>
        <v>133.23333333333332</v>
      </c>
      <c r="BD198">
        <v>140.4</v>
      </c>
      <c r="BE198">
        <f t="shared" ref="BE198:BE254" si="105">AVERAGE(BD196:BD198)</f>
        <v>139.56666666666669</v>
      </c>
    </row>
    <row r="199" spans="1:57" hidden="1">
      <c r="A199" t="s">
        <v>34</v>
      </c>
      <c r="B199">
        <v>2018</v>
      </c>
      <c r="C199" t="s">
        <v>42</v>
      </c>
      <c r="D199">
        <v>138.6</v>
      </c>
      <c r="E199">
        <f t="shared" si="79"/>
        <v>138.13333333333333</v>
      </c>
      <c r="F199">
        <v>145.80000000000001</v>
      </c>
      <c r="G199">
        <f t="shared" si="80"/>
        <v>147.63333333333335</v>
      </c>
      <c r="H199">
        <v>135.1</v>
      </c>
      <c r="I199">
        <f t="shared" si="81"/>
        <v>137.46666666666667</v>
      </c>
      <c r="J199">
        <v>142.9</v>
      </c>
      <c r="K199">
        <f t="shared" si="82"/>
        <v>142.66666666666666</v>
      </c>
      <c r="L199">
        <v>122.1</v>
      </c>
      <c r="M199">
        <f t="shared" si="83"/>
        <v>121.90000000000002</v>
      </c>
      <c r="N199">
        <v>145.4</v>
      </c>
      <c r="O199">
        <f t="shared" si="84"/>
        <v>149.20000000000002</v>
      </c>
      <c r="P199">
        <v>150</v>
      </c>
      <c r="Q199">
        <f t="shared" si="85"/>
        <v>154.16666666666666</v>
      </c>
      <c r="R199">
        <v>121.4</v>
      </c>
      <c r="S199">
        <f t="shared" si="86"/>
        <v>121.83333333333333</v>
      </c>
      <c r="T199">
        <v>113.7</v>
      </c>
      <c r="U199">
        <f t="shared" si="87"/>
        <v>113.96666666666665</v>
      </c>
      <c r="V199">
        <v>139.5</v>
      </c>
      <c r="W199">
        <f t="shared" si="88"/>
        <v>139.26666666666668</v>
      </c>
      <c r="X199">
        <v>130.80000000000001</v>
      </c>
      <c r="Y199">
        <f t="shared" si="89"/>
        <v>130.73333333333332</v>
      </c>
      <c r="Z199">
        <v>153.80000000000001</v>
      </c>
      <c r="AA199">
        <f t="shared" si="90"/>
        <v>153.03333333333333</v>
      </c>
      <c r="AB199">
        <v>140.4</v>
      </c>
      <c r="AC199">
        <f t="shared" si="91"/>
        <v>141.16666666666666</v>
      </c>
      <c r="AD199">
        <v>159.19999999999999</v>
      </c>
      <c r="AE199">
        <f t="shared" si="92"/>
        <v>158.19999999999999</v>
      </c>
      <c r="AF199">
        <v>147.69999999999999</v>
      </c>
      <c r="AG199">
        <f t="shared" si="93"/>
        <v>147.26666666666668</v>
      </c>
      <c r="AH199">
        <v>139.1</v>
      </c>
      <c r="AI199">
        <f t="shared" si="94"/>
        <v>138.76666666666668</v>
      </c>
      <c r="AJ199">
        <v>146.5</v>
      </c>
      <c r="AK199">
        <f t="shared" si="95"/>
        <v>146.06666666666666</v>
      </c>
      <c r="AL199">
        <v>145.30000000000001</v>
      </c>
      <c r="AM199">
        <f t="shared" si="96"/>
        <v>144.5</v>
      </c>
      <c r="AN199">
        <v>142.30000000000001</v>
      </c>
      <c r="AO199">
        <f t="shared" si="97"/>
        <v>140.96666666666667</v>
      </c>
      <c r="AP199">
        <v>139.69999999999999</v>
      </c>
      <c r="AQ199">
        <f t="shared" si="98"/>
        <v>139.23333333333332</v>
      </c>
      <c r="AR199">
        <v>138.4</v>
      </c>
      <c r="AS199">
        <f t="shared" si="99"/>
        <v>137.70000000000002</v>
      </c>
      <c r="AT199">
        <v>126</v>
      </c>
      <c r="AU199">
        <f t="shared" si="100"/>
        <v>124.63333333333333</v>
      </c>
      <c r="AV199">
        <v>134.5</v>
      </c>
      <c r="AW199">
        <f t="shared" si="101"/>
        <v>133.73333333333332</v>
      </c>
      <c r="AX199">
        <v>146.19999999999999</v>
      </c>
      <c r="AY199">
        <f t="shared" si="102"/>
        <v>145.63333333333333</v>
      </c>
      <c r="AZ199">
        <v>130.9</v>
      </c>
      <c r="BA199">
        <f t="shared" si="103"/>
        <v>130.36666666666667</v>
      </c>
      <c r="BB199">
        <v>134.69999999999999</v>
      </c>
      <c r="BC199">
        <f t="shared" si="104"/>
        <v>133.93333333333334</v>
      </c>
      <c r="BD199">
        <v>140.19999999999999</v>
      </c>
      <c r="BE199">
        <f t="shared" si="105"/>
        <v>140.13333333333335</v>
      </c>
    </row>
    <row r="200" spans="1:57" hidden="1">
      <c r="A200" t="s">
        <v>34</v>
      </c>
      <c r="B200">
        <v>2018</v>
      </c>
      <c r="C200" t="s">
        <v>43</v>
      </c>
      <c r="D200">
        <v>137.4</v>
      </c>
      <c r="E200">
        <f t="shared" si="79"/>
        <v>138.1</v>
      </c>
      <c r="F200">
        <v>149.5</v>
      </c>
      <c r="G200">
        <f t="shared" si="80"/>
        <v>147.76666666666668</v>
      </c>
      <c r="H200">
        <v>137.30000000000001</v>
      </c>
      <c r="I200">
        <f t="shared" si="81"/>
        <v>136.83333333333334</v>
      </c>
      <c r="J200">
        <v>141.9</v>
      </c>
      <c r="K200">
        <f t="shared" si="82"/>
        <v>142.46666666666667</v>
      </c>
      <c r="L200">
        <v>121.1</v>
      </c>
      <c r="M200">
        <f t="shared" si="83"/>
        <v>121.8</v>
      </c>
      <c r="N200">
        <v>142.5</v>
      </c>
      <c r="O200">
        <f t="shared" si="84"/>
        <v>146.16666666666666</v>
      </c>
      <c r="P200">
        <v>146.69999999999999</v>
      </c>
      <c r="Q200">
        <f t="shared" si="85"/>
        <v>151.1</v>
      </c>
      <c r="R200">
        <v>119.1</v>
      </c>
      <c r="S200">
        <f t="shared" si="86"/>
        <v>120.96666666666665</v>
      </c>
      <c r="T200">
        <v>111.9</v>
      </c>
      <c r="U200">
        <f t="shared" si="87"/>
        <v>113.43333333333334</v>
      </c>
      <c r="V200">
        <v>141</v>
      </c>
      <c r="W200">
        <f t="shared" si="88"/>
        <v>139.96666666666667</v>
      </c>
      <c r="X200">
        <v>133.6</v>
      </c>
      <c r="Y200">
        <f t="shared" si="89"/>
        <v>131.83333333333334</v>
      </c>
      <c r="Z200">
        <v>154.5</v>
      </c>
      <c r="AA200">
        <f t="shared" si="90"/>
        <v>153.76666666666668</v>
      </c>
      <c r="AB200">
        <v>139.69999999999999</v>
      </c>
      <c r="AC200">
        <f t="shared" si="91"/>
        <v>140.6</v>
      </c>
      <c r="AD200">
        <v>162.6</v>
      </c>
      <c r="AE200">
        <f t="shared" si="92"/>
        <v>159.9</v>
      </c>
      <c r="AF200">
        <v>148</v>
      </c>
      <c r="AG200">
        <f t="shared" si="93"/>
        <v>147.66666666666666</v>
      </c>
      <c r="AH200">
        <v>139.19999999999999</v>
      </c>
      <c r="AI200">
        <f t="shared" si="94"/>
        <v>139.03333333333333</v>
      </c>
      <c r="AJ200">
        <v>146.80000000000001</v>
      </c>
      <c r="AK200">
        <f t="shared" si="95"/>
        <v>146.46666666666667</v>
      </c>
      <c r="AL200">
        <v>146.9</v>
      </c>
      <c r="AM200">
        <f t="shared" si="96"/>
        <v>145.6</v>
      </c>
      <c r="AN200">
        <v>145.30000000000001</v>
      </c>
      <c r="AO200">
        <f t="shared" si="97"/>
        <v>142.83333333333334</v>
      </c>
      <c r="AP200">
        <v>142.19999999999999</v>
      </c>
      <c r="AQ200">
        <f t="shared" si="98"/>
        <v>140.43333333333334</v>
      </c>
      <c r="AR200">
        <v>142.1</v>
      </c>
      <c r="AS200">
        <f t="shared" si="99"/>
        <v>139.4</v>
      </c>
      <c r="AT200">
        <v>125.5</v>
      </c>
      <c r="AU200">
        <f t="shared" si="100"/>
        <v>125.26666666666667</v>
      </c>
      <c r="AV200">
        <v>136.5</v>
      </c>
      <c r="AW200">
        <f t="shared" si="101"/>
        <v>134.86666666666667</v>
      </c>
      <c r="AX200">
        <v>147.80000000000001</v>
      </c>
      <c r="AY200">
        <f t="shared" si="102"/>
        <v>146.66666666666666</v>
      </c>
      <c r="AZ200">
        <v>132</v>
      </c>
      <c r="BA200">
        <f t="shared" si="103"/>
        <v>131</v>
      </c>
      <c r="BB200">
        <v>136.30000000000001</v>
      </c>
      <c r="BC200">
        <f t="shared" si="104"/>
        <v>134.96666666666667</v>
      </c>
      <c r="BD200">
        <v>140.80000000000001</v>
      </c>
      <c r="BE200">
        <f t="shared" si="105"/>
        <v>140.46666666666667</v>
      </c>
    </row>
    <row r="201" spans="1:57" hidden="1">
      <c r="A201" t="s">
        <v>34</v>
      </c>
      <c r="B201">
        <v>2018</v>
      </c>
      <c r="C201" t="s">
        <v>45</v>
      </c>
      <c r="D201">
        <v>137.4</v>
      </c>
      <c r="E201">
        <f t="shared" si="79"/>
        <v>137.79999999999998</v>
      </c>
      <c r="F201">
        <v>149.19999999999999</v>
      </c>
      <c r="G201">
        <f t="shared" si="80"/>
        <v>148.16666666666666</v>
      </c>
      <c r="H201">
        <v>137.1</v>
      </c>
      <c r="I201">
        <f t="shared" si="81"/>
        <v>136.5</v>
      </c>
      <c r="J201">
        <v>141.80000000000001</v>
      </c>
      <c r="K201">
        <f t="shared" si="82"/>
        <v>142.20000000000002</v>
      </c>
      <c r="L201">
        <v>121.1</v>
      </c>
      <c r="M201">
        <f t="shared" si="83"/>
        <v>121.43333333333332</v>
      </c>
      <c r="N201">
        <v>142.80000000000001</v>
      </c>
      <c r="O201">
        <f t="shared" si="84"/>
        <v>143.56666666666666</v>
      </c>
      <c r="P201">
        <v>146.69999999999999</v>
      </c>
      <c r="Q201">
        <f t="shared" si="85"/>
        <v>147.79999999999998</v>
      </c>
      <c r="R201">
        <v>119.1</v>
      </c>
      <c r="S201">
        <f t="shared" si="86"/>
        <v>119.86666666666667</v>
      </c>
      <c r="T201">
        <v>111.9</v>
      </c>
      <c r="U201">
        <f t="shared" si="87"/>
        <v>112.5</v>
      </c>
      <c r="V201">
        <v>140.9</v>
      </c>
      <c r="W201">
        <f t="shared" si="88"/>
        <v>140.46666666666667</v>
      </c>
      <c r="X201">
        <v>133.5</v>
      </c>
      <c r="Y201">
        <f t="shared" si="89"/>
        <v>132.63333333333333</v>
      </c>
      <c r="Z201">
        <v>154.5</v>
      </c>
      <c r="AA201">
        <f t="shared" si="90"/>
        <v>154.26666666666668</v>
      </c>
      <c r="AB201">
        <v>139.69999999999999</v>
      </c>
      <c r="AC201">
        <f t="shared" si="91"/>
        <v>139.93333333333334</v>
      </c>
      <c r="AD201">
        <v>162.6</v>
      </c>
      <c r="AE201">
        <f t="shared" si="92"/>
        <v>161.46666666666667</v>
      </c>
      <c r="AF201">
        <v>148</v>
      </c>
      <c r="AG201">
        <f t="shared" si="93"/>
        <v>147.9</v>
      </c>
      <c r="AH201">
        <v>139.1</v>
      </c>
      <c r="AI201">
        <f t="shared" si="94"/>
        <v>139.13333333333333</v>
      </c>
      <c r="AJ201">
        <v>146.69999999999999</v>
      </c>
      <c r="AK201">
        <f t="shared" si="95"/>
        <v>146.66666666666666</v>
      </c>
      <c r="AL201">
        <v>146.9</v>
      </c>
      <c r="AM201">
        <f t="shared" si="96"/>
        <v>146.36666666666667</v>
      </c>
      <c r="AN201">
        <v>145.1</v>
      </c>
      <c r="AO201">
        <f t="shared" si="97"/>
        <v>144.23333333333335</v>
      </c>
      <c r="AP201">
        <v>142.19999999999999</v>
      </c>
      <c r="AQ201">
        <f t="shared" si="98"/>
        <v>141.36666666666665</v>
      </c>
      <c r="AR201">
        <v>142.1</v>
      </c>
      <c r="AS201">
        <f t="shared" si="99"/>
        <v>140.86666666666667</v>
      </c>
      <c r="AT201">
        <v>125.5</v>
      </c>
      <c r="AU201">
        <f t="shared" si="100"/>
        <v>125.66666666666667</v>
      </c>
      <c r="AV201">
        <v>136.5</v>
      </c>
      <c r="AW201">
        <f t="shared" si="101"/>
        <v>135.83333333333334</v>
      </c>
      <c r="AX201">
        <v>147.80000000000001</v>
      </c>
      <c r="AY201">
        <f t="shared" si="102"/>
        <v>147.26666666666668</v>
      </c>
      <c r="AZ201">
        <v>132</v>
      </c>
      <c r="BA201">
        <f t="shared" si="103"/>
        <v>131.63333333333333</v>
      </c>
      <c r="BB201">
        <v>136.30000000000001</v>
      </c>
      <c r="BC201">
        <f t="shared" si="104"/>
        <v>135.76666666666668</v>
      </c>
      <c r="BD201">
        <v>140.80000000000001</v>
      </c>
      <c r="BE201">
        <f t="shared" si="105"/>
        <v>140.6</v>
      </c>
    </row>
    <row r="202" spans="1:57" hidden="1">
      <c r="A202" t="s">
        <v>34</v>
      </c>
      <c r="B202">
        <v>2018</v>
      </c>
      <c r="C202" t="s">
        <v>46</v>
      </c>
      <c r="D202">
        <v>137.5</v>
      </c>
      <c r="E202">
        <f t="shared" si="79"/>
        <v>137.43333333333334</v>
      </c>
      <c r="F202">
        <v>150.5</v>
      </c>
      <c r="G202">
        <f t="shared" si="80"/>
        <v>149.73333333333332</v>
      </c>
      <c r="H202">
        <v>138.80000000000001</v>
      </c>
      <c r="I202">
        <f t="shared" si="81"/>
        <v>137.73333333333332</v>
      </c>
      <c r="J202">
        <v>142.1</v>
      </c>
      <c r="K202">
        <f t="shared" si="82"/>
        <v>141.93333333333337</v>
      </c>
      <c r="L202">
        <v>122</v>
      </c>
      <c r="M202">
        <f t="shared" si="83"/>
        <v>121.39999999999999</v>
      </c>
      <c r="N202">
        <v>139.4</v>
      </c>
      <c r="O202">
        <f t="shared" si="84"/>
        <v>141.56666666666669</v>
      </c>
      <c r="P202">
        <v>135.19999999999999</v>
      </c>
      <c r="Q202">
        <f t="shared" si="85"/>
        <v>142.86666666666665</v>
      </c>
      <c r="R202">
        <v>119.8</v>
      </c>
      <c r="S202">
        <f t="shared" si="86"/>
        <v>119.33333333333333</v>
      </c>
      <c r="T202">
        <v>110.3</v>
      </c>
      <c r="U202">
        <f t="shared" si="87"/>
        <v>111.36666666666667</v>
      </c>
      <c r="V202">
        <v>140.6</v>
      </c>
      <c r="W202">
        <f t="shared" si="88"/>
        <v>140.83333333333334</v>
      </c>
      <c r="X202">
        <v>133.80000000000001</v>
      </c>
      <c r="Y202">
        <f t="shared" si="89"/>
        <v>133.63333333333335</v>
      </c>
      <c r="Z202">
        <v>154.6</v>
      </c>
      <c r="AA202">
        <f t="shared" si="90"/>
        <v>154.53333333333333</v>
      </c>
      <c r="AB202">
        <v>138.19999999999999</v>
      </c>
      <c r="AC202">
        <f t="shared" si="91"/>
        <v>139.19999999999999</v>
      </c>
      <c r="AD202">
        <v>163</v>
      </c>
      <c r="AE202">
        <f t="shared" si="92"/>
        <v>162.73333333333332</v>
      </c>
      <c r="AF202">
        <v>148.1</v>
      </c>
      <c r="AG202">
        <f t="shared" si="93"/>
        <v>148.03333333333333</v>
      </c>
      <c r="AH202">
        <v>139.4</v>
      </c>
      <c r="AI202">
        <f t="shared" si="94"/>
        <v>139.23333333333332</v>
      </c>
      <c r="AJ202">
        <v>146.80000000000001</v>
      </c>
      <c r="AK202">
        <f t="shared" si="95"/>
        <v>146.76666666666668</v>
      </c>
      <c r="AL202">
        <v>146.5</v>
      </c>
      <c r="AM202">
        <f t="shared" si="96"/>
        <v>146.76666666666668</v>
      </c>
      <c r="AN202">
        <v>142.69999999999999</v>
      </c>
      <c r="AO202">
        <f t="shared" si="97"/>
        <v>144.36666666666665</v>
      </c>
      <c r="AP202">
        <v>143.19999999999999</v>
      </c>
      <c r="AQ202">
        <f t="shared" si="98"/>
        <v>142.53333333333333</v>
      </c>
      <c r="AR202">
        <v>144.9</v>
      </c>
      <c r="AS202">
        <f t="shared" si="99"/>
        <v>143.03333333333333</v>
      </c>
      <c r="AT202">
        <v>123.6</v>
      </c>
      <c r="AU202">
        <f t="shared" si="100"/>
        <v>124.86666666666667</v>
      </c>
      <c r="AV202">
        <v>136.80000000000001</v>
      </c>
      <c r="AW202">
        <f t="shared" si="101"/>
        <v>136.6</v>
      </c>
      <c r="AX202">
        <v>150.1</v>
      </c>
      <c r="AY202">
        <f t="shared" si="102"/>
        <v>148.56666666666669</v>
      </c>
      <c r="AZ202">
        <v>132.19999999999999</v>
      </c>
      <c r="BA202">
        <f t="shared" si="103"/>
        <v>132.06666666666666</v>
      </c>
      <c r="BB202">
        <v>136.80000000000001</v>
      </c>
      <c r="BC202">
        <f t="shared" si="104"/>
        <v>136.46666666666667</v>
      </c>
      <c r="BD202">
        <v>140.1</v>
      </c>
      <c r="BE202">
        <f t="shared" si="105"/>
        <v>140.56666666666669</v>
      </c>
    </row>
    <row r="203" spans="1:57" hidden="1">
      <c r="A203" t="s">
        <v>34</v>
      </c>
      <c r="B203">
        <v>2019</v>
      </c>
      <c r="C203" t="s">
        <v>31</v>
      </c>
      <c r="D203">
        <v>137.1</v>
      </c>
      <c r="E203">
        <f t="shared" si="79"/>
        <v>137.33333333333334</v>
      </c>
      <c r="F203">
        <v>151.4</v>
      </c>
      <c r="G203">
        <f t="shared" si="80"/>
        <v>150.36666666666667</v>
      </c>
      <c r="H203">
        <v>140.19999999999999</v>
      </c>
      <c r="I203">
        <f t="shared" si="81"/>
        <v>138.69999999999999</v>
      </c>
      <c r="J203">
        <v>142.1</v>
      </c>
      <c r="K203">
        <f t="shared" si="82"/>
        <v>142</v>
      </c>
      <c r="L203">
        <v>121.8</v>
      </c>
      <c r="M203">
        <f t="shared" si="83"/>
        <v>121.63333333333333</v>
      </c>
      <c r="N203">
        <v>135.4</v>
      </c>
      <c r="O203">
        <f t="shared" si="84"/>
        <v>139.20000000000002</v>
      </c>
      <c r="P203">
        <v>131.30000000000001</v>
      </c>
      <c r="Q203">
        <f t="shared" si="85"/>
        <v>137.73333333333332</v>
      </c>
      <c r="R203">
        <v>120.3</v>
      </c>
      <c r="S203">
        <f t="shared" si="86"/>
        <v>119.73333333333333</v>
      </c>
      <c r="T203">
        <v>109.1</v>
      </c>
      <c r="U203">
        <f t="shared" si="87"/>
        <v>110.43333333333332</v>
      </c>
      <c r="V203">
        <v>139.4</v>
      </c>
      <c r="W203">
        <f t="shared" si="88"/>
        <v>140.29999999999998</v>
      </c>
      <c r="X203">
        <v>133.30000000000001</v>
      </c>
      <c r="Y203">
        <f t="shared" si="89"/>
        <v>133.53333333333333</v>
      </c>
      <c r="Z203">
        <v>154.6</v>
      </c>
      <c r="AA203">
        <f t="shared" si="90"/>
        <v>154.56666666666669</v>
      </c>
      <c r="AB203">
        <v>137.4</v>
      </c>
      <c r="AC203">
        <f t="shared" si="91"/>
        <v>138.43333333333331</v>
      </c>
      <c r="AD203">
        <v>163.19999999999999</v>
      </c>
      <c r="AE203">
        <f t="shared" si="92"/>
        <v>162.93333333333334</v>
      </c>
      <c r="AF203">
        <v>147.6</v>
      </c>
      <c r="AG203">
        <f t="shared" si="93"/>
        <v>147.9</v>
      </c>
      <c r="AH203">
        <v>139</v>
      </c>
      <c r="AI203">
        <f t="shared" si="94"/>
        <v>139.16666666666666</v>
      </c>
      <c r="AJ203">
        <v>146.4</v>
      </c>
      <c r="AK203">
        <f t="shared" si="95"/>
        <v>146.63333333333333</v>
      </c>
      <c r="AL203">
        <v>147.69999999999999</v>
      </c>
      <c r="AM203">
        <f t="shared" si="96"/>
        <v>147.03333333333333</v>
      </c>
      <c r="AN203">
        <v>139.5</v>
      </c>
      <c r="AO203">
        <f t="shared" si="97"/>
        <v>142.43333333333331</v>
      </c>
      <c r="AP203">
        <v>143.6</v>
      </c>
      <c r="AQ203">
        <f t="shared" si="98"/>
        <v>143</v>
      </c>
      <c r="AR203">
        <v>145.1</v>
      </c>
      <c r="AS203">
        <f t="shared" si="99"/>
        <v>144.03333333333333</v>
      </c>
      <c r="AT203">
        <v>123.3</v>
      </c>
      <c r="AU203">
        <f t="shared" si="100"/>
        <v>124.13333333333333</v>
      </c>
      <c r="AV203">
        <v>136.69999999999999</v>
      </c>
      <c r="AW203">
        <f t="shared" si="101"/>
        <v>136.66666666666666</v>
      </c>
      <c r="AX203">
        <v>150.19999999999999</v>
      </c>
      <c r="AY203">
        <f t="shared" si="102"/>
        <v>149.36666666666665</v>
      </c>
      <c r="AZ203">
        <v>132.80000000000001</v>
      </c>
      <c r="BA203">
        <f t="shared" si="103"/>
        <v>132.33333333333334</v>
      </c>
      <c r="BB203">
        <v>136.9</v>
      </c>
      <c r="BC203">
        <f t="shared" si="104"/>
        <v>136.66666666666666</v>
      </c>
      <c r="BD203">
        <v>139.6</v>
      </c>
      <c r="BE203">
        <f t="shared" si="105"/>
        <v>140.16666666666666</v>
      </c>
    </row>
    <row r="204" spans="1:57" hidden="1">
      <c r="A204" t="s">
        <v>34</v>
      </c>
      <c r="B204">
        <v>2019</v>
      </c>
      <c r="C204" t="s">
        <v>35</v>
      </c>
      <c r="D204">
        <v>137.6</v>
      </c>
      <c r="E204">
        <f t="shared" si="79"/>
        <v>137.4</v>
      </c>
      <c r="F204">
        <v>152</v>
      </c>
      <c r="G204">
        <f t="shared" si="80"/>
        <v>151.29999999999998</v>
      </c>
      <c r="H204">
        <v>141.5</v>
      </c>
      <c r="I204">
        <f t="shared" si="81"/>
        <v>140.16666666666666</v>
      </c>
      <c r="J204">
        <v>142.19999999999999</v>
      </c>
      <c r="K204">
        <f t="shared" si="82"/>
        <v>142.13333333333333</v>
      </c>
      <c r="L204">
        <v>122</v>
      </c>
      <c r="M204">
        <f t="shared" si="83"/>
        <v>121.93333333333334</v>
      </c>
      <c r="N204">
        <v>136.4</v>
      </c>
      <c r="O204">
        <f t="shared" si="84"/>
        <v>137.06666666666669</v>
      </c>
      <c r="P204">
        <v>129.69999999999999</v>
      </c>
      <c r="Q204">
        <f t="shared" si="85"/>
        <v>132.06666666666666</v>
      </c>
      <c r="R204">
        <v>121</v>
      </c>
      <c r="S204">
        <f t="shared" si="86"/>
        <v>120.36666666666667</v>
      </c>
      <c r="T204">
        <v>109</v>
      </c>
      <c r="U204">
        <f t="shared" si="87"/>
        <v>109.46666666666665</v>
      </c>
      <c r="V204">
        <v>139.69999999999999</v>
      </c>
      <c r="W204">
        <f t="shared" si="88"/>
        <v>139.9</v>
      </c>
      <c r="X204">
        <v>133.6</v>
      </c>
      <c r="Y204">
        <f t="shared" si="89"/>
        <v>133.56666666666669</v>
      </c>
      <c r="Z204">
        <v>154.9</v>
      </c>
      <c r="AA204">
        <f t="shared" si="90"/>
        <v>154.70000000000002</v>
      </c>
      <c r="AB204">
        <v>137.5</v>
      </c>
      <c r="AC204">
        <f t="shared" si="91"/>
        <v>137.70000000000002</v>
      </c>
      <c r="AD204">
        <v>163.4</v>
      </c>
      <c r="AE204">
        <f t="shared" si="92"/>
        <v>163.20000000000002</v>
      </c>
      <c r="AF204">
        <v>147.69999999999999</v>
      </c>
      <c r="AG204">
        <f t="shared" si="93"/>
        <v>147.79999999999998</v>
      </c>
      <c r="AH204">
        <v>139.69999999999999</v>
      </c>
      <c r="AI204">
        <f t="shared" si="94"/>
        <v>139.36666666666665</v>
      </c>
      <c r="AJ204">
        <v>146.5</v>
      </c>
      <c r="AK204">
        <f t="shared" si="95"/>
        <v>146.56666666666669</v>
      </c>
      <c r="AL204">
        <v>148.5</v>
      </c>
      <c r="AM204">
        <f t="shared" si="96"/>
        <v>147.56666666666666</v>
      </c>
      <c r="AN204">
        <v>138.4</v>
      </c>
      <c r="AO204">
        <f t="shared" si="97"/>
        <v>140.20000000000002</v>
      </c>
      <c r="AP204">
        <v>143.69999999999999</v>
      </c>
      <c r="AQ204">
        <f t="shared" si="98"/>
        <v>143.49999999999997</v>
      </c>
      <c r="AR204">
        <v>145.6</v>
      </c>
      <c r="AS204">
        <f t="shared" si="99"/>
        <v>145.20000000000002</v>
      </c>
      <c r="AT204">
        <v>123.9</v>
      </c>
      <c r="AU204">
        <f t="shared" si="100"/>
        <v>123.59999999999998</v>
      </c>
      <c r="AV204">
        <v>137.1</v>
      </c>
      <c r="AW204">
        <f t="shared" si="101"/>
        <v>136.86666666666667</v>
      </c>
      <c r="AX204">
        <v>150.30000000000001</v>
      </c>
      <c r="AY204">
        <f t="shared" si="102"/>
        <v>150.19999999999999</v>
      </c>
      <c r="AZ204">
        <v>134.1</v>
      </c>
      <c r="BA204">
        <f t="shared" si="103"/>
        <v>133.03333333333333</v>
      </c>
      <c r="BB204">
        <v>137.4</v>
      </c>
      <c r="BC204">
        <f t="shared" si="104"/>
        <v>137.03333333333333</v>
      </c>
      <c r="BD204">
        <v>139.9</v>
      </c>
      <c r="BE204">
        <f t="shared" si="105"/>
        <v>139.86666666666667</v>
      </c>
    </row>
    <row r="205" spans="1:57" hidden="1">
      <c r="A205" t="s">
        <v>34</v>
      </c>
      <c r="B205">
        <v>2019</v>
      </c>
      <c r="C205" t="s">
        <v>36</v>
      </c>
      <c r="D205">
        <v>137.80000000000001</v>
      </c>
      <c r="E205">
        <f t="shared" si="79"/>
        <v>137.5</v>
      </c>
      <c r="F205">
        <v>153</v>
      </c>
      <c r="G205">
        <f t="shared" si="80"/>
        <v>152.13333333333333</v>
      </c>
      <c r="H205">
        <v>140.30000000000001</v>
      </c>
      <c r="I205">
        <f t="shared" si="81"/>
        <v>140.66666666666666</v>
      </c>
      <c r="J205">
        <v>142.30000000000001</v>
      </c>
      <c r="K205">
        <f t="shared" si="82"/>
        <v>142.19999999999999</v>
      </c>
      <c r="L205">
        <v>122</v>
      </c>
      <c r="M205">
        <f t="shared" si="83"/>
        <v>121.93333333333334</v>
      </c>
      <c r="N205">
        <v>137.6</v>
      </c>
      <c r="O205">
        <f t="shared" si="84"/>
        <v>136.46666666666667</v>
      </c>
      <c r="P205">
        <v>132.6</v>
      </c>
      <c r="Q205">
        <f t="shared" si="85"/>
        <v>131.20000000000002</v>
      </c>
      <c r="R205">
        <v>121.8</v>
      </c>
      <c r="S205">
        <f t="shared" si="86"/>
        <v>121.03333333333335</v>
      </c>
      <c r="T205">
        <v>109</v>
      </c>
      <c r="U205">
        <f t="shared" si="87"/>
        <v>109.03333333333335</v>
      </c>
      <c r="V205">
        <v>139.5</v>
      </c>
      <c r="W205">
        <f t="shared" si="88"/>
        <v>139.53333333333333</v>
      </c>
      <c r="X205">
        <v>133.69999999999999</v>
      </c>
      <c r="Y205">
        <f t="shared" si="89"/>
        <v>133.53333333333333</v>
      </c>
      <c r="Z205">
        <v>155.19999999999999</v>
      </c>
      <c r="AA205">
        <f t="shared" si="90"/>
        <v>154.9</v>
      </c>
      <c r="AB205">
        <v>138.1</v>
      </c>
      <c r="AC205">
        <f t="shared" si="91"/>
        <v>137.66666666666666</v>
      </c>
      <c r="AD205">
        <v>163.5</v>
      </c>
      <c r="AE205">
        <f t="shared" si="92"/>
        <v>163.36666666666667</v>
      </c>
      <c r="AF205">
        <v>147.9</v>
      </c>
      <c r="AG205">
        <f t="shared" si="93"/>
        <v>147.73333333333332</v>
      </c>
      <c r="AH205">
        <v>139.9</v>
      </c>
      <c r="AI205">
        <f t="shared" si="94"/>
        <v>139.53333333333333</v>
      </c>
      <c r="AJ205">
        <v>146.69999999999999</v>
      </c>
      <c r="AK205">
        <f t="shared" si="95"/>
        <v>146.53333333333333</v>
      </c>
      <c r="AL205">
        <v>149</v>
      </c>
      <c r="AM205">
        <f t="shared" si="96"/>
        <v>148.4</v>
      </c>
      <c r="AN205">
        <v>139.69999999999999</v>
      </c>
      <c r="AO205">
        <f t="shared" si="97"/>
        <v>139.19999999999999</v>
      </c>
      <c r="AP205">
        <v>143.80000000000001</v>
      </c>
      <c r="AQ205">
        <f t="shared" si="98"/>
        <v>143.69999999999999</v>
      </c>
      <c r="AR205">
        <v>146.19999999999999</v>
      </c>
      <c r="AS205">
        <f t="shared" si="99"/>
        <v>145.63333333333333</v>
      </c>
      <c r="AT205">
        <v>124.6</v>
      </c>
      <c r="AU205">
        <f t="shared" si="100"/>
        <v>123.93333333333332</v>
      </c>
      <c r="AV205">
        <v>137.69999999999999</v>
      </c>
      <c r="AW205">
        <f t="shared" si="101"/>
        <v>137.16666666666666</v>
      </c>
      <c r="AX205">
        <v>150.30000000000001</v>
      </c>
      <c r="AY205">
        <f t="shared" si="102"/>
        <v>150.26666666666668</v>
      </c>
      <c r="AZ205">
        <v>133.4</v>
      </c>
      <c r="BA205">
        <f t="shared" si="103"/>
        <v>133.43333333333331</v>
      </c>
      <c r="BB205">
        <v>137.69999999999999</v>
      </c>
      <c r="BC205">
        <f t="shared" si="104"/>
        <v>137.33333333333334</v>
      </c>
      <c r="BD205">
        <v>140.4</v>
      </c>
      <c r="BE205">
        <f t="shared" si="105"/>
        <v>139.96666666666667</v>
      </c>
    </row>
    <row r="206" spans="1:57" hidden="1">
      <c r="A206" t="s">
        <v>34</v>
      </c>
      <c r="B206">
        <v>2019</v>
      </c>
      <c r="C206" t="s">
        <v>38</v>
      </c>
      <c r="D206">
        <v>138.30000000000001</v>
      </c>
      <c r="E206">
        <f t="shared" si="79"/>
        <v>137.9</v>
      </c>
      <c r="F206">
        <v>158.5</v>
      </c>
      <c r="G206">
        <f t="shared" si="80"/>
        <v>154.5</v>
      </c>
      <c r="H206">
        <v>136</v>
      </c>
      <c r="I206">
        <f t="shared" si="81"/>
        <v>139.26666666666668</v>
      </c>
      <c r="J206">
        <v>142.5</v>
      </c>
      <c r="K206">
        <f t="shared" si="82"/>
        <v>142.33333333333334</v>
      </c>
      <c r="L206">
        <v>122</v>
      </c>
      <c r="M206">
        <f t="shared" si="83"/>
        <v>122</v>
      </c>
      <c r="N206">
        <v>146.5</v>
      </c>
      <c r="O206">
        <f t="shared" si="84"/>
        <v>140.16666666666666</v>
      </c>
      <c r="P206">
        <v>143</v>
      </c>
      <c r="Q206">
        <f t="shared" si="85"/>
        <v>135.1</v>
      </c>
      <c r="R206">
        <v>124.9</v>
      </c>
      <c r="S206">
        <f t="shared" si="86"/>
        <v>122.56666666666668</v>
      </c>
      <c r="T206">
        <v>109.9</v>
      </c>
      <c r="U206">
        <f t="shared" si="87"/>
        <v>109.3</v>
      </c>
      <c r="V206">
        <v>139.9</v>
      </c>
      <c r="W206">
        <f t="shared" si="88"/>
        <v>139.70000000000002</v>
      </c>
      <c r="X206">
        <v>134</v>
      </c>
      <c r="Y206">
        <f t="shared" si="89"/>
        <v>133.76666666666665</v>
      </c>
      <c r="Z206">
        <v>155.5</v>
      </c>
      <c r="AA206">
        <f t="shared" si="90"/>
        <v>155.20000000000002</v>
      </c>
      <c r="AB206">
        <v>140.9</v>
      </c>
      <c r="AC206">
        <f t="shared" si="91"/>
        <v>138.83333333333334</v>
      </c>
      <c r="AD206">
        <v>164.1</v>
      </c>
      <c r="AE206">
        <f t="shared" si="92"/>
        <v>163.66666666666666</v>
      </c>
      <c r="AF206">
        <v>148.4</v>
      </c>
      <c r="AG206">
        <f t="shared" si="93"/>
        <v>148</v>
      </c>
      <c r="AH206">
        <v>140.4</v>
      </c>
      <c r="AI206">
        <f t="shared" si="94"/>
        <v>140</v>
      </c>
      <c r="AJ206">
        <v>147.30000000000001</v>
      </c>
      <c r="AK206">
        <f t="shared" si="95"/>
        <v>146.83333333333334</v>
      </c>
      <c r="AL206">
        <v>150.1</v>
      </c>
      <c r="AM206">
        <f t="shared" si="96"/>
        <v>149.20000000000002</v>
      </c>
      <c r="AN206">
        <v>140.30000000000001</v>
      </c>
      <c r="AO206">
        <f t="shared" si="97"/>
        <v>139.46666666666667</v>
      </c>
      <c r="AP206">
        <v>143.69999999999999</v>
      </c>
      <c r="AQ206">
        <f t="shared" si="98"/>
        <v>143.73333333333332</v>
      </c>
      <c r="AR206">
        <v>146.9</v>
      </c>
      <c r="AS206">
        <f t="shared" si="99"/>
        <v>146.23333333333332</v>
      </c>
      <c r="AT206">
        <v>124.9</v>
      </c>
      <c r="AU206">
        <f t="shared" si="100"/>
        <v>124.46666666666665</v>
      </c>
      <c r="AV206">
        <v>139.19999999999999</v>
      </c>
      <c r="AW206">
        <f t="shared" si="101"/>
        <v>137.99999999999997</v>
      </c>
      <c r="AX206">
        <v>151.6</v>
      </c>
      <c r="AY206">
        <f t="shared" si="102"/>
        <v>150.73333333333335</v>
      </c>
      <c r="AZ206">
        <v>133.4</v>
      </c>
      <c r="BA206">
        <f t="shared" si="103"/>
        <v>133.63333333333333</v>
      </c>
      <c r="BB206">
        <v>138.19999999999999</v>
      </c>
      <c r="BC206">
        <f t="shared" si="104"/>
        <v>137.76666666666668</v>
      </c>
      <c r="BD206">
        <v>142</v>
      </c>
      <c r="BE206">
        <f t="shared" si="105"/>
        <v>140.76666666666668</v>
      </c>
    </row>
    <row r="207" spans="1:57" hidden="1">
      <c r="A207" t="s">
        <v>34</v>
      </c>
      <c r="B207">
        <v>2019</v>
      </c>
      <c r="C207" t="s">
        <v>39</v>
      </c>
      <c r="D207">
        <v>138.69999999999999</v>
      </c>
      <c r="E207">
        <f t="shared" si="79"/>
        <v>138.26666666666668</v>
      </c>
      <c r="F207">
        <v>162.1</v>
      </c>
      <c r="G207">
        <f t="shared" si="80"/>
        <v>157.86666666666667</v>
      </c>
      <c r="H207">
        <v>137.80000000000001</v>
      </c>
      <c r="I207">
        <f t="shared" si="81"/>
        <v>138.03333333333333</v>
      </c>
      <c r="J207">
        <v>143.30000000000001</v>
      </c>
      <c r="K207">
        <f t="shared" si="82"/>
        <v>142.70000000000002</v>
      </c>
      <c r="L207">
        <v>122.2</v>
      </c>
      <c r="M207">
        <f t="shared" si="83"/>
        <v>122.06666666666666</v>
      </c>
      <c r="N207">
        <v>146.80000000000001</v>
      </c>
      <c r="O207">
        <f t="shared" si="84"/>
        <v>143.63333333333335</v>
      </c>
      <c r="P207">
        <v>150.5</v>
      </c>
      <c r="Q207">
        <f t="shared" si="85"/>
        <v>142.03333333333333</v>
      </c>
      <c r="R207">
        <v>128.30000000000001</v>
      </c>
      <c r="S207">
        <f t="shared" si="86"/>
        <v>125</v>
      </c>
      <c r="T207">
        <v>111</v>
      </c>
      <c r="U207">
        <f t="shared" si="87"/>
        <v>109.96666666666665</v>
      </c>
      <c r="V207">
        <v>140.6</v>
      </c>
      <c r="W207">
        <f t="shared" si="88"/>
        <v>140</v>
      </c>
      <c r="X207">
        <v>134.19999999999999</v>
      </c>
      <c r="Y207">
        <f t="shared" si="89"/>
        <v>133.96666666666667</v>
      </c>
      <c r="Z207">
        <v>155.9</v>
      </c>
      <c r="AA207">
        <f t="shared" si="90"/>
        <v>155.53333333333333</v>
      </c>
      <c r="AB207">
        <v>142.69999999999999</v>
      </c>
      <c r="AC207">
        <f t="shared" si="91"/>
        <v>140.56666666666666</v>
      </c>
      <c r="AD207">
        <v>164.9</v>
      </c>
      <c r="AE207">
        <f t="shared" si="92"/>
        <v>164.16666666666666</v>
      </c>
      <c r="AF207">
        <v>148.6</v>
      </c>
      <c r="AG207">
        <f t="shared" si="93"/>
        <v>148.29999999999998</v>
      </c>
      <c r="AH207">
        <v>140.4</v>
      </c>
      <c r="AI207">
        <f t="shared" si="94"/>
        <v>140.23333333333335</v>
      </c>
      <c r="AJ207">
        <v>147.4</v>
      </c>
      <c r="AK207">
        <f t="shared" si="95"/>
        <v>147.13333333333333</v>
      </c>
      <c r="AL207">
        <v>149.4</v>
      </c>
      <c r="AM207">
        <f t="shared" si="96"/>
        <v>149.5</v>
      </c>
      <c r="AN207">
        <v>141.19999999999999</v>
      </c>
      <c r="AO207">
        <f t="shared" si="97"/>
        <v>140.4</v>
      </c>
      <c r="AP207">
        <v>143.80000000000001</v>
      </c>
      <c r="AQ207">
        <f t="shared" si="98"/>
        <v>143.76666666666668</v>
      </c>
      <c r="AR207">
        <v>147.4</v>
      </c>
      <c r="AS207">
        <f t="shared" si="99"/>
        <v>146.83333333333334</v>
      </c>
      <c r="AT207">
        <v>124.6</v>
      </c>
      <c r="AU207">
        <f t="shared" si="100"/>
        <v>124.7</v>
      </c>
      <c r="AV207">
        <v>139.6</v>
      </c>
      <c r="AW207">
        <f t="shared" si="101"/>
        <v>138.83333333333334</v>
      </c>
      <c r="AX207">
        <v>152.5</v>
      </c>
      <c r="AY207">
        <f t="shared" si="102"/>
        <v>151.46666666666667</v>
      </c>
      <c r="AZ207">
        <v>134.30000000000001</v>
      </c>
      <c r="BA207">
        <f t="shared" si="103"/>
        <v>133.70000000000002</v>
      </c>
      <c r="BB207">
        <v>138.6</v>
      </c>
      <c r="BC207">
        <f t="shared" si="104"/>
        <v>138.16666666666666</v>
      </c>
      <c r="BD207">
        <v>142.9</v>
      </c>
      <c r="BE207">
        <f t="shared" si="105"/>
        <v>141.76666666666665</v>
      </c>
    </row>
    <row r="208" spans="1:57" hidden="1">
      <c r="A208" t="s">
        <v>34</v>
      </c>
      <c r="B208">
        <v>2019</v>
      </c>
      <c r="C208" t="s">
        <v>40</v>
      </c>
      <c r="D208">
        <v>139.30000000000001</v>
      </c>
      <c r="E208">
        <f t="shared" si="79"/>
        <v>138.76666666666668</v>
      </c>
      <c r="F208">
        <v>162.69999999999999</v>
      </c>
      <c r="G208">
        <f t="shared" si="80"/>
        <v>161.1</v>
      </c>
      <c r="H208">
        <v>140</v>
      </c>
      <c r="I208">
        <f t="shared" si="81"/>
        <v>137.93333333333334</v>
      </c>
      <c r="J208">
        <v>144</v>
      </c>
      <c r="K208">
        <f t="shared" si="82"/>
        <v>143.26666666666668</v>
      </c>
      <c r="L208">
        <v>122.5</v>
      </c>
      <c r="M208">
        <f t="shared" si="83"/>
        <v>122.23333333333333</v>
      </c>
      <c r="N208">
        <v>150.30000000000001</v>
      </c>
      <c r="O208">
        <f t="shared" si="84"/>
        <v>147.86666666666667</v>
      </c>
      <c r="P208">
        <v>160.30000000000001</v>
      </c>
      <c r="Q208">
        <f t="shared" si="85"/>
        <v>151.26666666666668</v>
      </c>
      <c r="R208">
        <v>130</v>
      </c>
      <c r="S208">
        <f t="shared" si="86"/>
        <v>127.73333333333335</v>
      </c>
      <c r="T208">
        <v>111.1</v>
      </c>
      <c r="U208">
        <f t="shared" si="87"/>
        <v>110.66666666666667</v>
      </c>
      <c r="V208">
        <v>141.69999999999999</v>
      </c>
      <c r="W208">
        <f t="shared" si="88"/>
        <v>140.73333333333332</v>
      </c>
      <c r="X208">
        <v>134.69999999999999</v>
      </c>
      <c r="Y208">
        <f t="shared" si="89"/>
        <v>134.29999999999998</v>
      </c>
      <c r="Z208">
        <v>156.19999999999999</v>
      </c>
      <c r="AA208">
        <f t="shared" si="90"/>
        <v>155.86666666666665</v>
      </c>
      <c r="AB208">
        <v>144.69999999999999</v>
      </c>
      <c r="AC208">
        <f t="shared" si="91"/>
        <v>142.76666666666668</v>
      </c>
      <c r="AD208">
        <v>165.2</v>
      </c>
      <c r="AE208">
        <f t="shared" si="92"/>
        <v>164.73333333333332</v>
      </c>
      <c r="AF208">
        <v>148.9</v>
      </c>
      <c r="AG208">
        <f t="shared" si="93"/>
        <v>148.63333333333333</v>
      </c>
      <c r="AH208">
        <v>140.5</v>
      </c>
      <c r="AI208">
        <f t="shared" si="94"/>
        <v>140.43333333333334</v>
      </c>
      <c r="AJ208">
        <v>147.6</v>
      </c>
      <c r="AK208">
        <f t="shared" si="95"/>
        <v>147.43333333333337</v>
      </c>
      <c r="AL208">
        <v>150.6</v>
      </c>
      <c r="AM208">
        <f t="shared" si="96"/>
        <v>150.03333333333333</v>
      </c>
      <c r="AN208">
        <v>139.30000000000001</v>
      </c>
      <c r="AO208">
        <f t="shared" si="97"/>
        <v>140.26666666666668</v>
      </c>
      <c r="AP208">
        <v>144.19999999999999</v>
      </c>
      <c r="AQ208">
        <f t="shared" si="98"/>
        <v>143.9</v>
      </c>
      <c r="AR208">
        <v>147.9</v>
      </c>
      <c r="AS208">
        <f t="shared" si="99"/>
        <v>147.4</v>
      </c>
      <c r="AT208">
        <v>125.6</v>
      </c>
      <c r="AU208">
        <f t="shared" si="100"/>
        <v>125.03333333333335</v>
      </c>
      <c r="AV208">
        <v>140.5</v>
      </c>
      <c r="AW208">
        <f t="shared" si="101"/>
        <v>139.76666666666665</v>
      </c>
      <c r="AX208">
        <v>154</v>
      </c>
      <c r="AY208">
        <f t="shared" si="102"/>
        <v>152.70000000000002</v>
      </c>
      <c r="AZ208">
        <v>135.69999999999999</v>
      </c>
      <c r="BA208">
        <f t="shared" si="103"/>
        <v>134.46666666666667</v>
      </c>
      <c r="BB208">
        <v>139.5</v>
      </c>
      <c r="BC208">
        <f t="shared" si="104"/>
        <v>138.76666666666665</v>
      </c>
      <c r="BD208">
        <v>144.19999999999999</v>
      </c>
      <c r="BE208">
        <f t="shared" si="105"/>
        <v>143.03333333333333</v>
      </c>
    </row>
    <row r="209" spans="1:57" hidden="1">
      <c r="A209" t="s">
        <v>34</v>
      </c>
      <c r="B209">
        <v>2019</v>
      </c>
      <c r="C209" t="s">
        <v>41</v>
      </c>
      <c r="D209">
        <v>140.1</v>
      </c>
      <c r="E209">
        <f t="shared" si="79"/>
        <v>139.36666666666667</v>
      </c>
      <c r="F209">
        <v>160.6</v>
      </c>
      <c r="G209">
        <f t="shared" si="80"/>
        <v>161.79999999999998</v>
      </c>
      <c r="H209">
        <v>138.5</v>
      </c>
      <c r="I209">
        <f t="shared" si="81"/>
        <v>138.76666666666668</v>
      </c>
      <c r="J209">
        <v>144.69999999999999</v>
      </c>
      <c r="K209">
        <f t="shared" si="82"/>
        <v>144</v>
      </c>
      <c r="L209">
        <v>122.9</v>
      </c>
      <c r="M209">
        <f t="shared" si="83"/>
        <v>122.53333333333335</v>
      </c>
      <c r="N209">
        <v>149.4</v>
      </c>
      <c r="O209">
        <f t="shared" si="84"/>
        <v>148.83333333333334</v>
      </c>
      <c r="P209">
        <v>167.4</v>
      </c>
      <c r="Q209">
        <f t="shared" si="85"/>
        <v>159.4</v>
      </c>
      <c r="R209">
        <v>130.9</v>
      </c>
      <c r="S209">
        <f t="shared" si="86"/>
        <v>129.73333333333335</v>
      </c>
      <c r="T209">
        <v>112</v>
      </c>
      <c r="U209">
        <f t="shared" si="87"/>
        <v>111.36666666666667</v>
      </c>
      <c r="V209">
        <v>142.6</v>
      </c>
      <c r="W209">
        <f t="shared" si="88"/>
        <v>141.63333333333333</v>
      </c>
      <c r="X209">
        <v>134.9</v>
      </c>
      <c r="Y209">
        <f t="shared" si="89"/>
        <v>134.6</v>
      </c>
      <c r="Z209">
        <v>156.6</v>
      </c>
      <c r="AA209">
        <f t="shared" si="90"/>
        <v>156.23333333333335</v>
      </c>
      <c r="AB209">
        <v>145.9</v>
      </c>
      <c r="AC209">
        <f t="shared" si="91"/>
        <v>144.43333333333331</v>
      </c>
      <c r="AD209">
        <v>165.8</v>
      </c>
      <c r="AE209">
        <f t="shared" si="92"/>
        <v>165.3</v>
      </c>
      <c r="AF209">
        <v>149.1</v>
      </c>
      <c r="AG209">
        <f t="shared" si="93"/>
        <v>148.86666666666667</v>
      </c>
      <c r="AH209">
        <v>140.6</v>
      </c>
      <c r="AI209">
        <f t="shared" si="94"/>
        <v>140.5</v>
      </c>
      <c r="AJ209">
        <v>147.9</v>
      </c>
      <c r="AK209">
        <f t="shared" si="95"/>
        <v>147.63333333333333</v>
      </c>
      <c r="AL209">
        <v>151.6</v>
      </c>
      <c r="AM209">
        <f t="shared" si="96"/>
        <v>150.53333333333333</v>
      </c>
      <c r="AN209">
        <v>138.5</v>
      </c>
      <c r="AO209">
        <f t="shared" si="97"/>
        <v>139.66666666666666</v>
      </c>
      <c r="AP209">
        <v>144.5</v>
      </c>
      <c r="AQ209">
        <f t="shared" si="98"/>
        <v>144.16666666666666</v>
      </c>
      <c r="AR209">
        <v>148.5</v>
      </c>
      <c r="AS209">
        <f t="shared" si="99"/>
        <v>147.93333333333334</v>
      </c>
      <c r="AT209">
        <v>125.8</v>
      </c>
      <c r="AU209">
        <f t="shared" si="100"/>
        <v>125.33333333333333</v>
      </c>
      <c r="AV209">
        <v>140.9</v>
      </c>
      <c r="AW209">
        <f t="shared" si="101"/>
        <v>140.33333333333334</v>
      </c>
      <c r="AX209">
        <v>154.9</v>
      </c>
      <c r="AY209">
        <f t="shared" si="102"/>
        <v>153.79999999999998</v>
      </c>
      <c r="AZ209">
        <v>138.4</v>
      </c>
      <c r="BA209">
        <f t="shared" si="103"/>
        <v>136.13333333333333</v>
      </c>
      <c r="BB209">
        <v>140.19999999999999</v>
      </c>
      <c r="BC209">
        <f t="shared" si="104"/>
        <v>139.43333333333334</v>
      </c>
      <c r="BD209">
        <v>145</v>
      </c>
      <c r="BE209">
        <f t="shared" si="105"/>
        <v>144.03333333333333</v>
      </c>
    </row>
    <row r="210" spans="1:57" hidden="1">
      <c r="A210" t="s">
        <v>34</v>
      </c>
      <c r="B210">
        <v>2019</v>
      </c>
      <c r="C210" t="s">
        <v>42</v>
      </c>
      <c r="D210">
        <v>140.9</v>
      </c>
      <c r="E210">
        <f t="shared" si="79"/>
        <v>140.1</v>
      </c>
      <c r="F210">
        <v>160.80000000000001</v>
      </c>
      <c r="G210">
        <f t="shared" si="80"/>
        <v>161.36666666666665</v>
      </c>
      <c r="H210">
        <v>139.6</v>
      </c>
      <c r="I210">
        <f t="shared" si="81"/>
        <v>139.36666666666667</v>
      </c>
      <c r="J210">
        <v>145.4</v>
      </c>
      <c r="K210">
        <f t="shared" si="82"/>
        <v>144.70000000000002</v>
      </c>
      <c r="L210">
        <v>123.5</v>
      </c>
      <c r="M210">
        <f t="shared" si="83"/>
        <v>122.96666666666665</v>
      </c>
      <c r="N210">
        <v>146.6</v>
      </c>
      <c r="O210">
        <f t="shared" si="84"/>
        <v>148.76666666666668</v>
      </c>
      <c r="P210">
        <v>173.2</v>
      </c>
      <c r="Q210">
        <f t="shared" si="85"/>
        <v>166.96666666666667</v>
      </c>
      <c r="R210">
        <v>131.6</v>
      </c>
      <c r="S210">
        <f t="shared" si="86"/>
        <v>130.83333333333334</v>
      </c>
      <c r="T210">
        <v>113.2</v>
      </c>
      <c r="U210">
        <f t="shared" si="87"/>
        <v>112.10000000000001</v>
      </c>
      <c r="V210">
        <v>144.1</v>
      </c>
      <c r="W210">
        <f t="shared" si="88"/>
        <v>142.79999999999998</v>
      </c>
      <c r="X210">
        <v>135</v>
      </c>
      <c r="Y210">
        <f t="shared" si="89"/>
        <v>134.86666666666667</v>
      </c>
      <c r="Z210">
        <v>156.80000000000001</v>
      </c>
      <c r="AA210">
        <f t="shared" si="90"/>
        <v>156.53333333333333</v>
      </c>
      <c r="AB210">
        <v>147</v>
      </c>
      <c r="AC210">
        <f t="shared" si="91"/>
        <v>145.86666666666667</v>
      </c>
      <c r="AD210">
        <v>166.5</v>
      </c>
      <c r="AE210">
        <f t="shared" si="92"/>
        <v>165.83333333333334</v>
      </c>
      <c r="AF210">
        <v>149.19999999999999</v>
      </c>
      <c r="AG210">
        <f t="shared" si="93"/>
        <v>149.06666666666666</v>
      </c>
      <c r="AH210">
        <v>140.6</v>
      </c>
      <c r="AI210">
        <f t="shared" si="94"/>
        <v>140.56666666666669</v>
      </c>
      <c r="AJ210">
        <v>147.9</v>
      </c>
      <c r="AK210">
        <f t="shared" si="95"/>
        <v>147.79999999999998</v>
      </c>
      <c r="AL210">
        <v>152.19999999999999</v>
      </c>
      <c r="AM210">
        <f t="shared" si="96"/>
        <v>151.46666666666667</v>
      </c>
      <c r="AN210">
        <v>139.19999999999999</v>
      </c>
      <c r="AO210">
        <f t="shared" si="97"/>
        <v>139</v>
      </c>
      <c r="AP210">
        <v>144.6</v>
      </c>
      <c r="AQ210">
        <f t="shared" si="98"/>
        <v>144.43333333333331</v>
      </c>
      <c r="AR210">
        <v>149</v>
      </c>
      <c r="AS210">
        <f t="shared" si="99"/>
        <v>148.46666666666667</v>
      </c>
      <c r="AT210">
        <v>126.1</v>
      </c>
      <c r="AU210">
        <f t="shared" si="100"/>
        <v>125.83333333333333</v>
      </c>
      <c r="AV210">
        <v>141.30000000000001</v>
      </c>
      <c r="AW210">
        <f t="shared" si="101"/>
        <v>140.9</v>
      </c>
      <c r="AX210">
        <v>155.19999999999999</v>
      </c>
      <c r="AY210">
        <f t="shared" si="102"/>
        <v>154.69999999999999</v>
      </c>
      <c r="AZ210">
        <v>139.69999999999999</v>
      </c>
      <c r="BA210">
        <f t="shared" si="103"/>
        <v>137.93333333333334</v>
      </c>
      <c r="BB210">
        <v>140.69999999999999</v>
      </c>
      <c r="BC210">
        <f t="shared" si="104"/>
        <v>140.13333333333333</v>
      </c>
      <c r="BD210">
        <v>145.80000000000001</v>
      </c>
      <c r="BE210">
        <f t="shared" si="105"/>
        <v>145</v>
      </c>
    </row>
    <row r="211" spans="1:57" hidden="1">
      <c r="A211" t="s">
        <v>34</v>
      </c>
      <c r="B211">
        <v>2019</v>
      </c>
      <c r="C211" t="s">
        <v>43</v>
      </c>
      <c r="D211">
        <v>141.80000000000001</v>
      </c>
      <c r="E211">
        <f t="shared" si="79"/>
        <v>140.93333333333334</v>
      </c>
      <c r="F211">
        <v>161</v>
      </c>
      <c r="G211">
        <f t="shared" si="80"/>
        <v>160.79999999999998</v>
      </c>
      <c r="H211">
        <v>142.6</v>
      </c>
      <c r="I211">
        <f t="shared" si="81"/>
        <v>140.23333333333335</v>
      </c>
      <c r="J211">
        <v>146.19999999999999</v>
      </c>
      <c r="K211">
        <f t="shared" si="82"/>
        <v>145.43333333333334</v>
      </c>
      <c r="L211">
        <v>123.9</v>
      </c>
      <c r="M211">
        <f t="shared" si="83"/>
        <v>123.43333333333334</v>
      </c>
      <c r="N211">
        <v>148</v>
      </c>
      <c r="O211">
        <f t="shared" si="84"/>
        <v>148</v>
      </c>
      <c r="P211">
        <v>188.4</v>
      </c>
      <c r="Q211">
        <f t="shared" si="85"/>
        <v>176.33333333333334</v>
      </c>
      <c r="R211">
        <v>132.5</v>
      </c>
      <c r="S211">
        <f t="shared" si="86"/>
        <v>131.66666666666666</v>
      </c>
      <c r="T211">
        <v>114</v>
      </c>
      <c r="U211">
        <f t="shared" si="87"/>
        <v>113.06666666666666</v>
      </c>
      <c r="V211">
        <v>145.4</v>
      </c>
      <c r="W211">
        <f t="shared" si="88"/>
        <v>144.03333333333333</v>
      </c>
      <c r="X211">
        <v>135.1</v>
      </c>
      <c r="Y211">
        <f t="shared" si="89"/>
        <v>135</v>
      </c>
      <c r="Z211">
        <v>157.1</v>
      </c>
      <c r="AA211">
        <f t="shared" si="90"/>
        <v>156.83333333333334</v>
      </c>
      <c r="AB211">
        <v>149.6</v>
      </c>
      <c r="AC211">
        <f t="shared" si="91"/>
        <v>147.5</v>
      </c>
      <c r="AD211">
        <v>167.1</v>
      </c>
      <c r="AE211">
        <f t="shared" si="92"/>
        <v>166.46666666666667</v>
      </c>
      <c r="AF211">
        <v>149.4</v>
      </c>
      <c r="AG211">
        <f t="shared" si="93"/>
        <v>149.23333333333332</v>
      </c>
      <c r="AH211">
        <v>140.80000000000001</v>
      </c>
      <c r="AI211">
        <f t="shared" si="94"/>
        <v>140.66666666666666</v>
      </c>
      <c r="AJ211">
        <v>148.19999999999999</v>
      </c>
      <c r="AK211">
        <f t="shared" si="95"/>
        <v>148</v>
      </c>
      <c r="AL211">
        <v>153</v>
      </c>
      <c r="AM211">
        <f t="shared" si="96"/>
        <v>152.26666666666665</v>
      </c>
      <c r="AN211">
        <v>140.6</v>
      </c>
      <c r="AO211">
        <f t="shared" si="97"/>
        <v>139.43333333333331</v>
      </c>
      <c r="AP211">
        <v>145</v>
      </c>
      <c r="AQ211">
        <f t="shared" si="98"/>
        <v>144.70000000000002</v>
      </c>
      <c r="AR211">
        <v>149.4</v>
      </c>
      <c r="AS211">
        <f t="shared" si="99"/>
        <v>148.96666666666667</v>
      </c>
      <c r="AT211">
        <v>126.3</v>
      </c>
      <c r="AU211">
        <f t="shared" si="100"/>
        <v>126.06666666666666</v>
      </c>
      <c r="AV211">
        <v>141.69999999999999</v>
      </c>
      <c r="AW211">
        <f t="shared" si="101"/>
        <v>141.30000000000001</v>
      </c>
      <c r="AX211">
        <v>155.4</v>
      </c>
      <c r="AY211">
        <f t="shared" si="102"/>
        <v>155.16666666666666</v>
      </c>
      <c r="AZ211">
        <v>140</v>
      </c>
      <c r="BA211">
        <f t="shared" si="103"/>
        <v>139.36666666666667</v>
      </c>
      <c r="BB211">
        <v>141</v>
      </c>
      <c r="BC211">
        <f t="shared" si="104"/>
        <v>140.63333333333333</v>
      </c>
      <c r="BD211">
        <v>147.19999999999999</v>
      </c>
      <c r="BE211">
        <f t="shared" si="105"/>
        <v>146</v>
      </c>
    </row>
    <row r="212" spans="1:57" hidden="1">
      <c r="A212" t="s">
        <v>34</v>
      </c>
      <c r="B212">
        <v>2019</v>
      </c>
      <c r="C212" t="s">
        <v>45</v>
      </c>
      <c r="D212">
        <v>142.5</v>
      </c>
      <c r="E212">
        <f t="shared" si="79"/>
        <v>141.73333333333335</v>
      </c>
      <c r="F212">
        <v>163.19999999999999</v>
      </c>
      <c r="G212">
        <f t="shared" si="80"/>
        <v>161.66666666666666</v>
      </c>
      <c r="H212">
        <v>145.6</v>
      </c>
      <c r="I212">
        <f t="shared" si="81"/>
        <v>142.6</v>
      </c>
      <c r="J212">
        <v>146.69999999999999</v>
      </c>
      <c r="K212">
        <f t="shared" si="82"/>
        <v>146.1</v>
      </c>
      <c r="L212">
        <v>124.3</v>
      </c>
      <c r="M212">
        <f t="shared" si="83"/>
        <v>123.89999999999999</v>
      </c>
      <c r="N212">
        <v>147.4</v>
      </c>
      <c r="O212">
        <f t="shared" si="84"/>
        <v>147.33333333333334</v>
      </c>
      <c r="P212">
        <v>199.6</v>
      </c>
      <c r="Q212">
        <f t="shared" si="85"/>
        <v>187.06666666666669</v>
      </c>
      <c r="R212">
        <v>135.69999999999999</v>
      </c>
      <c r="S212">
        <f t="shared" si="86"/>
        <v>133.26666666666668</v>
      </c>
      <c r="T212">
        <v>114.2</v>
      </c>
      <c r="U212">
        <f t="shared" si="87"/>
        <v>113.8</v>
      </c>
      <c r="V212">
        <v>147</v>
      </c>
      <c r="W212">
        <f t="shared" si="88"/>
        <v>145.5</v>
      </c>
      <c r="X212">
        <v>135.30000000000001</v>
      </c>
      <c r="Y212">
        <f t="shared" si="89"/>
        <v>135.13333333333335</v>
      </c>
      <c r="Z212">
        <v>157.5</v>
      </c>
      <c r="AA212">
        <f t="shared" si="90"/>
        <v>157.13333333333333</v>
      </c>
      <c r="AB212">
        <v>151.9</v>
      </c>
      <c r="AC212">
        <f t="shared" si="91"/>
        <v>149.5</v>
      </c>
      <c r="AD212">
        <v>167.9</v>
      </c>
      <c r="AE212">
        <f t="shared" si="92"/>
        <v>167.16666666666666</v>
      </c>
      <c r="AF212">
        <v>149.9</v>
      </c>
      <c r="AG212">
        <f t="shared" si="93"/>
        <v>149.5</v>
      </c>
      <c r="AH212">
        <v>141</v>
      </c>
      <c r="AI212">
        <f t="shared" si="94"/>
        <v>140.79999999999998</v>
      </c>
      <c r="AJ212">
        <v>148.6</v>
      </c>
      <c r="AK212">
        <f t="shared" si="95"/>
        <v>148.23333333333335</v>
      </c>
      <c r="AL212">
        <v>153.5</v>
      </c>
      <c r="AM212">
        <f t="shared" si="96"/>
        <v>152.9</v>
      </c>
      <c r="AN212">
        <v>142.30000000000001</v>
      </c>
      <c r="AO212">
        <f t="shared" si="97"/>
        <v>140.69999999999999</v>
      </c>
      <c r="AP212">
        <v>145.30000000000001</v>
      </c>
      <c r="AQ212">
        <f t="shared" si="98"/>
        <v>144.96666666666667</v>
      </c>
      <c r="AR212">
        <v>149.9</v>
      </c>
      <c r="AS212">
        <f t="shared" si="99"/>
        <v>149.43333333333331</v>
      </c>
      <c r="AT212">
        <v>126.6</v>
      </c>
      <c r="AU212">
        <f t="shared" si="100"/>
        <v>126.33333333333333</v>
      </c>
      <c r="AV212">
        <v>142.1</v>
      </c>
      <c r="AW212">
        <f t="shared" si="101"/>
        <v>141.70000000000002</v>
      </c>
      <c r="AX212">
        <v>155.5</v>
      </c>
      <c r="AY212">
        <f t="shared" si="102"/>
        <v>155.36666666666667</v>
      </c>
      <c r="AZ212">
        <v>140.30000000000001</v>
      </c>
      <c r="BA212">
        <f t="shared" si="103"/>
        <v>140</v>
      </c>
      <c r="BB212">
        <v>141.30000000000001</v>
      </c>
      <c r="BC212">
        <f t="shared" si="104"/>
        <v>141</v>
      </c>
      <c r="BD212">
        <v>148.6</v>
      </c>
      <c r="BE212">
        <f t="shared" si="105"/>
        <v>147.20000000000002</v>
      </c>
    </row>
    <row r="213" spans="1:57" hidden="1">
      <c r="A213" t="s">
        <v>34</v>
      </c>
      <c r="B213">
        <v>2019</v>
      </c>
      <c r="C213" t="s">
        <v>46</v>
      </c>
      <c r="D213">
        <v>143.5</v>
      </c>
      <c r="E213">
        <f t="shared" si="79"/>
        <v>142.6</v>
      </c>
      <c r="F213">
        <v>165</v>
      </c>
      <c r="G213">
        <f t="shared" si="80"/>
        <v>163.06666666666666</v>
      </c>
      <c r="H213">
        <v>151.1</v>
      </c>
      <c r="I213">
        <f t="shared" si="81"/>
        <v>146.43333333333331</v>
      </c>
      <c r="J213">
        <v>148.30000000000001</v>
      </c>
      <c r="K213">
        <f t="shared" si="82"/>
        <v>147.06666666666666</v>
      </c>
      <c r="L213">
        <v>125.7</v>
      </c>
      <c r="M213">
        <f t="shared" si="83"/>
        <v>124.63333333333333</v>
      </c>
      <c r="N213">
        <v>145.69999999999999</v>
      </c>
      <c r="O213">
        <f t="shared" si="84"/>
        <v>147.03333333333333</v>
      </c>
      <c r="P213">
        <v>217</v>
      </c>
      <c r="Q213">
        <f t="shared" si="85"/>
        <v>201.66666666666666</v>
      </c>
      <c r="R213">
        <v>138.30000000000001</v>
      </c>
      <c r="S213">
        <f t="shared" si="86"/>
        <v>135.5</v>
      </c>
      <c r="T213">
        <v>114</v>
      </c>
      <c r="U213">
        <f t="shared" si="87"/>
        <v>114.06666666666666</v>
      </c>
      <c r="V213">
        <v>148.69999999999999</v>
      </c>
      <c r="W213">
        <f t="shared" si="88"/>
        <v>147.03333333333333</v>
      </c>
      <c r="X213">
        <v>135.80000000000001</v>
      </c>
      <c r="Y213">
        <f t="shared" si="89"/>
        <v>135.4</v>
      </c>
      <c r="Z213">
        <v>158</v>
      </c>
      <c r="AA213">
        <f t="shared" si="90"/>
        <v>157.53333333333333</v>
      </c>
      <c r="AB213">
        <v>155</v>
      </c>
      <c r="AC213">
        <f t="shared" si="91"/>
        <v>152.16666666666666</v>
      </c>
      <c r="AD213">
        <v>168.5</v>
      </c>
      <c r="AE213">
        <f t="shared" si="92"/>
        <v>167.83333333333334</v>
      </c>
      <c r="AF213">
        <v>150.30000000000001</v>
      </c>
      <c r="AG213">
        <f t="shared" si="93"/>
        <v>149.86666666666667</v>
      </c>
      <c r="AH213">
        <v>141.30000000000001</v>
      </c>
      <c r="AI213">
        <f t="shared" si="94"/>
        <v>141.03333333333333</v>
      </c>
      <c r="AJ213">
        <v>149</v>
      </c>
      <c r="AK213">
        <f t="shared" si="95"/>
        <v>148.6</v>
      </c>
      <c r="AL213">
        <v>152.80000000000001</v>
      </c>
      <c r="AM213">
        <f t="shared" si="96"/>
        <v>153.1</v>
      </c>
      <c r="AN213">
        <v>143.69999999999999</v>
      </c>
      <c r="AO213">
        <f t="shared" si="97"/>
        <v>142.19999999999999</v>
      </c>
      <c r="AP213">
        <v>145.80000000000001</v>
      </c>
      <c r="AQ213">
        <f t="shared" si="98"/>
        <v>145.36666666666667</v>
      </c>
      <c r="AR213">
        <v>150.4</v>
      </c>
      <c r="AS213">
        <f t="shared" si="99"/>
        <v>149.9</v>
      </c>
      <c r="AT213">
        <v>129.80000000000001</v>
      </c>
      <c r="AU213">
        <f t="shared" si="100"/>
        <v>127.56666666666666</v>
      </c>
      <c r="AV213">
        <v>142.30000000000001</v>
      </c>
      <c r="AW213">
        <f t="shared" si="101"/>
        <v>142.03333333333333</v>
      </c>
      <c r="AX213">
        <v>155.69999999999999</v>
      </c>
      <c r="AY213">
        <f t="shared" si="102"/>
        <v>155.53333333333333</v>
      </c>
      <c r="AZ213">
        <v>140.4</v>
      </c>
      <c r="BA213">
        <f t="shared" si="103"/>
        <v>140.23333333333335</v>
      </c>
      <c r="BB213">
        <v>142.5</v>
      </c>
      <c r="BC213">
        <f t="shared" si="104"/>
        <v>141.6</v>
      </c>
      <c r="BD213">
        <v>150.4</v>
      </c>
      <c r="BE213">
        <f t="shared" si="105"/>
        <v>148.73333333333332</v>
      </c>
    </row>
    <row r="214" spans="1:57" hidden="1">
      <c r="A214" t="s">
        <v>34</v>
      </c>
      <c r="B214">
        <v>2020</v>
      </c>
      <c r="C214" t="s">
        <v>31</v>
      </c>
      <c r="D214">
        <v>144.30000000000001</v>
      </c>
      <c r="E214">
        <f t="shared" si="79"/>
        <v>143.43333333333334</v>
      </c>
      <c r="F214">
        <v>167.4</v>
      </c>
      <c r="G214">
        <f t="shared" si="80"/>
        <v>165.20000000000002</v>
      </c>
      <c r="H214">
        <v>154.9</v>
      </c>
      <c r="I214">
        <f t="shared" si="81"/>
        <v>150.53333333333333</v>
      </c>
      <c r="J214">
        <v>150.1</v>
      </c>
      <c r="K214">
        <f t="shared" si="82"/>
        <v>148.36666666666667</v>
      </c>
      <c r="L214">
        <v>129.9</v>
      </c>
      <c r="M214">
        <f t="shared" si="83"/>
        <v>126.63333333333333</v>
      </c>
      <c r="N214">
        <v>143.19999999999999</v>
      </c>
      <c r="O214">
        <f t="shared" si="84"/>
        <v>145.43333333333334</v>
      </c>
      <c r="P214">
        <v>197</v>
      </c>
      <c r="Q214">
        <f t="shared" si="85"/>
        <v>204.53333333333333</v>
      </c>
      <c r="R214">
        <v>140.4</v>
      </c>
      <c r="S214">
        <f t="shared" si="86"/>
        <v>138.13333333333333</v>
      </c>
      <c r="T214">
        <v>114.1</v>
      </c>
      <c r="U214">
        <f t="shared" si="87"/>
        <v>114.09999999999998</v>
      </c>
      <c r="V214">
        <v>150.9</v>
      </c>
      <c r="W214">
        <f t="shared" si="88"/>
        <v>148.86666666666667</v>
      </c>
      <c r="X214">
        <v>136.1</v>
      </c>
      <c r="Y214">
        <f t="shared" si="89"/>
        <v>135.73333333333335</v>
      </c>
      <c r="Z214">
        <v>158.6</v>
      </c>
      <c r="AA214">
        <f t="shared" si="90"/>
        <v>158.03333333333333</v>
      </c>
      <c r="AB214">
        <v>153.5</v>
      </c>
      <c r="AC214">
        <f t="shared" si="91"/>
        <v>153.46666666666667</v>
      </c>
      <c r="AD214">
        <v>169.2</v>
      </c>
      <c r="AE214">
        <f t="shared" si="92"/>
        <v>168.53333333333333</v>
      </c>
      <c r="AF214">
        <v>150.5</v>
      </c>
      <c r="AG214">
        <f t="shared" si="93"/>
        <v>150.23333333333335</v>
      </c>
      <c r="AH214">
        <v>141.5</v>
      </c>
      <c r="AI214">
        <f t="shared" si="94"/>
        <v>141.26666666666668</v>
      </c>
      <c r="AJ214">
        <v>149.19999999999999</v>
      </c>
      <c r="AK214">
        <f t="shared" si="95"/>
        <v>148.93333333333334</v>
      </c>
      <c r="AL214">
        <v>153.9</v>
      </c>
      <c r="AM214">
        <f t="shared" si="96"/>
        <v>153.4</v>
      </c>
      <c r="AN214">
        <v>144.6</v>
      </c>
      <c r="AO214">
        <f t="shared" si="97"/>
        <v>143.53333333333333</v>
      </c>
      <c r="AP214">
        <v>146.19999999999999</v>
      </c>
      <c r="AQ214">
        <f t="shared" si="98"/>
        <v>145.76666666666668</v>
      </c>
      <c r="AR214">
        <v>151.19999999999999</v>
      </c>
      <c r="AS214">
        <f t="shared" si="99"/>
        <v>150.5</v>
      </c>
      <c r="AT214">
        <v>130.9</v>
      </c>
      <c r="AU214">
        <f t="shared" si="100"/>
        <v>129.1</v>
      </c>
      <c r="AV214">
        <v>142.80000000000001</v>
      </c>
      <c r="AW214">
        <f t="shared" si="101"/>
        <v>142.4</v>
      </c>
      <c r="AX214">
        <v>156.1</v>
      </c>
      <c r="AY214">
        <f t="shared" si="102"/>
        <v>155.76666666666665</v>
      </c>
      <c r="AZ214">
        <v>142.30000000000001</v>
      </c>
      <c r="BA214">
        <f t="shared" si="103"/>
        <v>141.00000000000003</v>
      </c>
      <c r="BB214">
        <v>143.4</v>
      </c>
      <c r="BC214">
        <f t="shared" si="104"/>
        <v>142.4</v>
      </c>
      <c r="BD214">
        <v>150.19999999999999</v>
      </c>
      <c r="BE214">
        <f t="shared" si="105"/>
        <v>149.73333333333332</v>
      </c>
    </row>
    <row r="215" spans="1:57" hidden="1">
      <c r="A215" t="s">
        <v>34</v>
      </c>
      <c r="B215">
        <v>2020</v>
      </c>
      <c r="C215" t="s">
        <v>35</v>
      </c>
      <c r="D215">
        <v>144.80000000000001</v>
      </c>
      <c r="E215">
        <f t="shared" si="79"/>
        <v>144.20000000000002</v>
      </c>
      <c r="F215">
        <v>167.5</v>
      </c>
      <c r="G215">
        <f t="shared" si="80"/>
        <v>166.63333333333333</v>
      </c>
      <c r="H215">
        <v>151.80000000000001</v>
      </c>
      <c r="I215">
        <f t="shared" si="81"/>
        <v>152.6</v>
      </c>
      <c r="J215">
        <v>150.80000000000001</v>
      </c>
      <c r="K215">
        <f t="shared" si="82"/>
        <v>149.73333333333332</v>
      </c>
      <c r="L215">
        <v>131.4</v>
      </c>
      <c r="M215">
        <f t="shared" si="83"/>
        <v>129</v>
      </c>
      <c r="N215">
        <v>141.80000000000001</v>
      </c>
      <c r="O215">
        <f t="shared" si="84"/>
        <v>143.56666666666666</v>
      </c>
      <c r="P215">
        <v>170.7</v>
      </c>
      <c r="Q215">
        <f t="shared" si="85"/>
        <v>194.9</v>
      </c>
      <c r="R215">
        <v>141.1</v>
      </c>
      <c r="S215">
        <f t="shared" si="86"/>
        <v>139.93333333333337</v>
      </c>
      <c r="T215">
        <v>113.6</v>
      </c>
      <c r="U215">
        <f t="shared" si="87"/>
        <v>113.89999999999999</v>
      </c>
      <c r="V215">
        <v>152</v>
      </c>
      <c r="W215">
        <f t="shared" si="88"/>
        <v>150.53333333333333</v>
      </c>
      <c r="X215">
        <v>136.5</v>
      </c>
      <c r="Y215">
        <f t="shared" si="89"/>
        <v>136.13333333333333</v>
      </c>
      <c r="Z215">
        <v>159.1</v>
      </c>
      <c r="AA215">
        <f t="shared" si="90"/>
        <v>158.56666666666669</v>
      </c>
      <c r="AB215">
        <v>150.5</v>
      </c>
      <c r="AC215">
        <f t="shared" si="91"/>
        <v>153</v>
      </c>
      <c r="AD215">
        <v>170.1</v>
      </c>
      <c r="AE215">
        <f t="shared" si="92"/>
        <v>169.26666666666665</v>
      </c>
      <c r="AF215">
        <v>150.80000000000001</v>
      </c>
      <c r="AG215">
        <f t="shared" si="93"/>
        <v>150.53333333333333</v>
      </c>
      <c r="AH215">
        <v>141.69999999999999</v>
      </c>
      <c r="AI215">
        <f t="shared" si="94"/>
        <v>141.5</v>
      </c>
      <c r="AJ215">
        <v>149.5</v>
      </c>
      <c r="AK215">
        <f t="shared" si="95"/>
        <v>149.23333333333332</v>
      </c>
      <c r="AL215">
        <v>154.80000000000001</v>
      </c>
      <c r="AM215">
        <f t="shared" si="96"/>
        <v>153.83333333333334</v>
      </c>
      <c r="AN215">
        <v>147.19999999999999</v>
      </c>
      <c r="AO215">
        <f t="shared" si="97"/>
        <v>145.16666666666666</v>
      </c>
      <c r="AP215">
        <v>146.4</v>
      </c>
      <c r="AQ215">
        <f t="shared" si="98"/>
        <v>146.13333333333333</v>
      </c>
      <c r="AR215">
        <v>151.69999999999999</v>
      </c>
      <c r="AS215">
        <f t="shared" si="99"/>
        <v>151.1</v>
      </c>
      <c r="AT215">
        <v>130.30000000000001</v>
      </c>
      <c r="AU215">
        <f t="shared" si="100"/>
        <v>130.33333333333334</v>
      </c>
      <c r="AV215">
        <v>143.19999999999999</v>
      </c>
      <c r="AW215">
        <f t="shared" si="101"/>
        <v>142.76666666666668</v>
      </c>
      <c r="AX215">
        <v>156.19999999999999</v>
      </c>
      <c r="AY215">
        <f t="shared" si="102"/>
        <v>155.99999999999997</v>
      </c>
      <c r="AZ215">
        <v>143.4</v>
      </c>
      <c r="BA215">
        <f t="shared" si="103"/>
        <v>142.03333333333333</v>
      </c>
      <c r="BB215">
        <v>143.6</v>
      </c>
      <c r="BC215">
        <f t="shared" si="104"/>
        <v>143.16666666666666</v>
      </c>
      <c r="BD215">
        <v>149.1</v>
      </c>
      <c r="BE215">
        <f t="shared" si="105"/>
        <v>149.9</v>
      </c>
    </row>
    <row r="216" spans="1:57" hidden="1">
      <c r="A216" t="s">
        <v>34</v>
      </c>
      <c r="B216">
        <v>2020</v>
      </c>
      <c r="C216" t="s">
        <v>36</v>
      </c>
      <c r="D216">
        <v>145.1</v>
      </c>
      <c r="E216">
        <f t="shared" si="79"/>
        <v>144.73333333333335</v>
      </c>
      <c r="F216">
        <v>167</v>
      </c>
      <c r="G216">
        <f t="shared" si="80"/>
        <v>167.29999999999998</v>
      </c>
      <c r="H216">
        <v>148.1</v>
      </c>
      <c r="I216">
        <f t="shared" si="81"/>
        <v>151.60000000000002</v>
      </c>
      <c r="J216">
        <v>151.5</v>
      </c>
      <c r="K216">
        <f t="shared" si="82"/>
        <v>150.79999999999998</v>
      </c>
      <c r="L216">
        <v>131.19999999999999</v>
      </c>
      <c r="M216">
        <f t="shared" si="83"/>
        <v>130.83333333333334</v>
      </c>
      <c r="N216">
        <v>142.5</v>
      </c>
      <c r="O216">
        <f t="shared" si="84"/>
        <v>142.5</v>
      </c>
      <c r="P216">
        <v>157.30000000000001</v>
      </c>
      <c r="Q216">
        <f t="shared" si="85"/>
        <v>175</v>
      </c>
      <c r="R216">
        <v>141.1</v>
      </c>
      <c r="S216">
        <f t="shared" si="86"/>
        <v>140.86666666666667</v>
      </c>
      <c r="T216">
        <v>113.2</v>
      </c>
      <c r="U216">
        <f t="shared" si="87"/>
        <v>113.63333333333333</v>
      </c>
      <c r="V216">
        <v>153.19999999999999</v>
      </c>
      <c r="W216">
        <f t="shared" si="88"/>
        <v>152.03333333333333</v>
      </c>
      <c r="X216">
        <v>136.69999999999999</v>
      </c>
      <c r="Y216">
        <f t="shared" si="89"/>
        <v>136.43333333333334</v>
      </c>
      <c r="Z216">
        <v>159.6</v>
      </c>
      <c r="AA216">
        <f t="shared" si="90"/>
        <v>159.1</v>
      </c>
      <c r="AB216">
        <v>148.9</v>
      </c>
      <c r="AC216">
        <f t="shared" si="91"/>
        <v>150.96666666666667</v>
      </c>
      <c r="AD216">
        <v>171.2</v>
      </c>
      <c r="AE216">
        <f t="shared" si="92"/>
        <v>170.16666666666666</v>
      </c>
      <c r="AF216">
        <v>151.19999999999999</v>
      </c>
      <c r="AG216">
        <f t="shared" si="93"/>
        <v>150.83333333333334</v>
      </c>
      <c r="AH216">
        <v>141.9</v>
      </c>
      <c r="AI216">
        <f t="shared" si="94"/>
        <v>141.70000000000002</v>
      </c>
      <c r="AJ216">
        <v>149.80000000000001</v>
      </c>
      <c r="AK216">
        <f t="shared" si="95"/>
        <v>149.5</v>
      </c>
      <c r="AL216">
        <v>154.5</v>
      </c>
      <c r="AM216">
        <f t="shared" si="96"/>
        <v>154.4</v>
      </c>
      <c r="AN216">
        <v>148.9</v>
      </c>
      <c r="AO216">
        <f t="shared" si="97"/>
        <v>146.89999999999998</v>
      </c>
      <c r="AP216">
        <v>146.4</v>
      </c>
      <c r="AQ216">
        <f t="shared" si="98"/>
        <v>146.33333333333334</v>
      </c>
      <c r="AR216">
        <v>152.30000000000001</v>
      </c>
      <c r="AS216">
        <f t="shared" si="99"/>
        <v>151.73333333333332</v>
      </c>
      <c r="AT216">
        <v>129.9</v>
      </c>
      <c r="AU216">
        <f t="shared" si="100"/>
        <v>130.36666666666667</v>
      </c>
      <c r="AV216">
        <v>143.69999999999999</v>
      </c>
      <c r="AW216">
        <f t="shared" si="101"/>
        <v>143.23333333333332</v>
      </c>
      <c r="AX216">
        <v>156.1</v>
      </c>
      <c r="AY216">
        <f t="shared" si="102"/>
        <v>156.13333333333333</v>
      </c>
      <c r="AZ216">
        <v>145.19999999999999</v>
      </c>
      <c r="BA216">
        <f t="shared" si="103"/>
        <v>143.63333333333335</v>
      </c>
      <c r="BB216">
        <v>143.80000000000001</v>
      </c>
      <c r="BC216">
        <f t="shared" si="104"/>
        <v>143.6</v>
      </c>
      <c r="BD216">
        <v>148.6</v>
      </c>
      <c r="BE216">
        <f t="shared" si="105"/>
        <v>149.29999999999998</v>
      </c>
    </row>
    <row r="217" spans="1:57">
      <c r="A217" t="s">
        <v>34</v>
      </c>
      <c r="B217">
        <v>2020</v>
      </c>
      <c r="C217" t="s">
        <v>37</v>
      </c>
      <c r="D217">
        <v>148.69999999999999</v>
      </c>
      <c r="E217">
        <f t="shared" si="79"/>
        <v>146.19999999999999</v>
      </c>
      <c r="F217" t="s">
        <v>32</v>
      </c>
      <c r="G217">
        <f t="shared" si="80"/>
        <v>167.25</v>
      </c>
      <c r="H217">
        <v>148.80000000000001</v>
      </c>
      <c r="I217">
        <f t="shared" si="81"/>
        <v>149.56666666666666</v>
      </c>
      <c r="J217">
        <v>155.6</v>
      </c>
      <c r="K217">
        <f t="shared" si="82"/>
        <v>152.63333333333333</v>
      </c>
      <c r="L217">
        <v>135.1</v>
      </c>
      <c r="M217">
        <f t="shared" si="83"/>
        <v>132.56666666666669</v>
      </c>
      <c r="N217">
        <v>149.9</v>
      </c>
      <c r="O217">
        <f t="shared" si="84"/>
        <v>144.73333333333335</v>
      </c>
      <c r="P217">
        <v>168.6</v>
      </c>
      <c r="Q217">
        <f t="shared" si="85"/>
        <v>165.53333333333333</v>
      </c>
      <c r="R217">
        <v>150.4</v>
      </c>
      <c r="S217">
        <f t="shared" si="86"/>
        <v>144.20000000000002</v>
      </c>
      <c r="T217">
        <v>120.3</v>
      </c>
      <c r="U217">
        <f t="shared" si="87"/>
        <v>115.7</v>
      </c>
      <c r="V217">
        <v>157.1</v>
      </c>
      <c r="W217">
        <f t="shared" si="88"/>
        <v>154.1</v>
      </c>
      <c r="X217">
        <v>136.80000000000001</v>
      </c>
      <c r="Y217">
        <f t="shared" si="89"/>
        <v>136.66666666666666</v>
      </c>
      <c r="Z217" t="s">
        <v>32</v>
      </c>
      <c r="AA217">
        <f t="shared" si="90"/>
        <v>159.35</v>
      </c>
      <c r="AB217">
        <v>151.4</v>
      </c>
      <c r="AC217">
        <f t="shared" si="91"/>
        <v>150.26666666666665</v>
      </c>
      <c r="AD217" t="s">
        <v>32</v>
      </c>
      <c r="AE217">
        <f t="shared" si="92"/>
        <v>170.64999999999998</v>
      </c>
      <c r="AF217" t="s">
        <v>32</v>
      </c>
      <c r="AG217">
        <f t="shared" si="93"/>
        <v>151</v>
      </c>
      <c r="AH217" t="s">
        <v>32</v>
      </c>
      <c r="AI217">
        <f t="shared" si="94"/>
        <v>141.80000000000001</v>
      </c>
      <c r="AJ217" t="s">
        <v>32</v>
      </c>
      <c r="AK217">
        <f t="shared" si="95"/>
        <v>149.65</v>
      </c>
      <c r="AL217">
        <v>155.6</v>
      </c>
      <c r="AM217">
        <f t="shared" si="96"/>
        <v>154.96666666666667</v>
      </c>
      <c r="AN217">
        <v>144.1</v>
      </c>
      <c r="AO217">
        <f t="shared" si="97"/>
        <v>146.73333333333335</v>
      </c>
      <c r="AP217" t="s">
        <v>32</v>
      </c>
      <c r="AQ217">
        <f t="shared" si="98"/>
        <v>146.4</v>
      </c>
      <c r="AR217">
        <v>150.69999999999999</v>
      </c>
      <c r="AS217">
        <f t="shared" si="99"/>
        <v>151.56666666666666</v>
      </c>
      <c r="AT217" t="s">
        <v>32</v>
      </c>
      <c r="AU217">
        <f t="shared" si="100"/>
        <v>130.10000000000002</v>
      </c>
      <c r="AV217" t="s">
        <v>32</v>
      </c>
      <c r="AW217">
        <f t="shared" si="101"/>
        <v>143.44999999999999</v>
      </c>
      <c r="AX217" t="s">
        <v>32</v>
      </c>
      <c r="AY217">
        <f t="shared" si="102"/>
        <v>156.14999999999998</v>
      </c>
      <c r="AZ217" t="s">
        <v>32</v>
      </c>
      <c r="BA217">
        <f t="shared" si="103"/>
        <v>144.30000000000001</v>
      </c>
      <c r="BB217" t="s">
        <v>32</v>
      </c>
      <c r="BC217">
        <f t="shared" si="104"/>
        <v>143.69999999999999</v>
      </c>
      <c r="BD217" t="s">
        <v>32</v>
      </c>
      <c r="BE217">
        <f t="shared" si="105"/>
        <v>148.85</v>
      </c>
    </row>
    <row r="218" spans="1:57">
      <c r="A218" t="s">
        <v>34</v>
      </c>
      <c r="B218">
        <v>2020</v>
      </c>
      <c r="C218" t="s">
        <v>38</v>
      </c>
      <c r="D218" t="s">
        <v>32</v>
      </c>
      <c r="E218">
        <f t="shared" si="79"/>
        <v>146.89999999999998</v>
      </c>
      <c r="F218" t="s">
        <v>32</v>
      </c>
      <c r="G218">
        <f t="shared" si="80"/>
        <v>167</v>
      </c>
      <c r="H218" t="s">
        <v>32</v>
      </c>
      <c r="I218">
        <f t="shared" si="81"/>
        <v>148.44999999999999</v>
      </c>
      <c r="J218" t="s">
        <v>32</v>
      </c>
      <c r="K218">
        <f t="shared" si="82"/>
        <v>153.55000000000001</v>
      </c>
      <c r="L218" t="s">
        <v>32</v>
      </c>
      <c r="M218">
        <f t="shared" si="83"/>
        <v>133.14999999999998</v>
      </c>
      <c r="N218" t="s">
        <v>32</v>
      </c>
      <c r="O218">
        <f t="shared" si="84"/>
        <v>146.19999999999999</v>
      </c>
      <c r="P218" t="s">
        <v>32</v>
      </c>
      <c r="Q218">
        <f t="shared" si="85"/>
        <v>162.94999999999999</v>
      </c>
      <c r="R218" t="s">
        <v>32</v>
      </c>
      <c r="S218">
        <f t="shared" si="86"/>
        <v>145.75</v>
      </c>
      <c r="T218" t="s">
        <v>32</v>
      </c>
      <c r="U218">
        <f t="shared" si="87"/>
        <v>116.75</v>
      </c>
      <c r="V218" t="s">
        <v>32</v>
      </c>
      <c r="W218">
        <f t="shared" si="88"/>
        <v>155.14999999999998</v>
      </c>
      <c r="X218" t="s">
        <v>32</v>
      </c>
      <c r="Y218">
        <f t="shared" si="89"/>
        <v>136.75</v>
      </c>
      <c r="Z218" t="s">
        <v>32</v>
      </c>
      <c r="AA218">
        <f t="shared" si="90"/>
        <v>159.6</v>
      </c>
      <c r="AB218" t="s">
        <v>32</v>
      </c>
      <c r="AC218">
        <f t="shared" si="91"/>
        <v>150.15</v>
      </c>
      <c r="AD218" t="s">
        <v>32</v>
      </c>
      <c r="AE218">
        <f t="shared" si="92"/>
        <v>171.2</v>
      </c>
      <c r="AF218" t="s">
        <v>32</v>
      </c>
      <c r="AG218">
        <f t="shared" si="93"/>
        <v>151.19999999999999</v>
      </c>
      <c r="AH218" t="s">
        <v>32</v>
      </c>
      <c r="AI218">
        <f t="shared" si="94"/>
        <v>141.9</v>
      </c>
      <c r="AJ218" t="s">
        <v>32</v>
      </c>
      <c r="AK218">
        <f t="shared" si="95"/>
        <v>149.80000000000001</v>
      </c>
      <c r="AL218" t="s">
        <v>32</v>
      </c>
      <c r="AM218">
        <f t="shared" si="96"/>
        <v>155.05000000000001</v>
      </c>
      <c r="AN218" t="s">
        <v>32</v>
      </c>
      <c r="AO218">
        <f t="shared" si="97"/>
        <v>146.5</v>
      </c>
      <c r="AP218" t="s">
        <v>32</v>
      </c>
      <c r="AQ218">
        <f t="shared" si="98"/>
        <v>146.4</v>
      </c>
      <c r="AR218" t="s">
        <v>32</v>
      </c>
      <c r="AS218">
        <f t="shared" si="99"/>
        <v>151.5</v>
      </c>
      <c r="AT218" t="s">
        <v>32</v>
      </c>
      <c r="AU218">
        <f t="shared" si="100"/>
        <v>129.9</v>
      </c>
      <c r="AV218" t="s">
        <v>32</v>
      </c>
      <c r="AW218">
        <f t="shared" si="101"/>
        <v>143.69999999999999</v>
      </c>
      <c r="AX218" t="s">
        <v>32</v>
      </c>
      <c r="AY218">
        <f t="shared" si="102"/>
        <v>156.1</v>
      </c>
      <c r="AZ218" t="s">
        <v>32</v>
      </c>
      <c r="BA218">
        <f t="shared" si="103"/>
        <v>145.19999999999999</v>
      </c>
      <c r="BB218" t="s">
        <v>32</v>
      </c>
      <c r="BC218">
        <f t="shared" si="104"/>
        <v>143.80000000000001</v>
      </c>
      <c r="BD218" t="s">
        <v>32</v>
      </c>
      <c r="BE218">
        <f t="shared" si="105"/>
        <v>148.6</v>
      </c>
    </row>
    <row r="219" spans="1:57" hidden="1">
      <c r="A219" t="s">
        <v>34</v>
      </c>
      <c r="B219">
        <v>2020</v>
      </c>
      <c r="C219" t="s">
        <v>39</v>
      </c>
      <c r="D219">
        <v>149.6</v>
      </c>
      <c r="E219">
        <f t="shared" si="79"/>
        <v>149.14999999999998</v>
      </c>
      <c r="F219">
        <v>192.7</v>
      </c>
      <c r="G219">
        <f t="shared" si="80"/>
        <v>192.7</v>
      </c>
      <c r="H219">
        <v>151.4</v>
      </c>
      <c r="I219">
        <f t="shared" si="81"/>
        <v>150.10000000000002</v>
      </c>
      <c r="J219">
        <v>153.30000000000001</v>
      </c>
      <c r="K219">
        <f t="shared" si="82"/>
        <v>154.44999999999999</v>
      </c>
      <c r="L219">
        <v>136.30000000000001</v>
      </c>
      <c r="M219">
        <f t="shared" si="83"/>
        <v>135.69999999999999</v>
      </c>
      <c r="N219">
        <v>147.19999999999999</v>
      </c>
      <c r="O219">
        <f t="shared" si="84"/>
        <v>148.55000000000001</v>
      </c>
      <c r="P219">
        <v>156.5</v>
      </c>
      <c r="Q219">
        <f t="shared" si="85"/>
        <v>162.55000000000001</v>
      </c>
      <c r="R219">
        <v>150.9</v>
      </c>
      <c r="S219">
        <f t="shared" si="86"/>
        <v>150.65</v>
      </c>
      <c r="T219">
        <v>114.2</v>
      </c>
      <c r="U219">
        <f t="shared" si="87"/>
        <v>117.25</v>
      </c>
      <c r="V219">
        <v>159.5</v>
      </c>
      <c r="W219">
        <f t="shared" si="88"/>
        <v>158.30000000000001</v>
      </c>
      <c r="X219">
        <v>139.4</v>
      </c>
      <c r="Y219">
        <f t="shared" si="89"/>
        <v>138.10000000000002</v>
      </c>
      <c r="Z219">
        <v>161.80000000000001</v>
      </c>
      <c r="AA219">
        <f t="shared" si="90"/>
        <v>161.80000000000001</v>
      </c>
      <c r="AB219">
        <v>154</v>
      </c>
      <c r="AC219">
        <f t="shared" si="91"/>
        <v>152.69999999999999</v>
      </c>
      <c r="AD219">
        <v>183.5</v>
      </c>
      <c r="AE219">
        <f t="shared" si="92"/>
        <v>183.5</v>
      </c>
      <c r="AF219">
        <v>152.5</v>
      </c>
      <c r="AG219">
        <f t="shared" si="93"/>
        <v>152.5</v>
      </c>
      <c r="AH219">
        <v>144.4</v>
      </c>
      <c r="AI219">
        <f t="shared" si="94"/>
        <v>144.4</v>
      </c>
      <c r="AJ219">
        <v>151.4</v>
      </c>
      <c r="AK219">
        <f t="shared" si="95"/>
        <v>151.4</v>
      </c>
      <c r="AL219">
        <v>154.69999999999999</v>
      </c>
      <c r="AM219">
        <f t="shared" si="96"/>
        <v>155.14999999999998</v>
      </c>
      <c r="AN219">
        <v>141.9</v>
      </c>
      <c r="AO219">
        <f t="shared" si="97"/>
        <v>143</v>
      </c>
      <c r="AP219">
        <v>146.4</v>
      </c>
      <c r="AQ219">
        <f t="shared" si="98"/>
        <v>146.4</v>
      </c>
      <c r="AR219">
        <v>154.4</v>
      </c>
      <c r="AS219">
        <f t="shared" si="99"/>
        <v>152.55000000000001</v>
      </c>
      <c r="AT219">
        <v>135</v>
      </c>
      <c r="AU219">
        <f t="shared" si="100"/>
        <v>135</v>
      </c>
      <c r="AV219">
        <v>148.30000000000001</v>
      </c>
      <c r="AW219">
        <f t="shared" si="101"/>
        <v>148.30000000000001</v>
      </c>
      <c r="AX219">
        <v>156.4</v>
      </c>
      <c r="AY219">
        <f t="shared" si="102"/>
        <v>156.4</v>
      </c>
      <c r="AZ219">
        <v>151.6</v>
      </c>
      <c r="BA219">
        <f t="shared" si="103"/>
        <v>151.6</v>
      </c>
      <c r="BB219">
        <v>147</v>
      </c>
      <c r="BC219">
        <f t="shared" si="104"/>
        <v>147</v>
      </c>
      <c r="BD219">
        <v>151.80000000000001</v>
      </c>
      <c r="BE219">
        <f t="shared" si="105"/>
        <v>151.80000000000001</v>
      </c>
    </row>
    <row r="220" spans="1:57" hidden="1">
      <c r="A220" t="s">
        <v>34</v>
      </c>
      <c r="B220">
        <v>2020</v>
      </c>
      <c r="C220" t="s">
        <v>40</v>
      </c>
      <c r="D220">
        <v>149.6</v>
      </c>
      <c r="E220">
        <f t="shared" si="79"/>
        <v>149.6</v>
      </c>
      <c r="F220">
        <v>192.7</v>
      </c>
      <c r="G220">
        <f t="shared" si="80"/>
        <v>192.7</v>
      </c>
      <c r="H220">
        <v>151.4</v>
      </c>
      <c r="I220">
        <f t="shared" si="81"/>
        <v>151.4</v>
      </c>
      <c r="J220">
        <v>153.30000000000001</v>
      </c>
      <c r="K220">
        <f t="shared" si="82"/>
        <v>153.30000000000001</v>
      </c>
      <c r="L220">
        <v>136.30000000000001</v>
      </c>
      <c r="M220">
        <f t="shared" si="83"/>
        <v>136.30000000000001</v>
      </c>
      <c r="N220">
        <v>147.19999999999999</v>
      </c>
      <c r="O220">
        <f t="shared" si="84"/>
        <v>147.19999999999999</v>
      </c>
      <c r="P220">
        <v>156.5</v>
      </c>
      <c r="Q220">
        <f t="shared" si="85"/>
        <v>156.5</v>
      </c>
      <c r="R220">
        <v>150.9</v>
      </c>
      <c r="S220">
        <f t="shared" si="86"/>
        <v>150.9</v>
      </c>
      <c r="T220">
        <v>114.2</v>
      </c>
      <c r="U220">
        <f t="shared" si="87"/>
        <v>114.2</v>
      </c>
      <c r="V220">
        <v>159.5</v>
      </c>
      <c r="W220">
        <f t="shared" si="88"/>
        <v>159.5</v>
      </c>
      <c r="X220">
        <v>139.4</v>
      </c>
      <c r="Y220">
        <f t="shared" si="89"/>
        <v>139.4</v>
      </c>
      <c r="Z220">
        <v>161.80000000000001</v>
      </c>
      <c r="AA220">
        <f t="shared" si="90"/>
        <v>161.80000000000001</v>
      </c>
      <c r="AB220">
        <v>154</v>
      </c>
      <c r="AC220">
        <f t="shared" si="91"/>
        <v>154</v>
      </c>
      <c r="AD220">
        <v>183.5</v>
      </c>
      <c r="AE220">
        <f t="shared" si="92"/>
        <v>183.5</v>
      </c>
      <c r="AF220">
        <v>152.5</v>
      </c>
      <c r="AG220">
        <f t="shared" si="93"/>
        <v>152.5</v>
      </c>
      <c r="AH220">
        <v>144.4</v>
      </c>
      <c r="AI220">
        <f t="shared" si="94"/>
        <v>144.4</v>
      </c>
      <c r="AJ220">
        <v>151.4</v>
      </c>
      <c r="AK220">
        <f t="shared" si="95"/>
        <v>151.4</v>
      </c>
      <c r="AL220">
        <v>154.69999999999999</v>
      </c>
      <c r="AM220">
        <f t="shared" si="96"/>
        <v>154.69999999999999</v>
      </c>
      <c r="AN220">
        <v>141.9</v>
      </c>
      <c r="AO220">
        <f t="shared" si="97"/>
        <v>141.9</v>
      </c>
      <c r="AP220">
        <v>146.4</v>
      </c>
      <c r="AQ220">
        <f t="shared" si="98"/>
        <v>146.4</v>
      </c>
      <c r="AR220">
        <v>154.4</v>
      </c>
      <c r="AS220">
        <f t="shared" si="99"/>
        <v>154.4</v>
      </c>
      <c r="AT220">
        <v>135</v>
      </c>
      <c r="AU220">
        <f t="shared" si="100"/>
        <v>135</v>
      </c>
      <c r="AV220">
        <v>148.30000000000001</v>
      </c>
      <c r="AW220">
        <f t="shared" si="101"/>
        <v>148.30000000000001</v>
      </c>
      <c r="AX220">
        <v>156.4</v>
      </c>
      <c r="AY220">
        <f t="shared" si="102"/>
        <v>156.4</v>
      </c>
      <c r="AZ220">
        <v>151.6</v>
      </c>
      <c r="BA220">
        <f t="shared" si="103"/>
        <v>151.6</v>
      </c>
      <c r="BB220">
        <v>147</v>
      </c>
      <c r="BC220">
        <f t="shared" si="104"/>
        <v>147</v>
      </c>
      <c r="BD220">
        <v>151.80000000000001</v>
      </c>
      <c r="BE220">
        <f t="shared" si="105"/>
        <v>151.80000000000001</v>
      </c>
    </row>
    <row r="221" spans="1:57" hidden="1">
      <c r="A221" t="s">
        <v>34</v>
      </c>
      <c r="B221">
        <v>2020</v>
      </c>
      <c r="C221" t="s">
        <v>41</v>
      </c>
      <c r="D221">
        <v>148.9</v>
      </c>
      <c r="E221">
        <f t="shared" si="79"/>
        <v>149.36666666666667</v>
      </c>
      <c r="F221">
        <v>190.9</v>
      </c>
      <c r="G221">
        <f t="shared" si="80"/>
        <v>192.1</v>
      </c>
      <c r="H221">
        <v>150.80000000000001</v>
      </c>
      <c r="I221">
        <f t="shared" si="81"/>
        <v>151.20000000000002</v>
      </c>
      <c r="J221">
        <v>153.30000000000001</v>
      </c>
      <c r="K221">
        <f t="shared" si="82"/>
        <v>153.30000000000001</v>
      </c>
      <c r="L221">
        <v>137.4</v>
      </c>
      <c r="M221">
        <f t="shared" si="83"/>
        <v>136.66666666666666</v>
      </c>
      <c r="N221">
        <v>150.4</v>
      </c>
      <c r="O221">
        <f t="shared" si="84"/>
        <v>148.26666666666665</v>
      </c>
      <c r="P221">
        <v>178.1</v>
      </c>
      <c r="Q221">
        <f t="shared" si="85"/>
        <v>163.70000000000002</v>
      </c>
      <c r="R221">
        <v>150.4</v>
      </c>
      <c r="S221">
        <f t="shared" si="86"/>
        <v>150.73333333333335</v>
      </c>
      <c r="T221">
        <v>115.1</v>
      </c>
      <c r="U221">
        <f t="shared" si="87"/>
        <v>114.5</v>
      </c>
      <c r="V221">
        <v>160</v>
      </c>
      <c r="W221">
        <f t="shared" si="88"/>
        <v>159.66666666666666</v>
      </c>
      <c r="X221">
        <v>140.6</v>
      </c>
      <c r="Y221">
        <f t="shared" si="89"/>
        <v>139.79999999999998</v>
      </c>
      <c r="Z221">
        <v>162.30000000000001</v>
      </c>
      <c r="AA221">
        <f t="shared" si="90"/>
        <v>161.96666666666667</v>
      </c>
      <c r="AB221">
        <v>157</v>
      </c>
      <c r="AC221">
        <f t="shared" si="91"/>
        <v>155</v>
      </c>
      <c r="AD221">
        <v>182.6</v>
      </c>
      <c r="AE221">
        <f t="shared" si="92"/>
        <v>183.20000000000002</v>
      </c>
      <c r="AF221">
        <v>153.1</v>
      </c>
      <c r="AG221">
        <f t="shared" si="93"/>
        <v>152.70000000000002</v>
      </c>
      <c r="AH221">
        <v>143.4</v>
      </c>
      <c r="AI221">
        <f t="shared" si="94"/>
        <v>144.06666666666669</v>
      </c>
      <c r="AJ221">
        <v>151.69999999999999</v>
      </c>
      <c r="AK221">
        <f t="shared" si="95"/>
        <v>151.5</v>
      </c>
      <c r="AL221">
        <v>155.5</v>
      </c>
      <c r="AM221">
        <f t="shared" si="96"/>
        <v>154.96666666666667</v>
      </c>
      <c r="AN221">
        <v>143</v>
      </c>
      <c r="AO221">
        <f t="shared" si="97"/>
        <v>142.26666666666668</v>
      </c>
      <c r="AP221">
        <v>148.4</v>
      </c>
      <c r="AQ221">
        <f t="shared" si="98"/>
        <v>147.06666666666669</v>
      </c>
      <c r="AR221">
        <v>155</v>
      </c>
      <c r="AS221">
        <f t="shared" si="99"/>
        <v>154.6</v>
      </c>
      <c r="AT221">
        <v>138.5</v>
      </c>
      <c r="AU221">
        <f t="shared" si="100"/>
        <v>136.16666666666666</v>
      </c>
      <c r="AV221">
        <v>146</v>
      </c>
      <c r="AW221">
        <f t="shared" si="101"/>
        <v>147.53333333333333</v>
      </c>
      <c r="AX221">
        <v>158.5</v>
      </c>
      <c r="AY221">
        <f t="shared" si="102"/>
        <v>157.1</v>
      </c>
      <c r="AZ221">
        <v>154.30000000000001</v>
      </c>
      <c r="BA221">
        <f t="shared" si="103"/>
        <v>152.5</v>
      </c>
      <c r="BB221">
        <v>149</v>
      </c>
      <c r="BC221">
        <f t="shared" si="104"/>
        <v>147.66666666666666</v>
      </c>
      <c r="BD221">
        <v>153.9</v>
      </c>
      <c r="BE221">
        <f t="shared" si="105"/>
        <v>152.5</v>
      </c>
    </row>
    <row r="222" spans="1:57" hidden="1">
      <c r="A222" t="s">
        <v>34</v>
      </c>
      <c r="B222">
        <v>2020</v>
      </c>
      <c r="C222" t="s">
        <v>42</v>
      </c>
      <c r="D222">
        <v>148.4</v>
      </c>
      <c r="E222">
        <f t="shared" si="79"/>
        <v>148.96666666666667</v>
      </c>
      <c r="F222">
        <v>187.1</v>
      </c>
      <c r="G222">
        <f t="shared" si="80"/>
        <v>190.23333333333335</v>
      </c>
      <c r="H222">
        <v>152.5</v>
      </c>
      <c r="I222">
        <f t="shared" si="81"/>
        <v>151.56666666666669</v>
      </c>
      <c r="J222">
        <v>153.6</v>
      </c>
      <c r="K222">
        <f t="shared" si="82"/>
        <v>153.4</v>
      </c>
      <c r="L222">
        <v>138.19999999999999</v>
      </c>
      <c r="M222">
        <f t="shared" si="83"/>
        <v>137.30000000000001</v>
      </c>
      <c r="N222">
        <v>150.9</v>
      </c>
      <c r="O222">
        <f t="shared" si="84"/>
        <v>149.5</v>
      </c>
      <c r="P222">
        <v>186.7</v>
      </c>
      <c r="Q222">
        <f t="shared" si="85"/>
        <v>173.76666666666665</v>
      </c>
      <c r="R222">
        <v>149.80000000000001</v>
      </c>
      <c r="S222">
        <f t="shared" si="86"/>
        <v>150.36666666666667</v>
      </c>
      <c r="T222">
        <v>116.4</v>
      </c>
      <c r="U222">
        <f t="shared" si="87"/>
        <v>115.23333333333335</v>
      </c>
      <c r="V222">
        <v>160.30000000000001</v>
      </c>
      <c r="W222">
        <f t="shared" si="88"/>
        <v>159.93333333333334</v>
      </c>
      <c r="X222">
        <v>142.19999999999999</v>
      </c>
      <c r="Y222">
        <f t="shared" si="89"/>
        <v>140.73333333333332</v>
      </c>
      <c r="Z222">
        <v>162.9</v>
      </c>
      <c r="AA222">
        <f t="shared" si="90"/>
        <v>162.33333333333334</v>
      </c>
      <c r="AB222">
        <v>158</v>
      </c>
      <c r="AC222">
        <f t="shared" si="91"/>
        <v>156.33333333333334</v>
      </c>
      <c r="AD222">
        <v>184.4</v>
      </c>
      <c r="AE222">
        <f t="shared" si="92"/>
        <v>183.5</v>
      </c>
      <c r="AF222">
        <v>153.4</v>
      </c>
      <c r="AG222">
        <f t="shared" si="93"/>
        <v>153</v>
      </c>
      <c r="AH222">
        <v>144.30000000000001</v>
      </c>
      <c r="AI222">
        <f t="shared" si="94"/>
        <v>144.03333333333333</v>
      </c>
      <c r="AJ222">
        <v>152</v>
      </c>
      <c r="AK222">
        <f t="shared" si="95"/>
        <v>151.70000000000002</v>
      </c>
      <c r="AL222">
        <v>156.30000000000001</v>
      </c>
      <c r="AM222">
        <f t="shared" si="96"/>
        <v>155.5</v>
      </c>
      <c r="AN222">
        <v>142.9</v>
      </c>
      <c r="AO222">
        <f t="shared" si="97"/>
        <v>142.6</v>
      </c>
      <c r="AP222">
        <v>148.69999999999999</v>
      </c>
      <c r="AQ222">
        <f t="shared" si="98"/>
        <v>147.83333333333334</v>
      </c>
      <c r="AR222">
        <v>155.6</v>
      </c>
      <c r="AS222">
        <f t="shared" si="99"/>
        <v>155</v>
      </c>
      <c r="AT222">
        <v>139.6</v>
      </c>
      <c r="AU222">
        <f t="shared" si="100"/>
        <v>137.70000000000002</v>
      </c>
      <c r="AV222">
        <v>146.6</v>
      </c>
      <c r="AW222">
        <f t="shared" si="101"/>
        <v>146.96666666666667</v>
      </c>
      <c r="AX222">
        <v>157.5</v>
      </c>
      <c r="AY222">
        <f t="shared" si="102"/>
        <v>157.46666666666667</v>
      </c>
      <c r="AZ222">
        <v>158.4</v>
      </c>
      <c r="BA222">
        <f t="shared" si="103"/>
        <v>154.76666666666665</v>
      </c>
      <c r="BB222">
        <v>150</v>
      </c>
      <c r="BC222">
        <f t="shared" si="104"/>
        <v>148.66666666666666</v>
      </c>
      <c r="BD222">
        <v>154.69999999999999</v>
      </c>
      <c r="BE222">
        <f t="shared" si="105"/>
        <v>153.46666666666667</v>
      </c>
    </row>
    <row r="223" spans="1:57" hidden="1">
      <c r="A223" t="s">
        <v>34</v>
      </c>
      <c r="B223">
        <v>2020</v>
      </c>
      <c r="C223" t="s">
        <v>43</v>
      </c>
      <c r="D223">
        <v>147.5</v>
      </c>
      <c r="E223">
        <f t="shared" si="79"/>
        <v>148.26666666666668</v>
      </c>
      <c r="F223">
        <v>188.9</v>
      </c>
      <c r="G223">
        <f t="shared" si="80"/>
        <v>188.96666666666667</v>
      </c>
      <c r="H223">
        <v>161.4</v>
      </c>
      <c r="I223">
        <f t="shared" si="81"/>
        <v>154.9</v>
      </c>
      <c r="J223">
        <v>153.6</v>
      </c>
      <c r="K223">
        <f t="shared" si="82"/>
        <v>153.5</v>
      </c>
      <c r="L223">
        <v>140.1</v>
      </c>
      <c r="M223">
        <f t="shared" si="83"/>
        <v>138.56666666666669</v>
      </c>
      <c r="N223">
        <v>151.19999999999999</v>
      </c>
      <c r="O223">
        <f t="shared" si="84"/>
        <v>150.83333333333334</v>
      </c>
      <c r="P223">
        <v>209.2</v>
      </c>
      <c r="Q223">
        <f t="shared" si="85"/>
        <v>191.33333333333334</v>
      </c>
      <c r="R223">
        <v>150.9</v>
      </c>
      <c r="S223">
        <f t="shared" si="86"/>
        <v>150.36666666666667</v>
      </c>
      <c r="T223">
        <v>116.2</v>
      </c>
      <c r="U223">
        <f t="shared" si="87"/>
        <v>115.89999999999999</v>
      </c>
      <c r="V223">
        <v>161</v>
      </c>
      <c r="W223">
        <f t="shared" si="88"/>
        <v>160.43333333333334</v>
      </c>
      <c r="X223">
        <v>144</v>
      </c>
      <c r="Y223">
        <f t="shared" si="89"/>
        <v>142.26666666666665</v>
      </c>
      <c r="Z223">
        <v>163.19999999999999</v>
      </c>
      <c r="AA223">
        <f t="shared" si="90"/>
        <v>162.80000000000001</v>
      </c>
      <c r="AB223">
        <v>161.4</v>
      </c>
      <c r="AC223">
        <f t="shared" si="91"/>
        <v>158.79999999999998</v>
      </c>
      <c r="AD223">
        <v>184.3</v>
      </c>
      <c r="AE223">
        <f t="shared" si="92"/>
        <v>183.76666666666665</v>
      </c>
      <c r="AF223">
        <v>153.69999999999999</v>
      </c>
      <c r="AG223">
        <f t="shared" si="93"/>
        <v>153.4</v>
      </c>
      <c r="AH223">
        <v>144.6</v>
      </c>
      <c r="AI223">
        <f t="shared" si="94"/>
        <v>144.10000000000002</v>
      </c>
      <c r="AJ223">
        <v>152.30000000000001</v>
      </c>
      <c r="AK223">
        <f t="shared" si="95"/>
        <v>152</v>
      </c>
      <c r="AL223">
        <v>156.5</v>
      </c>
      <c r="AM223">
        <f t="shared" si="96"/>
        <v>156.1</v>
      </c>
      <c r="AN223">
        <v>143.1</v>
      </c>
      <c r="AO223">
        <f t="shared" si="97"/>
        <v>143</v>
      </c>
      <c r="AP223">
        <v>148.69999999999999</v>
      </c>
      <c r="AQ223">
        <f t="shared" si="98"/>
        <v>148.6</v>
      </c>
      <c r="AR223">
        <v>156.30000000000001</v>
      </c>
      <c r="AS223">
        <f t="shared" si="99"/>
        <v>155.63333333333335</v>
      </c>
      <c r="AT223">
        <v>140.6</v>
      </c>
      <c r="AU223">
        <f t="shared" si="100"/>
        <v>139.56666666666669</v>
      </c>
      <c r="AV223">
        <v>146.5</v>
      </c>
      <c r="AW223">
        <f t="shared" si="101"/>
        <v>146.36666666666667</v>
      </c>
      <c r="AX223">
        <v>158.5</v>
      </c>
      <c r="AY223">
        <f t="shared" si="102"/>
        <v>158.16666666666666</v>
      </c>
      <c r="AZ223">
        <v>157</v>
      </c>
      <c r="BA223">
        <f t="shared" si="103"/>
        <v>156.56666666666669</v>
      </c>
      <c r="BB223">
        <v>150.4</v>
      </c>
      <c r="BC223">
        <f t="shared" si="104"/>
        <v>149.79999999999998</v>
      </c>
      <c r="BD223">
        <v>156.4</v>
      </c>
      <c r="BE223">
        <f t="shared" si="105"/>
        <v>155</v>
      </c>
    </row>
    <row r="224" spans="1:57" hidden="1">
      <c r="A224" t="s">
        <v>34</v>
      </c>
      <c r="B224">
        <v>2020</v>
      </c>
      <c r="C224" t="s">
        <v>45</v>
      </c>
      <c r="D224">
        <v>146.80000000000001</v>
      </c>
      <c r="E224">
        <f t="shared" si="79"/>
        <v>147.56666666666666</v>
      </c>
      <c r="F224">
        <v>191</v>
      </c>
      <c r="G224">
        <f t="shared" si="80"/>
        <v>189</v>
      </c>
      <c r="H224">
        <v>173.6</v>
      </c>
      <c r="I224">
        <f t="shared" si="81"/>
        <v>162.5</v>
      </c>
      <c r="J224">
        <v>153.80000000000001</v>
      </c>
      <c r="K224">
        <f t="shared" si="82"/>
        <v>153.66666666666666</v>
      </c>
      <c r="L224">
        <v>142.69999999999999</v>
      </c>
      <c r="M224">
        <f t="shared" si="83"/>
        <v>140.33333333333331</v>
      </c>
      <c r="N224">
        <v>148.4</v>
      </c>
      <c r="O224">
        <f t="shared" si="84"/>
        <v>150.16666666666666</v>
      </c>
      <c r="P224">
        <v>230</v>
      </c>
      <c r="Q224">
        <f t="shared" si="85"/>
        <v>208.63333333333333</v>
      </c>
      <c r="R224">
        <v>156.80000000000001</v>
      </c>
      <c r="S224">
        <f t="shared" si="86"/>
        <v>152.50000000000003</v>
      </c>
      <c r="T224">
        <v>115.7</v>
      </c>
      <c r="U224">
        <f t="shared" si="87"/>
        <v>116.10000000000001</v>
      </c>
      <c r="V224">
        <v>161.80000000000001</v>
      </c>
      <c r="W224">
        <f t="shared" si="88"/>
        <v>161.03333333333333</v>
      </c>
      <c r="X224">
        <v>146.5</v>
      </c>
      <c r="Y224">
        <f t="shared" si="89"/>
        <v>144.23333333333332</v>
      </c>
      <c r="Z224">
        <v>163.80000000000001</v>
      </c>
      <c r="AA224">
        <f t="shared" si="90"/>
        <v>163.30000000000001</v>
      </c>
      <c r="AB224">
        <v>164.7</v>
      </c>
      <c r="AC224">
        <f t="shared" si="91"/>
        <v>161.36666666666665</v>
      </c>
      <c r="AD224">
        <v>184.8</v>
      </c>
      <c r="AE224">
        <f t="shared" si="92"/>
        <v>184.5</v>
      </c>
      <c r="AF224">
        <v>154.30000000000001</v>
      </c>
      <c r="AG224">
        <f t="shared" si="93"/>
        <v>153.80000000000001</v>
      </c>
      <c r="AH224">
        <v>144.9</v>
      </c>
      <c r="AI224">
        <f t="shared" si="94"/>
        <v>144.6</v>
      </c>
      <c r="AJ224">
        <v>152.80000000000001</v>
      </c>
      <c r="AK224">
        <f t="shared" si="95"/>
        <v>152.36666666666667</v>
      </c>
      <c r="AL224">
        <v>158</v>
      </c>
      <c r="AM224">
        <f t="shared" si="96"/>
        <v>156.93333333333334</v>
      </c>
      <c r="AN224">
        <v>143.6</v>
      </c>
      <c r="AO224">
        <f t="shared" si="97"/>
        <v>143.20000000000002</v>
      </c>
      <c r="AP224">
        <v>149.19999999999999</v>
      </c>
      <c r="AQ224">
        <f t="shared" si="98"/>
        <v>148.86666666666665</v>
      </c>
      <c r="AR224">
        <v>157.19999999999999</v>
      </c>
      <c r="AS224">
        <f t="shared" si="99"/>
        <v>156.36666666666665</v>
      </c>
      <c r="AT224">
        <v>140.4</v>
      </c>
      <c r="AU224">
        <f t="shared" si="100"/>
        <v>140.20000000000002</v>
      </c>
      <c r="AV224">
        <v>148.4</v>
      </c>
      <c r="AW224">
        <f t="shared" si="101"/>
        <v>147.16666666666666</v>
      </c>
      <c r="AX224">
        <v>158.6</v>
      </c>
      <c r="AY224">
        <f t="shared" si="102"/>
        <v>158.20000000000002</v>
      </c>
      <c r="AZ224">
        <v>156.9</v>
      </c>
      <c r="BA224">
        <f t="shared" si="103"/>
        <v>157.43333333333331</v>
      </c>
      <c r="BB224">
        <v>150.69999999999999</v>
      </c>
      <c r="BC224">
        <f t="shared" si="104"/>
        <v>150.36666666666665</v>
      </c>
      <c r="BD224">
        <v>158.4</v>
      </c>
      <c r="BE224">
        <f t="shared" si="105"/>
        <v>156.5</v>
      </c>
    </row>
    <row r="225" spans="1:57" hidden="1">
      <c r="A225" t="s">
        <v>34</v>
      </c>
      <c r="B225">
        <v>2020</v>
      </c>
      <c r="C225" t="s">
        <v>46</v>
      </c>
      <c r="D225">
        <v>146</v>
      </c>
      <c r="E225">
        <f t="shared" si="79"/>
        <v>146.76666666666668</v>
      </c>
      <c r="F225">
        <v>191</v>
      </c>
      <c r="G225">
        <f t="shared" si="80"/>
        <v>190.29999999999998</v>
      </c>
      <c r="H225">
        <v>175.3</v>
      </c>
      <c r="I225">
        <f t="shared" si="81"/>
        <v>170.1</v>
      </c>
      <c r="J225">
        <v>154.1</v>
      </c>
      <c r="K225">
        <f t="shared" si="82"/>
        <v>153.83333333333334</v>
      </c>
      <c r="L225">
        <v>146.6</v>
      </c>
      <c r="M225">
        <f t="shared" si="83"/>
        <v>143.13333333333333</v>
      </c>
      <c r="N225">
        <v>147.69999999999999</v>
      </c>
      <c r="O225">
        <f t="shared" si="84"/>
        <v>149.1</v>
      </c>
      <c r="P225">
        <v>230.5</v>
      </c>
      <c r="Q225">
        <f t="shared" si="85"/>
        <v>223.23333333333335</v>
      </c>
      <c r="R225">
        <v>160.19999999999999</v>
      </c>
      <c r="S225">
        <f t="shared" si="86"/>
        <v>155.96666666666667</v>
      </c>
      <c r="T225">
        <v>115.3</v>
      </c>
      <c r="U225">
        <f t="shared" si="87"/>
        <v>115.73333333333333</v>
      </c>
      <c r="V225">
        <v>163</v>
      </c>
      <c r="W225">
        <f t="shared" si="88"/>
        <v>161.93333333333334</v>
      </c>
      <c r="X225">
        <v>149.19999999999999</v>
      </c>
      <c r="Y225">
        <f t="shared" si="89"/>
        <v>146.56666666666666</v>
      </c>
      <c r="Z225">
        <v>164.8</v>
      </c>
      <c r="AA225">
        <f t="shared" si="90"/>
        <v>163.93333333333334</v>
      </c>
      <c r="AB225">
        <v>165.4</v>
      </c>
      <c r="AC225">
        <f t="shared" si="91"/>
        <v>163.83333333333334</v>
      </c>
      <c r="AD225">
        <v>185.4</v>
      </c>
      <c r="AE225">
        <f t="shared" si="92"/>
        <v>184.83333333333334</v>
      </c>
      <c r="AF225">
        <v>155</v>
      </c>
      <c r="AG225">
        <f t="shared" si="93"/>
        <v>154.33333333333334</v>
      </c>
      <c r="AH225">
        <v>145.4</v>
      </c>
      <c r="AI225">
        <f t="shared" si="94"/>
        <v>144.96666666666667</v>
      </c>
      <c r="AJ225">
        <v>153.6</v>
      </c>
      <c r="AK225">
        <f t="shared" si="95"/>
        <v>152.9</v>
      </c>
      <c r="AL225">
        <v>158.4</v>
      </c>
      <c r="AM225">
        <f t="shared" si="96"/>
        <v>157.63333333333333</v>
      </c>
      <c r="AN225">
        <v>144.6</v>
      </c>
      <c r="AO225">
        <f t="shared" si="97"/>
        <v>143.76666666666665</v>
      </c>
      <c r="AP225">
        <v>149.69999999999999</v>
      </c>
      <c r="AQ225">
        <f t="shared" si="98"/>
        <v>149.19999999999999</v>
      </c>
      <c r="AR225">
        <v>158.30000000000001</v>
      </c>
      <c r="AS225">
        <f t="shared" si="99"/>
        <v>157.26666666666668</v>
      </c>
      <c r="AT225">
        <v>140.69999999999999</v>
      </c>
      <c r="AU225">
        <f t="shared" si="100"/>
        <v>140.56666666666666</v>
      </c>
      <c r="AV225">
        <v>148.5</v>
      </c>
      <c r="AW225">
        <f t="shared" si="101"/>
        <v>147.79999999999998</v>
      </c>
      <c r="AX225">
        <v>159.4</v>
      </c>
      <c r="AY225">
        <f t="shared" si="102"/>
        <v>158.83333333333334</v>
      </c>
      <c r="AZ225">
        <v>157.1</v>
      </c>
      <c r="BA225">
        <f t="shared" si="103"/>
        <v>157</v>
      </c>
      <c r="BB225">
        <v>151.19999999999999</v>
      </c>
      <c r="BC225">
        <f t="shared" si="104"/>
        <v>150.76666666666668</v>
      </c>
      <c r="BD225">
        <v>158.9</v>
      </c>
      <c r="BE225">
        <f t="shared" si="105"/>
        <v>157.9</v>
      </c>
    </row>
    <row r="226" spans="1:57" hidden="1">
      <c r="A226" t="s">
        <v>34</v>
      </c>
      <c r="B226">
        <v>2021</v>
      </c>
      <c r="C226" t="s">
        <v>31</v>
      </c>
      <c r="D226">
        <v>144.9</v>
      </c>
      <c r="E226">
        <f t="shared" si="79"/>
        <v>145.9</v>
      </c>
      <c r="F226">
        <v>190.1</v>
      </c>
      <c r="G226">
        <f t="shared" si="80"/>
        <v>190.70000000000002</v>
      </c>
      <c r="H226">
        <v>175.3</v>
      </c>
      <c r="I226">
        <f t="shared" si="81"/>
        <v>174.73333333333335</v>
      </c>
      <c r="J226">
        <v>154.1</v>
      </c>
      <c r="K226">
        <f t="shared" si="82"/>
        <v>154</v>
      </c>
      <c r="L226">
        <v>150.9</v>
      </c>
      <c r="M226">
        <f t="shared" si="83"/>
        <v>146.73333333333332</v>
      </c>
      <c r="N226">
        <v>149.6</v>
      </c>
      <c r="O226">
        <f t="shared" si="84"/>
        <v>148.56666666666669</v>
      </c>
      <c r="P226">
        <v>194.2</v>
      </c>
      <c r="Q226">
        <f t="shared" si="85"/>
        <v>218.23333333333335</v>
      </c>
      <c r="R226">
        <v>160.4</v>
      </c>
      <c r="S226">
        <f t="shared" si="86"/>
        <v>159.13333333333333</v>
      </c>
      <c r="T226">
        <v>114.6</v>
      </c>
      <c r="U226">
        <f t="shared" si="87"/>
        <v>115.2</v>
      </c>
      <c r="V226">
        <v>164</v>
      </c>
      <c r="W226">
        <f t="shared" si="88"/>
        <v>162.93333333333334</v>
      </c>
      <c r="X226">
        <v>151.80000000000001</v>
      </c>
      <c r="Y226">
        <f t="shared" si="89"/>
        <v>149.16666666666666</v>
      </c>
      <c r="Z226">
        <v>165.6</v>
      </c>
      <c r="AA226">
        <f t="shared" si="90"/>
        <v>164.73333333333335</v>
      </c>
      <c r="AB226">
        <v>161</v>
      </c>
      <c r="AC226">
        <f t="shared" si="91"/>
        <v>163.70000000000002</v>
      </c>
      <c r="AD226">
        <v>186.5</v>
      </c>
      <c r="AE226">
        <f t="shared" si="92"/>
        <v>185.56666666666669</v>
      </c>
      <c r="AF226">
        <v>155.5</v>
      </c>
      <c r="AG226">
        <f t="shared" si="93"/>
        <v>154.93333333333334</v>
      </c>
      <c r="AH226">
        <v>146.1</v>
      </c>
      <c r="AI226">
        <f t="shared" si="94"/>
        <v>145.46666666666667</v>
      </c>
      <c r="AJ226">
        <v>154.19999999999999</v>
      </c>
      <c r="AK226">
        <f t="shared" si="95"/>
        <v>153.53333333333333</v>
      </c>
      <c r="AL226">
        <v>157.69999999999999</v>
      </c>
      <c r="AM226">
        <f t="shared" si="96"/>
        <v>158.03333333333333</v>
      </c>
      <c r="AN226">
        <v>147.9</v>
      </c>
      <c r="AO226">
        <f t="shared" si="97"/>
        <v>145.36666666666667</v>
      </c>
      <c r="AP226">
        <v>150</v>
      </c>
      <c r="AQ226">
        <f t="shared" si="98"/>
        <v>149.63333333333333</v>
      </c>
      <c r="AR226">
        <v>159.30000000000001</v>
      </c>
      <c r="AS226">
        <f t="shared" si="99"/>
        <v>158.26666666666668</v>
      </c>
      <c r="AT226">
        <v>141.9</v>
      </c>
      <c r="AU226">
        <f t="shared" si="100"/>
        <v>141</v>
      </c>
      <c r="AV226">
        <v>149.6</v>
      </c>
      <c r="AW226">
        <f t="shared" si="101"/>
        <v>148.83333333333334</v>
      </c>
      <c r="AX226">
        <v>159.19999999999999</v>
      </c>
      <c r="AY226">
        <f t="shared" si="102"/>
        <v>159.06666666666666</v>
      </c>
      <c r="AZ226">
        <v>156.80000000000001</v>
      </c>
      <c r="BA226">
        <f t="shared" si="103"/>
        <v>156.93333333333334</v>
      </c>
      <c r="BB226">
        <v>151.9</v>
      </c>
      <c r="BC226">
        <f t="shared" si="104"/>
        <v>151.26666666666665</v>
      </c>
      <c r="BD226">
        <v>157.30000000000001</v>
      </c>
      <c r="BE226">
        <f t="shared" si="105"/>
        <v>158.20000000000002</v>
      </c>
    </row>
    <row r="227" spans="1:57" hidden="1">
      <c r="A227" t="s">
        <v>34</v>
      </c>
      <c r="B227">
        <v>2021</v>
      </c>
      <c r="C227" t="s">
        <v>35</v>
      </c>
      <c r="D227">
        <v>144.30000000000001</v>
      </c>
      <c r="E227">
        <f t="shared" si="79"/>
        <v>145.06666666666666</v>
      </c>
      <c r="F227">
        <v>186.5</v>
      </c>
      <c r="G227">
        <f t="shared" si="80"/>
        <v>189.20000000000002</v>
      </c>
      <c r="H227">
        <v>168.7</v>
      </c>
      <c r="I227">
        <f t="shared" si="81"/>
        <v>173.1</v>
      </c>
      <c r="J227">
        <v>154.69999999999999</v>
      </c>
      <c r="K227">
        <f t="shared" si="82"/>
        <v>154.29999999999998</v>
      </c>
      <c r="L227">
        <v>158.69999999999999</v>
      </c>
      <c r="M227">
        <f t="shared" si="83"/>
        <v>152.06666666666666</v>
      </c>
      <c r="N227">
        <v>150.69999999999999</v>
      </c>
      <c r="O227">
        <f t="shared" si="84"/>
        <v>149.33333333333331</v>
      </c>
      <c r="P227">
        <v>160</v>
      </c>
      <c r="Q227">
        <f t="shared" si="85"/>
        <v>194.9</v>
      </c>
      <c r="R227">
        <v>158.80000000000001</v>
      </c>
      <c r="S227">
        <f t="shared" si="86"/>
        <v>159.80000000000001</v>
      </c>
      <c r="T227">
        <v>112.8</v>
      </c>
      <c r="U227">
        <f t="shared" si="87"/>
        <v>114.23333333333333</v>
      </c>
      <c r="V227">
        <v>164.2</v>
      </c>
      <c r="W227">
        <f t="shared" si="88"/>
        <v>163.73333333333332</v>
      </c>
      <c r="X227">
        <v>155.5</v>
      </c>
      <c r="Y227">
        <f t="shared" si="89"/>
        <v>152.16666666666666</v>
      </c>
      <c r="Z227">
        <v>167.5</v>
      </c>
      <c r="AA227">
        <f t="shared" si="90"/>
        <v>165.96666666666667</v>
      </c>
      <c r="AB227">
        <v>156.9</v>
      </c>
      <c r="AC227">
        <f t="shared" si="91"/>
        <v>161.1</v>
      </c>
      <c r="AD227">
        <v>188.3</v>
      </c>
      <c r="AE227">
        <f t="shared" si="92"/>
        <v>186.73333333333335</v>
      </c>
      <c r="AF227">
        <v>157.19999999999999</v>
      </c>
      <c r="AG227">
        <f t="shared" si="93"/>
        <v>155.9</v>
      </c>
      <c r="AH227">
        <v>147.4</v>
      </c>
      <c r="AI227">
        <f t="shared" si="94"/>
        <v>146.29999999999998</v>
      </c>
      <c r="AJ227">
        <v>155.80000000000001</v>
      </c>
      <c r="AK227">
        <f t="shared" si="95"/>
        <v>154.53333333333333</v>
      </c>
      <c r="AL227">
        <v>159.80000000000001</v>
      </c>
      <c r="AM227">
        <f t="shared" si="96"/>
        <v>158.63333333333335</v>
      </c>
      <c r="AN227">
        <v>152.4</v>
      </c>
      <c r="AO227">
        <f t="shared" si="97"/>
        <v>148.29999999999998</v>
      </c>
      <c r="AP227">
        <v>150.9</v>
      </c>
      <c r="AQ227">
        <f t="shared" si="98"/>
        <v>150.20000000000002</v>
      </c>
      <c r="AR227">
        <v>161.30000000000001</v>
      </c>
      <c r="AS227">
        <f t="shared" si="99"/>
        <v>159.63333333333335</v>
      </c>
      <c r="AT227">
        <v>145.1</v>
      </c>
      <c r="AU227">
        <f t="shared" si="100"/>
        <v>142.56666666666669</v>
      </c>
      <c r="AV227">
        <v>151.5</v>
      </c>
      <c r="AW227">
        <f t="shared" si="101"/>
        <v>149.86666666666667</v>
      </c>
      <c r="AX227">
        <v>159.5</v>
      </c>
      <c r="AY227">
        <f t="shared" si="102"/>
        <v>159.36666666666667</v>
      </c>
      <c r="AZ227">
        <v>155.80000000000001</v>
      </c>
      <c r="BA227">
        <f t="shared" si="103"/>
        <v>156.56666666666666</v>
      </c>
      <c r="BB227">
        <v>153.4</v>
      </c>
      <c r="BC227">
        <f t="shared" si="104"/>
        <v>152.16666666666666</v>
      </c>
      <c r="BD227">
        <v>156.6</v>
      </c>
      <c r="BE227">
        <f t="shared" si="105"/>
        <v>157.60000000000002</v>
      </c>
    </row>
    <row r="228" spans="1:57" hidden="1">
      <c r="A228" t="s">
        <v>34</v>
      </c>
      <c r="B228">
        <v>2021</v>
      </c>
      <c r="C228" t="s">
        <v>36</v>
      </c>
      <c r="D228">
        <v>144.1</v>
      </c>
      <c r="E228">
        <f t="shared" si="79"/>
        <v>144.43333333333337</v>
      </c>
      <c r="F228">
        <v>192.2</v>
      </c>
      <c r="G228">
        <f t="shared" si="80"/>
        <v>189.6</v>
      </c>
      <c r="H228">
        <v>163.80000000000001</v>
      </c>
      <c r="I228">
        <f t="shared" si="81"/>
        <v>169.26666666666668</v>
      </c>
      <c r="J228">
        <v>154.9</v>
      </c>
      <c r="K228">
        <f t="shared" si="82"/>
        <v>154.56666666666663</v>
      </c>
      <c r="L228">
        <v>163.9</v>
      </c>
      <c r="M228">
        <f t="shared" si="83"/>
        <v>157.83333333333334</v>
      </c>
      <c r="N228">
        <v>153.69999999999999</v>
      </c>
      <c r="O228">
        <f t="shared" si="84"/>
        <v>151.33333333333331</v>
      </c>
      <c r="P228">
        <v>149.5</v>
      </c>
      <c r="Q228">
        <f t="shared" si="85"/>
        <v>167.9</v>
      </c>
      <c r="R228">
        <v>159.80000000000001</v>
      </c>
      <c r="S228">
        <f t="shared" si="86"/>
        <v>159.66666666666669</v>
      </c>
      <c r="T228">
        <v>112.6</v>
      </c>
      <c r="U228">
        <f t="shared" si="87"/>
        <v>113.33333333333333</v>
      </c>
      <c r="V228">
        <v>163.5</v>
      </c>
      <c r="W228">
        <f t="shared" si="88"/>
        <v>163.9</v>
      </c>
      <c r="X228">
        <v>156.5</v>
      </c>
      <c r="Y228">
        <f t="shared" si="89"/>
        <v>154.6</v>
      </c>
      <c r="Z228">
        <v>168.2</v>
      </c>
      <c r="AA228">
        <f t="shared" si="90"/>
        <v>167.1</v>
      </c>
      <c r="AB228">
        <v>156.69999999999999</v>
      </c>
      <c r="AC228">
        <f t="shared" si="91"/>
        <v>158.19999999999999</v>
      </c>
      <c r="AD228">
        <v>188.1</v>
      </c>
      <c r="AE228">
        <f t="shared" si="92"/>
        <v>187.63333333333333</v>
      </c>
      <c r="AF228">
        <v>157.80000000000001</v>
      </c>
      <c r="AG228">
        <f t="shared" si="93"/>
        <v>156.83333333333334</v>
      </c>
      <c r="AH228">
        <v>147.9</v>
      </c>
      <c r="AI228">
        <f t="shared" si="94"/>
        <v>147.13333333333333</v>
      </c>
      <c r="AJ228">
        <v>156.4</v>
      </c>
      <c r="AK228">
        <f t="shared" si="95"/>
        <v>155.46666666666667</v>
      </c>
      <c r="AL228">
        <v>159.9</v>
      </c>
      <c r="AM228">
        <f t="shared" si="96"/>
        <v>159.13333333333333</v>
      </c>
      <c r="AN228">
        <v>155.5</v>
      </c>
      <c r="AO228">
        <f t="shared" si="97"/>
        <v>151.93333333333334</v>
      </c>
      <c r="AP228">
        <v>151.19999999999999</v>
      </c>
      <c r="AQ228">
        <f t="shared" si="98"/>
        <v>150.69999999999999</v>
      </c>
      <c r="AR228">
        <v>161.69999999999999</v>
      </c>
      <c r="AS228">
        <f t="shared" si="99"/>
        <v>160.76666666666668</v>
      </c>
      <c r="AT228">
        <v>146.19999999999999</v>
      </c>
      <c r="AU228">
        <f t="shared" si="100"/>
        <v>144.4</v>
      </c>
      <c r="AV228">
        <v>152.6</v>
      </c>
      <c r="AW228">
        <f t="shared" si="101"/>
        <v>151.23333333333335</v>
      </c>
      <c r="AX228">
        <v>160.19999999999999</v>
      </c>
      <c r="AY228">
        <f t="shared" si="102"/>
        <v>159.63333333333333</v>
      </c>
      <c r="AZ228">
        <v>153.80000000000001</v>
      </c>
      <c r="BA228">
        <f t="shared" si="103"/>
        <v>155.46666666666667</v>
      </c>
      <c r="BB228">
        <v>153.80000000000001</v>
      </c>
      <c r="BC228">
        <f t="shared" si="104"/>
        <v>153.03333333333333</v>
      </c>
      <c r="BD228">
        <v>156.80000000000001</v>
      </c>
      <c r="BE228">
        <f t="shared" si="105"/>
        <v>156.9</v>
      </c>
    </row>
    <row r="229" spans="1:57" hidden="1">
      <c r="A229" t="s">
        <v>34</v>
      </c>
      <c r="B229">
        <v>2021</v>
      </c>
      <c r="C229" t="s">
        <v>37</v>
      </c>
      <c r="D229">
        <v>144.30000000000001</v>
      </c>
      <c r="E229">
        <f t="shared" si="79"/>
        <v>144.23333333333332</v>
      </c>
      <c r="F229">
        <v>198</v>
      </c>
      <c r="G229">
        <f t="shared" si="80"/>
        <v>192.23333333333335</v>
      </c>
      <c r="H229">
        <v>164.6</v>
      </c>
      <c r="I229">
        <f t="shared" si="81"/>
        <v>165.70000000000002</v>
      </c>
      <c r="J229">
        <v>155.4</v>
      </c>
      <c r="K229">
        <f t="shared" si="82"/>
        <v>155</v>
      </c>
      <c r="L229">
        <v>170.1</v>
      </c>
      <c r="M229">
        <f t="shared" si="83"/>
        <v>164.23333333333335</v>
      </c>
      <c r="N229">
        <v>164.4</v>
      </c>
      <c r="O229">
        <f t="shared" si="84"/>
        <v>156.26666666666665</v>
      </c>
      <c r="P229">
        <v>144.1</v>
      </c>
      <c r="Q229">
        <f t="shared" si="85"/>
        <v>151.20000000000002</v>
      </c>
      <c r="R229">
        <v>161.69999999999999</v>
      </c>
      <c r="S229">
        <f t="shared" si="86"/>
        <v>160.1</v>
      </c>
      <c r="T229">
        <v>113.1</v>
      </c>
      <c r="U229">
        <f t="shared" si="87"/>
        <v>112.83333333333333</v>
      </c>
      <c r="V229">
        <v>163.9</v>
      </c>
      <c r="W229">
        <f t="shared" si="88"/>
        <v>163.86666666666667</v>
      </c>
      <c r="X229">
        <v>157.6</v>
      </c>
      <c r="Y229">
        <f t="shared" si="89"/>
        <v>156.53333333333333</v>
      </c>
      <c r="Z229">
        <v>168.9</v>
      </c>
      <c r="AA229">
        <f t="shared" si="90"/>
        <v>168.20000000000002</v>
      </c>
      <c r="AB229">
        <v>158</v>
      </c>
      <c r="AC229">
        <f t="shared" si="91"/>
        <v>157.20000000000002</v>
      </c>
      <c r="AD229">
        <v>188.8</v>
      </c>
      <c r="AE229">
        <f t="shared" si="92"/>
        <v>188.4</v>
      </c>
      <c r="AF229">
        <v>158.80000000000001</v>
      </c>
      <c r="AG229">
        <f t="shared" si="93"/>
        <v>157.93333333333334</v>
      </c>
      <c r="AH229">
        <v>148.5</v>
      </c>
      <c r="AI229">
        <f t="shared" si="94"/>
        <v>147.93333333333334</v>
      </c>
      <c r="AJ229">
        <v>157.30000000000001</v>
      </c>
      <c r="AK229">
        <f t="shared" si="95"/>
        <v>156.50000000000003</v>
      </c>
      <c r="AL229">
        <v>161.4</v>
      </c>
      <c r="AM229">
        <f t="shared" si="96"/>
        <v>160.36666666666667</v>
      </c>
      <c r="AN229">
        <v>155.6</v>
      </c>
      <c r="AO229">
        <f t="shared" si="97"/>
        <v>154.5</v>
      </c>
      <c r="AP229">
        <v>151.80000000000001</v>
      </c>
      <c r="AQ229">
        <f t="shared" si="98"/>
        <v>151.30000000000001</v>
      </c>
      <c r="AR229">
        <v>162.30000000000001</v>
      </c>
      <c r="AS229">
        <f t="shared" si="99"/>
        <v>161.76666666666668</v>
      </c>
      <c r="AT229">
        <v>146.6</v>
      </c>
      <c r="AU229">
        <f t="shared" si="100"/>
        <v>145.96666666666667</v>
      </c>
      <c r="AV229">
        <v>153.19999999999999</v>
      </c>
      <c r="AW229">
        <f t="shared" si="101"/>
        <v>152.43333333333334</v>
      </c>
      <c r="AX229">
        <v>160.30000000000001</v>
      </c>
      <c r="AY229">
        <f t="shared" si="102"/>
        <v>160</v>
      </c>
      <c r="AZ229">
        <v>155.4</v>
      </c>
      <c r="BA229">
        <f t="shared" si="103"/>
        <v>155</v>
      </c>
      <c r="BB229">
        <v>154.4</v>
      </c>
      <c r="BC229">
        <f t="shared" si="104"/>
        <v>153.86666666666667</v>
      </c>
      <c r="BD229">
        <v>157.80000000000001</v>
      </c>
      <c r="BE229">
        <f t="shared" si="105"/>
        <v>157.06666666666666</v>
      </c>
    </row>
    <row r="230" spans="1:57" hidden="1">
      <c r="A230" t="s">
        <v>34</v>
      </c>
      <c r="B230">
        <v>2021</v>
      </c>
      <c r="C230" t="s">
        <v>38</v>
      </c>
      <c r="D230">
        <v>146.30000000000001</v>
      </c>
      <c r="E230">
        <f t="shared" si="79"/>
        <v>144.9</v>
      </c>
      <c r="F230">
        <v>200.5</v>
      </c>
      <c r="G230">
        <f t="shared" si="80"/>
        <v>196.9</v>
      </c>
      <c r="H230">
        <v>170.3</v>
      </c>
      <c r="I230">
        <f t="shared" si="81"/>
        <v>166.23333333333332</v>
      </c>
      <c r="J230">
        <v>156.1</v>
      </c>
      <c r="K230">
        <f t="shared" si="82"/>
        <v>155.46666666666667</v>
      </c>
      <c r="L230">
        <v>178.7</v>
      </c>
      <c r="M230">
        <f t="shared" si="83"/>
        <v>170.9</v>
      </c>
      <c r="N230">
        <v>167.1</v>
      </c>
      <c r="O230">
        <f t="shared" si="84"/>
        <v>161.73333333333335</v>
      </c>
      <c r="P230">
        <v>147.9</v>
      </c>
      <c r="Q230">
        <f t="shared" si="85"/>
        <v>147.16666666666666</v>
      </c>
      <c r="R230">
        <v>165.4</v>
      </c>
      <c r="S230">
        <f t="shared" si="86"/>
        <v>162.29999999999998</v>
      </c>
      <c r="T230">
        <v>114.8</v>
      </c>
      <c r="U230">
        <f t="shared" si="87"/>
        <v>113.5</v>
      </c>
      <c r="V230">
        <v>168.2</v>
      </c>
      <c r="W230">
        <f t="shared" si="88"/>
        <v>165.2</v>
      </c>
      <c r="X230">
        <v>159.30000000000001</v>
      </c>
      <c r="Y230">
        <f t="shared" si="89"/>
        <v>157.80000000000001</v>
      </c>
      <c r="Z230">
        <v>170.4</v>
      </c>
      <c r="AA230">
        <f t="shared" si="90"/>
        <v>169.16666666666666</v>
      </c>
      <c r="AB230">
        <v>160.69999999999999</v>
      </c>
      <c r="AC230">
        <f t="shared" si="91"/>
        <v>158.46666666666667</v>
      </c>
      <c r="AD230">
        <v>191.9</v>
      </c>
      <c r="AE230">
        <f t="shared" si="92"/>
        <v>189.6</v>
      </c>
      <c r="AF230">
        <v>161.80000000000001</v>
      </c>
      <c r="AG230">
        <f t="shared" si="93"/>
        <v>159.46666666666667</v>
      </c>
      <c r="AH230">
        <v>152.1</v>
      </c>
      <c r="AI230">
        <f t="shared" si="94"/>
        <v>149.5</v>
      </c>
      <c r="AJ230">
        <v>160.4</v>
      </c>
      <c r="AK230">
        <f t="shared" si="95"/>
        <v>158.03333333333333</v>
      </c>
      <c r="AL230">
        <v>161.6</v>
      </c>
      <c r="AM230">
        <f t="shared" si="96"/>
        <v>160.96666666666667</v>
      </c>
      <c r="AN230">
        <v>159.4</v>
      </c>
      <c r="AO230">
        <f t="shared" si="97"/>
        <v>156.83333333333334</v>
      </c>
      <c r="AP230">
        <v>154.69999999999999</v>
      </c>
      <c r="AQ230">
        <f t="shared" si="98"/>
        <v>152.56666666666666</v>
      </c>
      <c r="AR230">
        <v>165.8</v>
      </c>
      <c r="AS230">
        <f t="shared" si="99"/>
        <v>163.26666666666668</v>
      </c>
      <c r="AT230">
        <v>148.9</v>
      </c>
      <c r="AU230">
        <f t="shared" si="100"/>
        <v>147.23333333333332</v>
      </c>
      <c r="AV230">
        <v>155.80000000000001</v>
      </c>
      <c r="AW230">
        <f t="shared" si="101"/>
        <v>153.86666666666665</v>
      </c>
      <c r="AX230">
        <v>161.19999999999999</v>
      </c>
      <c r="AY230">
        <f t="shared" si="102"/>
        <v>160.56666666666666</v>
      </c>
      <c r="AZ230">
        <v>158.6</v>
      </c>
      <c r="BA230">
        <f t="shared" si="103"/>
        <v>155.93333333333337</v>
      </c>
      <c r="BB230">
        <v>156.80000000000001</v>
      </c>
      <c r="BC230">
        <f t="shared" si="104"/>
        <v>155.00000000000003</v>
      </c>
      <c r="BD230">
        <v>160.4</v>
      </c>
      <c r="BE230">
        <f t="shared" si="105"/>
        <v>158.33333333333334</v>
      </c>
    </row>
    <row r="231" spans="1:57" hidden="1">
      <c r="A231" t="s">
        <v>34</v>
      </c>
      <c r="B231">
        <v>2021</v>
      </c>
      <c r="C231" t="s">
        <v>39</v>
      </c>
      <c r="D231">
        <v>146.69999999999999</v>
      </c>
      <c r="E231">
        <f t="shared" si="79"/>
        <v>145.76666666666668</v>
      </c>
      <c r="F231">
        <v>202</v>
      </c>
      <c r="G231">
        <f t="shared" si="80"/>
        <v>200.16666666666666</v>
      </c>
      <c r="H231">
        <v>180.7</v>
      </c>
      <c r="I231">
        <f t="shared" si="81"/>
        <v>171.86666666666665</v>
      </c>
      <c r="J231">
        <v>156.19999999999999</v>
      </c>
      <c r="K231">
        <f t="shared" si="82"/>
        <v>155.9</v>
      </c>
      <c r="L231">
        <v>183.7</v>
      </c>
      <c r="M231">
        <f t="shared" si="83"/>
        <v>177.5</v>
      </c>
      <c r="N231">
        <v>164.6</v>
      </c>
      <c r="O231">
        <f t="shared" si="84"/>
        <v>165.36666666666667</v>
      </c>
      <c r="P231">
        <v>155.4</v>
      </c>
      <c r="Q231">
        <f t="shared" si="85"/>
        <v>149.13333333333333</v>
      </c>
      <c r="R231">
        <v>166</v>
      </c>
      <c r="S231">
        <f t="shared" si="86"/>
        <v>164.36666666666667</v>
      </c>
      <c r="T231">
        <v>115.1</v>
      </c>
      <c r="U231">
        <f t="shared" si="87"/>
        <v>114.33333333333333</v>
      </c>
      <c r="V231">
        <v>168.5</v>
      </c>
      <c r="W231">
        <f t="shared" si="88"/>
        <v>166.86666666666667</v>
      </c>
      <c r="X231">
        <v>160</v>
      </c>
      <c r="Y231">
        <f t="shared" si="89"/>
        <v>158.96666666666667</v>
      </c>
      <c r="Z231">
        <v>172.4</v>
      </c>
      <c r="AA231">
        <f t="shared" si="90"/>
        <v>170.56666666666669</v>
      </c>
      <c r="AB231">
        <v>162.6</v>
      </c>
      <c r="AC231">
        <f t="shared" si="91"/>
        <v>160.43333333333331</v>
      </c>
      <c r="AD231">
        <v>190.8</v>
      </c>
      <c r="AE231">
        <f t="shared" si="92"/>
        <v>190.5</v>
      </c>
      <c r="AF231">
        <v>162.19999999999999</v>
      </c>
      <c r="AG231">
        <f t="shared" si="93"/>
        <v>160.93333333333334</v>
      </c>
      <c r="AH231">
        <v>151.80000000000001</v>
      </c>
      <c r="AI231">
        <f t="shared" si="94"/>
        <v>150.80000000000001</v>
      </c>
      <c r="AJ231">
        <v>160.69999999999999</v>
      </c>
      <c r="AK231">
        <f t="shared" si="95"/>
        <v>159.46666666666667</v>
      </c>
      <c r="AL231">
        <v>160.5</v>
      </c>
      <c r="AM231">
        <f t="shared" si="96"/>
        <v>161.16666666666666</v>
      </c>
      <c r="AN231">
        <v>159.80000000000001</v>
      </c>
      <c r="AO231">
        <f t="shared" si="97"/>
        <v>158.26666666666668</v>
      </c>
      <c r="AP231">
        <v>154.80000000000001</v>
      </c>
      <c r="AQ231">
        <f t="shared" si="98"/>
        <v>153.76666666666668</v>
      </c>
      <c r="AR231">
        <v>166.3</v>
      </c>
      <c r="AS231">
        <f t="shared" si="99"/>
        <v>164.8</v>
      </c>
      <c r="AT231">
        <v>150.69999999999999</v>
      </c>
      <c r="AU231">
        <f t="shared" si="100"/>
        <v>148.73333333333332</v>
      </c>
      <c r="AV231">
        <v>154.9</v>
      </c>
      <c r="AW231">
        <f t="shared" si="101"/>
        <v>154.63333333333333</v>
      </c>
      <c r="AX231">
        <v>161.69999999999999</v>
      </c>
      <c r="AY231">
        <f t="shared" si="102"/>
        <v>161.06666666666666</v>
      </c>
      <c r="AZ231">
        <v>158.80000000000001</v>
      </c>
      <c r="BA231">
        <f t="shared" si="103"/>
        <v>157.6</v>
      </c>
      <c r="BB231">
        <v>157.6</v>
      </c>
      <c r="BC231">
        <f t="shared" si="104"/>
        <v>156.26666666666668</v>
      </c>
      <c r="BD231">
        <v>161.30000000000001</v>
      </c>
      <c r="BE231">
        <f t="shared" si="105"/>
        <v>159.83333333333334</v>
      </c>
    </row>
    <row r="232" spans="1:57" hidden="1">
      <c r="A232" t="s">
        <v>34</v>
      </c>
      <c r="B232">
        <v>2021</v>
      </c>
      <c r="C232" t="s">
        <v>40</v>
      </c>
      <c r="D232">
        <v>146.4</v>
      </c>
      <c r="E232">
        <f t="shared" si="79"/>
        <v>146.46666666666667</v>
      </c>
      <c r="F232">
        <v>206.8</v>
      </c>
      <c r="G232">
        <f t="shared" si="80"/>
        <v>203.1</v>
      </c>
      <c r="H232">
        <v>182.2</v>
      </c>
      <c r="I232">
        <f t="shared" si="81"/>
        <v>177.73333333333335</v>
      </c>
      <c r="J232">
        <v>157.5</v>
      </c>
      <c r="K232">
        <f t="shared" si="82"/>
        <v>156.6</v>
      </c>
      <c r="L232">
        <v>182.1</v>
      </c>
      <c r="M232">
        <f t="shared" si="83"/>
        <v>181.5</v>
      </c>
      <c r="N232">
        <v>163.9</v>
      </c>
      <c r="O232">
        <f t="shared" si="84"/>
        <v>165.20000000000002</v>
      </c>
      <c r="P232">
        <v>164.2</v>
      </c>
      <c r="Q232">
        <f t="shared" si="85"/>
        <v>155.83333333333334</v>
      </c>
      <c r="R232">
        <v>164</v>
      </c>
      <c r="S232">
        <f t="shared" si="86"/>
        <v>165.13333333333333</v>
      </c>
      <c r="T232">
        <v>114.5</v>
      </c>
      <c r="U232">
        <f t="shared" si="87"/>
        <v>114.8</v>
      </c>
      <c r="V232">
        <v>168.3</v>
      </c>
      <c r="W232">
        <f t="shared" si="88"/>
        <v>168.33333333333334</v>
      </c>
      <c r="X232">
        <v>160.9</v>
      </c>
      <c r="Y232">
        <f t="shared" si="89"/>
        <v>160.06666666666669</v>
      </c>
      <c r="Z232">
        <v>172.2</v>
      </c>
      <c r="AA232">
        <f t="shared" si="90"/>
        <v>171.66666666666666</v>
      </c>
      <c r="AB232">
        <v>164</v>
      </c>
      <c r="AC232">
        <f t="shared" si="91"/>
        <v>162.43333333333331</v>
      </c>
      <c r="AD232">
        <v>191.2</v>
      </c>
      <c r="AE232">
        <f t="shared" si="92"/>
        <v>191.30000000000004</v>
      </c>
      <c r="AF232">
        <v>162.80000000000001</v>
      </c>
      <c r="AG232">
        <f t="shared" si="93"/>
        <v>162.26666666666668</v>
      </c>
      <c r="AH232">
        <v>153.1</v>
      </c>
      <c r="AI232">
        <f t="shared" si="94"/>
        <v>152.33333333333334</v>
      </c>
      <c r="AJ232">
        <v>161.4</v>
      </c>
      <c r="AK232">
        <f t="shared" si="95"/>
        <v>160.83333333333334</v>
      </c>
      <c r="AL232">
        <v>161.5</v>
      </c>
      <c r="AM232">
        <f t="shared" si="96"/>
        <v>161.20000000000002</v>
      </c>
      <c r="AN232">
        <v>160.69999999999999</v>
      </c>
      <c r="AO232">
        <f t="shared" si="97"/>
        <v>159.96666666666667</v>
      </c>
      <c r="AP232">
        <v>155.80000000000001</v>
      </c>
      <c r="AQ232">
        <f t="shared" si="98"/>
        <v>155.1</v>
      </c>
      <c r="AR232">
        <v>167</v>
      </c>
      <c r="AS232">
        <f t="shared" si="99"/>
        <v>166.36666666666667</v>
      </c>
      <c r="AT232">
        <v>153.1</v>
      </c>
      <c r="AU232">
        <f t="shared" si="100"/>
        <v>150.9</v>
      </c>
      <c r="AV232">
        <v>155.30000000000001</v>
      </c>
      <c r="AW232">
        <f t="shared" si="101"/>
        <v>155.33333333333334</v>
      </c>
      <c r="AX232">
        <v>163.19999999999999</v>
      </c>
      <c r="AY232">
        <f t="shared" si="102"/>
        <v>162.03333333333333</v>
      </c>
      <c r="AZ232">
        <v>160.1</v>
      </c>
      <c r="BA232">
        <f t="shared" si="103"/>
        <v>159.16666666666666</v>
      </c>
      <c r="BB232">
        <v>159</v>
      </c>
      <c r="BC232">
        <f t="shared" si="104"/>
        <v>157.79999999999998</v>
      </c>
      <c r="BD232">
        <v>162.5</v>
      </c>
      <c r="BE232">
        <f t="shared" si="105"/>
        <v>161.4</v>
      </c>
    </row>
    <row r="233" spans="1:57" hidden="1">
      <c r="A233" t="s">
        <v>34</v>
      </c>
      <c r="B233">
        <v>2021</v>
      </c>
      <c r="C233" t="s">
        <v>41</v>
      </c>
      <c r="D233">
        <v>146.6</v>
      </c>
      <c r="E233">
        <f t="shared" si="79"/>
        <v>146.56666666666669</v>
      </c>
      <c r="F233">
        <v>204</v>
      </c>
      <c r="G233">
        <f t="shared" si="80"/>
        <v>204.26666666666665</v>
      </c>
      <c r="H233">
        <v>172.8</v>
      </c>
      <c r="I233">
        <f t="shared" si="81"/>
        <v>178.56666666666669</v>
      </c>
      <c r="J233">
        <v>158.4</v>
      </c>
      <c r="K233">
        <f t="shared" si="82"/>
        <v>157.36666666666667</v>
      </c>
      <c r="L233">
        <v>188</v>
      </c>
      <c r="M233">
        <f t="shared" si="83"/>
        <v>184.6</v>
      </c>
      <c r="N233">
        <v>156.80000000000001</v>
      </c>
      <c r="O233">
        <f t="shared" si="84"/>
        <v>161.76666666666668</v>
      </c>
      <c r="P233">
        <v>162.19999999999999</v>
      </c>
      <c r="Q233">
        <f t="shared" si="85"/>
        <v>160.6</v>
      </c>
      <c r="R233">
        <v>164.1</v>
      </c>
      <c r="S233">
        <f t="shared" si="86"/>
        <v>164.70000000000002</v>
      </c>
      <c r="T233">
        <v>119.7</v>
      </c>
      <c r="U233">
        <f t="shared" si="87"/>
        <v>116.43333333333334</v>
      </c>
      <c r="V233">
        <v>168.8</v>
      </c>
      <c r="W233">
        <f t="shared" si="88"/>
        <v>168.53333333333333</v>
      </c>
      <c r="X233">
        <v>162.69999999999999</v>
      </c>
      <c r="Y233">
        <f t="shared" si="89"/>
        <v>161.19999999999999</v>
      </c>
      <c r="Z233">
        <v>173.9</v>
      </c>
      <c r="AA233">
        <f t="shared" si="90"/>
        <v>172.83333333333334</v>
      </c>
      <c r="AB233">
        <v>164</v>
      </c>
      <c r="AC233">
        <f t="shared" si="91"/>
        <v>163.53333333333333</v>
      </c>
      <c r="AD233">
        <v>192.1</v>
      </c>
      <c r="AE233">
        <f t="shared" si="92"/>
        <v>191.36666666666667</v>
      </c>
      <c r="AF233">
        <v>164.5</v>
      </c>
      <c r="AG233">
        <f t="shared" si="93"/>
        <v>163.16666666666666</v>
      </c>
      <c r="AH233">
        <v>155.30000000000001</v>
      </c>
      <c r="AI233">
        <f t="shared" si="94"/>
        <v>153.4</v>
      </c>
      <c r="AJ233">
        <v>163.19999999999999</v>
      </c>
      <c r="AK233">
        <f t="shared" si="95"/>
        <v>161.76666666666668</v>
      </c>
      <c r="AL233">
        <v>162.1</v>
      </c>
      <c r="AM233">
        <f t="shared" si="96"/>
        <v>161.36666666666667</v>
      </c>
      <c r="AN233">
        <v>162.6</v>
      </c>
      <c r="AO233">
        <f t="shared" si="97"/>
        <v>161.03333333333333</v>
      </c>
      <c r="AP233">
        <v>157.5</v>
      </c>
      <c r="AQ233">
        <f t="shared" si="98"/>
        <v>156.03333333333333</v>
      </c>
      <c r="AR233">
        <v>168.4</v>
      </c>
      <c r="AS233">
        <f t="shared" si="99"/>
        <v>167.23333333333335</v>
      </c>
      <c r="AT233">
        <v>154</v>
      </c>
      <c r="AU233">
        <f t="shared" si="100"/>
        <v>152.6</v>
      </c>
      <c r="AV233">
        <v>157.6</v>
      </c>
      <c r="AW233">
        <f t="shared" si="101"/>
        <v>155.93333333333337</v>
      </c>
      <c r="AX233">
        <v>163.80000000000001</v>
      </c>
      <c r="AY233">
        <f t="shared" si="102"/>
        <v>162.9</v>
      </c>
      <c r="AZ233">
        <v>160</v>
      </c>
      <c r="BA233">
        <f t="shared" si="103"/>
        <v>159.63333333333333</v>
      </c>
      <c r="BB233">
        <v>160</v>
      </c>
      <c r="BC233">
        <f t="shared" si="104"/>
        <v>158.86666666666667</v>
      </c>
      <c r="BD233">
        <v>163.19999999999999</v>
      </c>
      <c r="BE233">
        <f t="shared" si="105"/>
        <v>162.33333333333334</v>
      </c>
    </row>
    <row r="234" spans="1:57" hidden="1">
      <c r="A234" t="s">
        <v>34</v>
      </c>
      <c r="B234">
        <v>2021</v>
      </c>
      <c r="C234" t="s">
        <v>42</v>
      </c>
      <c r="D234">
        <v>146.6</v>
      </c>
      <c r="E234">
        <f t="shared" si="79"/>
        <v>146.53333333333333</v>
      </c>
      <c r="F234">
        <v>204</v>
      </c>
      <c r="G234">
        <f t="shared" si="80"/>
        <v>204.93333333333331</v>
      </c>
      <c r="H234">
        <v>172.8</v>
      </c>
      <c r="I234">
        <f t="shared" si="81"/>
        <v>175.93333333333331</v>
      </c>
      <c r="J234">
        <v>158.4</v>
      </c>
      <c r="K234">
        <f t="shared" si="82"/>
        <v>158.1</v>
      </c>
      <c r="L234">
        <v>188</v>
      </c>
      <c r="M234">
        <f t="shared" si="83"/>
        <v>186.03333333333333</v>
      </c>
      <c r="N234">
        <v>156.69999999999999</v>
      </c>
      <c r="O234">
        <f t="shared" si="84"/>
        <v>159.13333333333335</v>
      </c>
      <c r="P234">
        <v>162.30000000000001</v>
      </c>
      <c r="Q234">
        <f t="shared" si="85"/>
        <v>162.9</v>
      </c>
      <c r="R234">
        <v>164.1</v>
      </c>
      <c r="S234">
        <f t="shared" si="86"/>
        <v>164.06666666666669</v>
      </c>
      <c r="T234">
        <v>119.7</v>
      </c>
      <c r="U234">
        <f t="shared" si="87"/>
        <v>117.96666666666665</v>
      </c>
      <c r="V234">
        <v>168.8</v>
      </c>
      <c r="W234">
        <f t="shared" si="88"/>
        <v>168.63333333333335</v>
      </c>
      <c r="X234">
        <v>162.69999999999999</v>
      </c>
      <c r="Y234">
        <f t="shared" si="89"/>
        <v>162.1</v>
      </c>
      <c r="Z234">
        <v>173.9</v>
      </c>
      <c r="AA234">
        <f t="shared" si="90"/>
        <v>173.33333333333334</v>
      </c>
      <c r="AB234">
        <v>164</v>
      </c>
      <c r="AC234">
        <f t="shared" si="91"/>
        <v>164</v>
      </c>
      <c r="AD234">
        <v>192.1</v>
      </c>
      <c r="AE234">
        <f t="shared" si="92"/>
        <v>191.79999999999998</v>
      </c>
      <c r="AF234">
        <v>164.6</v>
      </c>
      <c r="AG234">
        <f t="shared" si="93"/>
        <v>163.96666666666667</v>
      </c>
      <c r="AH234">
        <v>155.30000000000001</v>
      </c>
      <c r="AI234">
        <f t="shared" si="94"/>
        <v>154.56666666666666</v>
      </c>
      <c r="AJ234">
        <v>163.30000000000001</v>
      </c>
      <c r="AK234">
        <f t="shared" si="95"/>
        <v>162.63333333333335</v>
      </c>
      <c r="AL234">
        <v>162.1</v>
      </c>
      <c r="AM234">
        <f t="shared" si="96"/>
        <v>161.9</v>
      </c>
      <c r="AN234">
        <v>162.6</v>
      </c>
      <c r="AO234">
        <f t="shared" si="97"/>
        <v>161.96666666666667</v>
      </c>
      <c r="AP234">
        <v>157.5</v>
      </c>
      <c r="AQ234">
        <f t="shared" si="98"/>
        <v>156.93333333333334</v>
      </c>
      <c r="AR234">
        <v>168.4</v>
      </c>
      <c r="AS234">
        <f t="shared" si="99"/>
        <v>167.93333333333331</v>
      </c>
      <c r="AT234">
        <v>154</v>
      </c>
      <c r="AU234">
        <f t="shared" si="100"/>
        <v>153.70000000000002</v>
      </c>
      <c r="AV234">
        <v>157.69999999999999</v>
      </c>
      <c r="AW234">
        <f t="shared" si="101"/>
        <v>156.86666666666665</v>
      </c>
      <c r="AX234">
        <v>163.69999999999999</v>
      </c>
      <c r="AY234">
        <f t="shared" si="102"/>
        <v>163.56666666666666</v>
      </c>
      <c r="AZ234">
        <v>160</v>
      </c>
      <c r="BA234">
        <f t="shared" si="103"/>
        <v>160.03333333333333</v>
      </c>
      <c r="BB234">
        <v>160</v>
      </c>
      <c r="BC234">
        <f t="shared" si="104"/>
        <v>159.66666666666666</v>
      </c>
      <c r="BD234">
        <v>163.19999999999999</v>
      </c>
      <c r="BE234">
        <f t="shared" si="105"/>
        <v>162.96666666666667</v>
      </c>
    </row>
    <row r="235" spans="1:57" hidden="1">
      <c r="A235" t="s">
        <v>34</v>
      </c>
      <c r="B235">
        <v>2021</v>
      </c>
      <c r="C235" t="s">
        <v>43</v>
      </c>
      <c r="D235">
        <v>147.4</v>
      </c>
      <c r="E235">
        <f t="shared" si="79"/>
        <v>146.86666666666667</v>
      </c>
      <c r="F235">
        <v>204.6</v>
      </c>
      <c r="G235">
        <f t="shared" si="80"/>
        <v>204.20000000000002</v>
      </c>
      <c r="H235">
        <v>171.2</v>
      </c>
      <c r="I235">
        <f t="shared" si="81"/>
        <v>172.26666666666665</v>
      </c>
      <c r="J235">
        <v>158.69999999999999</v>
      </c>
      <c r="K235">
        <f t="shared" si="82"/>
        <v>158.5</v>
      </c>
      <c r="L235">
        <v>190.6</v>
      </c>
      <c r="M235">
        <f t="shared" si="83"/>
        <v>188.86666666666667</v>
      </c>
      <c r="N235">
        <v>155.69999999999999</v>
      </c>
      <c r="O235">
        <f t="shared" si="84"/>
        <v>156.4</v>
      </c>
      <c r="P235">
        <v>185.3</v>
      </c>
      <c r="Q235">
        <f t="shared" si="85"/>
        <v>169.93333333333334</v>
      </c>
      <c r="R235">
        <v>165.2</v>
      </c>
      <c r="S235">
        <f t="shared" si="86"/>
        <v>164.46666666666667</v>
      </c>
      <c r="T235">
        <v>121.9</v>
      </c>
      <c r="U235">
        <f t="shared" si="87"/>
        <v>120.43333333333334</v>
      </c>
      <c r="V235">
        <v>169.3</v>
      </c>
      <c r="W235">
        <f t="shared" si="88"/>
        <v>168.96666666666667</v>
      </c>
      <c r="X235">
        <v>163.19999999999999</v>
      </c>
      <c r="Y235">
        <f t="shared" si="89"/>
        <v>162.86666666666665</v>
      </c>
      <c r="Z235">
        <v>174.7</v>
      </c>
      <c r="AA235">
        <f t="shared" si="90"/>
        <v>174.16666666666666</v>
      </c>
      <c r="AB235">
        <v>167.7</v>
      </c>
      <c r="AC235">
        <f t="shared" si="91"/>
        <v>165.23333333333332</v>
      </c>
      <c r="AD235">
        <v>192.7</v>
      </c>
      <c r="AE235">
        <f t="shared" si="92"/>
        <v>192.29999999999998</v>
      </c>
      <c r="AF235">
        <v>165.7</v>
      </c>
      <c r="AG235">
        <f t="shared" si="93"/>
        <v>164.93333333333334</v>
      </c>
      <c r="AH235">
        <v>156.30000000000001</v>
      </c>
      <c r="AI235">
        <f t="shared" si="94"/>
        <v>155.63333333333335</v>
      </c>
      <c r="AJ235">
        <v>164.3</v>
      </c>
      <c r="AK235">
        <f t="shared" si="95"/>
        <v>163.6</v>
      </c>
      <c r="AL235">
        <v>163.6</v>
      </c>
      <c r="AM235">
        <f t="shared" si="96"/>
        <v>162.6</v>
      </c>
      <c r="AN235">
        <v>164.2</v>
      </c>
      <c r="AO235">
        <f t="shared" si="97"/>
        <v>163.13333333333333</v>
      </c>
      <c r="AP235">
        <v>158.4</v>
      </c>
      <c r="AQ235">
        <f t="shared" si="98"/>
        <v>157.79999999999998</v>
      </c>
      <c r="AR235">
        <v>169.1</v>
      </c>
      <c r="AS235">
        <f t="shared" si="99"/>
        <v>168.63333333333333</v>
      </c>
      <c r="AT235">
        <v>155.69999999999999</v>
      </c>
      <c r="AU235">
        <f t="shared" si="100"/>
        <v>154.56666666666666</v>
      </c>
      <c r="AV235">
        <v>158.6</v>
      </c>
      <c r="AW235">
        <f t="shared" si="101"/>
        <v>157.96666666666667</v>
      </c>
      <c r="AX235">
        <v>163.9</v>
      </c>
      <c r="AY235">
        <f t="shared" si="102"/>
        <v>163.79999999999998</v>
      </c>
      <c r="AZ235">
        <v>160.80000000000001</v>
      </c>
      <c r="BA235">
        <f t="shared" si="103"/>
        <v>160.26666666666668</v>
      </c>
      <c r="BB235">
        <v>161</v>
      </c>
      <c r="BC235">
        <f t="shared" si="104"/>
        <v>160.33333333333334</v>
      </c>
      <c r="BD235">
        <v>165.5</v>
      </c>
      <c r="BE235">
        <f t="shared" si="105"/>
        <v>163.96666666666667</v>
      </c>
    </row>
    <row r="236" spans="1:57" hidden="1">
      <c r="A236" t="s">
        <v>34</v>
      </c>
      <c r="B236">
        <v>2021</v>
      </c>
      <c r="C236" t="s">
        <v>45</v>
      </c>
      <c r="D236">
        <v>148.19999999999999</v>
      </c>
      <c r="E236">
        <f t="shared" si="79"/>
        <v>147.4</v>
      </c>
      <c r="F236">
        <v>201.6</v>
      </c>
      <c r="G236">
        <f t="shared" si="80"/>
        <v>203.4</v>
      </c>
      <c r="H236">
        <v>173</v>
      </c>
      <c r="I236">
        <f t="shared" si="81"/>
        <v>172.33333333333334</v>
      </c>
      <c r="J236">
        <v>159.30000000000001</v>
      </c>
      <c r="K236">
        <f t="shared" si="82"/>
        <v>158.80000000000001</v>
      </c>
      <c r="L236">
        <v>190.1</v>
      </c>
      <c r="M236">
        <f t="shared" si="83"/>
        <v>189.56666666666669</v>
      </c>
      <c r="N236">
        <v>156.5</v>
      </c>
      <c r="O236">
        <f t="shared" si="84"/>
        <v>156.29999999999998</v>
      </c>
      <c r="P236">
        <v>199.2</v>
      </c>
      <c r="Q236">
        <f t="shared" si="85"/>
        <v>182.26666666666665</v>
      </c>
      <c r="R236">
        <v>165.3</v>
      </c>
      <c r="S236">
        <f t="shared" si="86"/>
        <v>164.86666666666665</v>
      </c>
      <c r="T236">
        <v>122.4</v>
      </c>
      <c r="U236">
        <f t="shared" si="87"/>
        <v>121.33333333333333</v>
      </c>
      <c r="V236">
        <v>169.6</v>
      </c>
      <c r="W236">
        <f t="shared" si="88"/>
        <v>169.23333333333335</v>
      </c>
      <c r="X236">
        <v>163.69999999999999</v>
      </c>
      <c r="Y236">
        <f t="shared" si="89"/>
        <v>163.19999999999999</v>
      </c>
      <c r="Z236">
        <v>175.5</v>
      </c>
      <c r="AA236">
        <f t="shared" si="90"/>
        <v>174.70000000000002</v>
      </c>
      <c r="AB236">
        <v>169.7</v>
      </c>
      <c r="AC236">
        <f t="shared" si="91"/>
        <v>167.13333333333333</v>
      </c>
      <c r="AD236">
        <v>192.9</v>
      </c>
      <c r="AE236">
        <f t="shared" si="92"/>
        <v>192.56666666666663</v>
      </c>
      <c r="AF236">
        <v>167.2</v>
      </c>
      <c r="AG236">
        <f t="shared" si="93"/>
        <v>165.83333333333331</v>
      </c>
      <c r="AH236">
        <v>157.4</v>
      </c>
      <c r="AI236">
        <f t="shared" si="94"/>
        <v>156.33333333333334</v>
      </c>
      <c r="AJ236">
        <v>165.8</v>
      </c>
      <c r="AK236">
        <f t="shared" si="95"/>
        <v>164.46666666666667</v>
      </c>
      <c r="AL236">
        <v>164.2</v>
      </c>
      <c r="AM236">
        <f t="shared" si="96"/>
        <v>163.29999999999998</v>
      </c>
      <c r="AN236">
        <v>163.9</v>
      </c>
      <c r="AO236">
        <f t="shared" si="97"/>
        <v>163.56666666666663</v>
      </c>
      <c r="AP236">
        <v>159.30000000000001</v>
      </c>
      <c r="AQ236">
        <f t="shared" si="98"/>
        <v>158.4</v>
      </c>
      <c r="AR236">
        <v>169.9</v>
      </c>
      <c r="AS236">
        <f t="shared" si="99"/>
        <v>169.13333333333333</v>
      </c>
      <c r="AT236">
        <v>154.80000000000001</v>
      </c>
      <c r="AU236">
        <f t="shared" si="100"/>
        <v>154.83333333333334</v>
      </c>
      <c r="AV236">
        <v>159.80000000000001</v>
      </c>
      <c r="AW236">
        <f t="shared" si="101"/>
        <v>158.69999999999999</v>
      </c>
      <c r="AX236">
        <v>164.3</v>
      </c>
      <c r="AY236">
        <f t="shared" si="102"/>
        <v>163.96666666666667</v>
      </c>
      <c r="AZ236">
        <v>162.19999999999999</v>
      </c>
      <c r="BA236">
        <f t="shared" si="103"/>
        <v>161</v>
      </c>
      <c r="BB236">
        <v>161.4</v>
      </c>
      <c r="BC236">
        <f t="shared" si="104"/>
        <v>160.79999999999998</v>
      </c>
      <c r="BD236">
        <v>166.7</v>
      </c>
      <c r="BE236">
        <f t="shared" si="105"/>
        <v>165.13333333333333</v>
      </c>
    </row>
    <row r="237" spans="1:57" hidden="1">
      <c r="A237" t="s">
        <v>34</v>
      </c>
      <c r="B237">
        <v>2021</v>
      </c>
      <c r="C237" t="s">
        <v>46</v>
      </c>
      <c r="D237">
        <v>148.69999999999999</v>
      </c>
      <c r="E237">
        <f t="shared" si="79"/>
        <v>148.1</v>
      </c>
      <c r="F237">
        <v>198.8</v>
      </c>
      <c r="G237">
        <f t="shared" si="80"/>
        <v>201.66666666666666</v>
      </c>
      <c r="H237">
        <v>177.9</v>
      </c>
      <c r="I237">
        <f t="shared" si="81"/>
        <v>174.03333333333333</v>
      </c>
      <c r="J237">
        <v>159.9</v>
      </c>
      <c r="K237">
        <f t="shared" si="82"/>
        <v>159.29999999999998</v>
      </c>
      <c r="L237">
        <v>187.6</v>
      </c>
      <c r="M237">
        <f t="shared" si="83"/>
        <v>189.43333333333331</v>
      </c>
      <c r="N237">
        <v>154.9</v>
      </c>
      <c r="O237">
        <f t="shared" si="84"/>
        <v>155.70000000000002</v>
      </c>
      <c r="P237">
        <v>188.3</v>
      </c>
      <c r="Q237">
        <f t="shared" si="85"/>
        <v>190.93333333333331</v>
      </c>
      <c r="R237">
        <v>164.4</v>
      </c>
      <c r="S237">
        <f t="shared" si="86"/>
        <v>164.96666666666667</v>
      </c>
      <c r="T237">
        <v>121</v>
      </c>
      <c r="U237">
        <f t="shared" si="87"/>
        <v>121.76666666666667</v>
      </c>
      <c r="V237">
        <v>170.5</v>
      </c>
      <c r="W237">
        <f t="shared" si="88"/>
        <v>169.79999999999998</v>
      </c>
      <c r="X237">
        <v>164.2</v>
      </c>
      <c r="Y237">
        <f t="shared" si="89"/>
        <v>163.69999999999999</v>
      </c>
      <c r="Z237">
        <v>176.5</v>
      </c>
      <c r="AA237">
        <f t="shared" si="90"/>
        <v>175.56666666666669</v>
      </c>
      <c r="AB237">
        <v>168.2</v>
      </c>
      <c r="AC237">
        <f t="shared" si="91"/>
        <v>168.53333333333333</v>
      </c>
      <c r="AD237">
        <v>192.4</v>
      </c>
      <c r="AE237">
        <f t="shared" si="92"/>
        <v>192.66666666666666</v>
      </c>
      <c r="AF237">
        <v>168.5</v>
      </c>
      <c r="AG237">
        <f t="shared" si="93"/>
        <v>167.13333333333333</v>
      </c>
      <c r="AH237">
        <v>158.69999999999999</v>
      </c>
      <c r="AI237">
        <f t="shared" si="94"/>
        <v>157.46666666666667</v>
      </c>
      <c r="AJ237">
        <v>167</v>
      </c>
      <c r="AK237">
        <f t="shared" si="95"/>
        <v>165.70000000000002</v>
      </c>
      <c r="AL237">
        <v>163.4</v>
      </c>
      <c r="AM237">
        <f t="shared" si="96"/>
        <v>163.73333333333332</v>
      </c>
      <c r="AN237">
        <v>164.1</v>
      </c>
      <c r="AO237">
        <f t="shared" si="97"/>
        <v>164.06666666666669</v>
      </c>
      <c r="AP237">
        <v>160.19999999999999</v>
      </c>
      <c r="AQ237">
        <f t="shared" si="98"/>
        <v>159.30000000000001</v>
      </c>
      <c r="AR237">
        <v>170.6</v>
      </c>
      <c r="AS237">
        <f t="shared" si="99"/>
        <v>169.86666666666667</v>
      </c>
      <c r="AT237">
        <v>155.69999999999999</v>
      </c>
      <c r="AU237">
        <f t="shared" si="100"/>
        <v>155.4</v>
      </c>
      <c r="AV237">
        <v>160.6</v>
      </c>
      <c r="AW237">
        <f t="shared" si="101"/>
        <v>159.66666666666666</v>
      </c>
      <c r="AX237">
        <v>164.4</v>
      </c>
      <c r="AY237">
        <f t="shared" si="102"/>
        <v>164.20000000000002</v>
      </c>
      <c r="AZ237">
        <v>162.6</v>
      </c>
      <c r="BA237">
        <f t="shared" si="103"/>
        <v>161.86666666666667</v>
      </c>
      <c r="BB237">
        <v>162</v>
      </c>
      <c r="BC237">
        <f t="shared" si="104"/>
        <v>161.46666666666667</v>
      </c>
      <c r="BD237">
        <v>166.2</v>
      </c>
      <c r="BE237">
        <f t="shared" si="105"/>
        <v>166.13333333333333</v>
      </c>
    </row>
    <row r="238" spans="1:57" hidden="1">
      <c r="A238" t="s">
        <v>34</v>
      </c>
      <c r="B238">
        <v>2022</v>
      </c>
      <c r="C238" t="s">
        <v>31</v>
      </c>
      <c r="D238">
        <v>149.5</v>
      </c>
      <c r="E238">
        <f t="shared" si="79"/>
        <v>148.79999999999998</v>
      </c>
      <c r="F238">
        <v>198.7</v>
      </c>
      <c r="G238">
        <f t="shared" si="80"/>
        <v>199.69999999999996</v>
      </c>
      <c r="H238">
        <v>178.8</v>
      </c>
      <c r="I238">
        <f t="shared" si="81"/>
        <v>176.56666666666669</v>
      </c>
      <c r="J238">
        <v>160.5</v>
      </c>
      <c r="K238">
        <f t="shared" si="82"/>
        <v>159.9</v>
      </c>
      <c r="L238">
        <v>184.7</v>
      </c>
      <c r="M238">
        <f t="shared" si="83"/>
        <v>187.46666666666667</v>
      </c>
      <c r="N238">
        <v>153.69999999999999</v>
      </c>
      <c r="O238">
        <f t="shared" si="84"/>
        <v>155.03333333333333</v>
      </c>
      <c r="P238">
        <v>174.3</v>
      </c>
      <c r="Q238">
        <f t="shared" si="85"/>
        <v>187.26666666666665</v>
      </c>
      <c r="R238">
        <v>163.9</v>
      </c>
      <c r="S238">
        <f t="shared" si="86"/>
        <v>164.53333333333333</v>
      </c>
      <c r="T238">
        <v>120</v>
      </c>
      <c r="U238">
        <f t="shared" si="87"/>
        <v>121.13333333333333</v>
      </c>
      <c r="V238">
        <v>172.1</v>
      </c>
      <c r="W238">
        <f t="shared" si="88"/>
        <v>170.73333333333335</v>
      </c>
      <c r="X238">
        <v>164.3</v>
      </c>
      <c r="Y238">
        <f t="shared" si="89"/>
        <v>164.06666666666666</v>
      </c>
      <c r="Z238">
        <v>177.3</v>
      </c>
      <c r="AA238">
        <f t="shared" si="90"/>
        <v>176.43333333333331</v>
      </c>
      <c r="AB238">
        <v>166.4</v>
      </c>
      <c r="AC238">
        <f t="shared" si="91"/>
        <v>168.1</v>
      </c>
      <c r="AD238">
        <v>192.2</v>
      </c>
      <c r="AE238">
        <f t="shared" si="92"/>
        <v>192.5</v>
      </c>
      <c r="AF238">
        <v>169.9</v>
      </c>
      <c r="AG238">
        <f t="shared" si="93"/>
        <v>168.53333333333333</v>
      </c>
      <c r="AH238">
        <v>160.69999999999999</v>
      </c>
      <c r="AI238">
        <f t="shared" si="94"/>
        <v>158.93333333333334</v>
      </c>
      <c r="AJ238">
        <v>168.5</v>
      </c>
      <c r="AK238">
        <f t="shared" si="95"/>
        <v>167.1</v>
      </c>
      <c r="AL238">
        <v>164.5</v>
      </c>
      <c r="AM238">
        <f t="shared" si="96"/>
        <v>164.03333333333333</v>
      </c>
      <c r="AN238">
        <v>164.2</v>
      </c>
      <c r="AO238">
        <f t="shared" si="97"/>
        <v>164.06666666666666</v>
      </c>
      <c r="AP238">
        <v>161.1</v>
      </c>
      <c r="AQ238">
        <f t="shared" si="98"/>
        <v>160.20000000000002</v>
      </c>
      <c r="AR238">
        <v>171.4</v>
      </c>
      <c r="AS238">
        <f t="shared" si="99"/>
        <v>170.63333333333333</v>
      </c>
      <c r="AT238">
        <v>156.5</v>
      </c>
      <c r="AU238">
        <f t="shared" si="100"/>
        <v>155.66666666666666</v>
      </c>
      <c r="AV238">
        <v>161.19999999999999</v>
      </c>
      <c r="AW238">
        <f t="shared" si="101"/>
        <v>160.53333333333333</v>
      </c>
      <c r="AX238">
        <v>164.7</v>
      </c>
      <c r="AY238">
        <f t="shared" si="102"/>
        <v>164.46666666666667</v>
      </c>
      <c r="AZ238">
        <v>163</v>
      </c>
      <c r="BA238">
        <f t="shared" si="103"/>
        <v>162.6</v>
      </c>
      <c r="BB238">
        <v>162.69999999999999</v>
      </c>
      <c r="BC238">
        <f t="shared" si="104"/>
        <v>162.03333333333333</v>
      </c>
      <c r="BD238">
        <v>165.7</v>
      </c>
      <c r="BE238">
        <f t="shared" si="105"/>
        <v>166.2</v>
      </c>
    </row>
    <row r="239" spans="1:57" hidden="1">
      <c r="A239" t="s">
        <v>34</v>
      </c>
      <c r="B239">
        <v>2022</v>
      </c>
      <c r="C239" t="s">
        <v>35</v>
      </c>
      <c r="D239">
        <v>150</v>
      </c>
      <c r="E239">
        <f t="shared" si="79"/>
        <v>149.4</v>
      </c>
      <c r="F239">
        <v>200.6</v>
      </c>
      <c r="G239">
        <f t="shared" si="80"/>
        <v>199.36666666666667</v>
      </c>
      <c r="H239">
        <v>175.8</v>
      </c>
      <c r="I239">
        <f t="shared" si="81"/>
        <v>177.5</v>
      </c>
      <c r="J239">
        <v>160.69999999999999</v>
      </c>
      <c r="K239">
        <f t="shared" si="82"/>
        <v>160.36666666666665</v>
      </c>
      <c r="L239">
        <v>184.9</v>
      </c>
      <c r="M239">
        <f t="shared" si="83"/>
        <v>185.73333333333332</v>
      </c>
      <c r="N239">
        <v>153.69999999999999</v>
      </c>
      <c r="O239">
        <f t="shared" si="84"/>
        <v>154.1</v>
      </c>
      <c r="P239">
        <v>169.7</v>
      </c>
      <c r="Q239">
        <f t="shared" si="85"/>
        <v>177.43333333333331</v>
      </c>
      <c r="R239">
        <v>163.69999999999999</v>
      </c>
      <c r="S239">
        <f t="shared" si="86"/>
        <v>164</v>
      </c>
      <c r="T239">
        <v>118.9</v>
      </c>
      <c r="U239">
        <f t="shared" si="87"/>
        <v>119.96666666666665</v>
      </c>
      <c r="V239">
        <v>174.3</v>
      </c>
      <c r="W239">
        <f t="shared" si="88"/>
        <v>172.30000000000004</v>
      </c>
      <c r="X239">
        <v>164.7</v>
      </c>
      <c r="Y239">
        <f t="shared" si="89"/>
        <v>164.4</v>
      </c>
      <c r="Z239">
        <v>178</v>
      </c>
      <c r="AA239">
        <f t="shared" si="90"/>
        <v>177.26666666666665</v>
      </c>
      <c r="AB239">
        <v>166.2</v>
      </c>
      <c r="AC239">
        <f t="shared" si="91"/>
        <v>166.93333333333334</v>
      </c>
      <c r="AD239">
        <v>192.8</v>
      </c>
      <c r="AE239">
        <f t="shared" si="92"/>
        <v>192.4666666666667</v>
      </c>
      <c r="AF239">
        <v>170.8</v>
      </c>
      <c r="AG239">
        <f t="shared" si="93"/>
        <v>169.73333333333332</v>
      </c>
      <c r="AH239">
        <v>162.4</v>
      </c>
      <c r="AI239">
        <f t="shared" si="94"/>
        <v>160.6</v>
      </c>
      <c r="AJ239">
        <v>169.6</v>
      </c>
      <c r="AK239">
        <f t="shared" si="95"/>
        <v>168.36666666666667</v>
      </c>
      <c r="AL239">
        <v>165.5</v>
      </c>
      <c r="AM239">
        <f t="shared" si="96"/>
        <v>164.46666666666667</v>
      </c>
      <c r="AN239">
        <v>165.7</v>
      </c>
      <c r="AO239">
        <f t="shared" si="97"/>
        <v>164.66666666666666</v>
      </c>
      <c r="AP239">
        <v>161.80000000000001</v>
      </c>
      <c r="AQ239">
        <f t="shared" si="98"/>
        <v>161.03333333333333</v>
      </c>
      <c r="AR239">
        <v>172.2</v>
      </c>
      <c r="AS239">
        <f t="shared" si="99"/>
        <v>171.4</v>
      </c>
      <c r="AT239">
        <v>156.9</v>
      </c>
      <c r="AU239">
        <f t="shared" si="100"/>
        <v>156.36666666666667</v>
      </c>
      <c r="AV239">
        <v>162.1</v>
      </c>
      <c r="AW239">
        <f t="shared" si="101"/>
        <v>161.29999999999998</v>
      </c>
      <c r="AX239">
        <v>165.4</v>
      </c>
      <c r="AY239">
        <f t="shared" si="102"/>
        <v>164.83333333333334</v>
      </c>
      <c r="AZ239">
        <v>164.4</v>
      </c>
      <c r="BA239">
        <f t="shared" si="103"/>
        <v>163.33333333333334</v>
      </c>
      <c r="BB239">
        <v>163.5</v>
      </c>
      <c r="BC239">
        <f t="shared" si="104"/>
        <v>162.73333333333332</v>
      </c>
      <c r="BD239">
        <v>166.1</v>
      </c>
      <c r="BE239">
        <f t="shared" si="105"/>
        <v>166</v>
      </c>
    </row>
    <row r="240" spans="1:57" hidden="1">
      <c r="A240" t="s">
        <v>34</v>
      </c>
      <c r="B240">
        <v>2022</v>
      </c>
      <c r="C240" t="s">
        <v>36</v>
      </c>
      <c r="D240">
        <v>151.30000000000001</v>
      </c>
      <c r="E240">
        <f t="shared" si="79"/>
        <v>150.26666666666668</v>
      </c>
      <c r="F240">
        <v>210.7</v>
      </c>
      <c r="G240">
        <f t="shared" si="80"/>
        <v>203.33333333333334</v>
      </c>
      <c r="H240">
        <v>167.8</v>
      </c>
      <c r="I240">
        <f t="shared" si="81"/>
        <v>174.13333333333335</v>
      </c>
      <c r="J240">
        <v>162.19999999999999</v>
      </c>
      <c r="K240">
        <f t="shared" si="82"/>
        <v>161.13333333333333</v>
      </c>
      <c r="L240">
        <v>194.6</v>
      </c>
      <c r="M240">
        <f t="shared" si="83"/>
        <v>188.06666666666669</v>
      </c>
      <c r="N240">
        <v>157.6</v>
      </c>
      <c r="O240">
        <f t="shared" si="84"/>
        <v>155</v>
      </c>
      <c r="P240">
        <v>166.9</v>
      </c>
      <c r="Q240">
        <f t="shared" si="85"/>
        <v>170.29999999999998</v>
      </c>
      <c r="R240">
        <v>163.9</v>
      </c>
      <c r="S240">
        <f t="shared" si="86"/>
        <v>163.83333333333334</v>
      </c>
      <c r="T240">
        <v>118.8</v>
      </c>
      <c r="U240">
        <f t="shared" si="87"/>
        <v>119.23333333333333</v>
      </c>
      <c r="V240">
        <v>177.4</v>
      </c>
      <c r="W240">
        <f t="shared" si="88"/>
        <v>174.6</v>
      </c>
      <c r="X240">
        <v>165.3</v>
      </c>
      <c r="Y240">
        <f t="shared" si="89"/>
        <v>164.76666666666668</v>
      </c>
      <c r="Z240">
        <v>179.3</v>
      </c>
      <c r="AA240">
        <f t="shared" si="90"/>
        <v>178.20000000000002</v>
      </c>
      <c r="AB240">
        <v>168.4</v>
      </c>
      <c r="AC240">
        <f t="shared" si="91"/>
        <v>167</v>
      </c>
      <c r="AD240">
        <v>193.7</v>
      </c>
      <c r="AE240">
        <f t="shared" si="92"/>
        <v>192.9</v>
      </c>
      <c r="AF240">
        <v>172.1</v>
      </c>
      <c r="AG240">
        <f t="shared" si="93"/>
        <v>170.93333333333337</v>
      </c>
      <c r="AH240">
        <v>164.6</v>
      </c>
      <c r="AI240">
        <f t="shared" si="94"/>
        <v>162.56666666666669</v>
      </c>
      <c r="AJ240">
        <v>171.1</v>
      </c>
      <c r="AK240">
        <f t="shared" si="95"/>
        <v>169.73333333333335</v>
      </c>
      <c r="AL240">
        <v>165.3</v>
      </c>
      <c r="AM240">
        <f t="shared" si="96"/>
        <v>165.1</v>
      </c>
      <c r="AN240">
        <v>167.2</v>
      </c>
      <c r="AO240">
        <f t="shared" si="97"/>
        <v>165.7</v>
      </c>
      <c r="AP240">
        <v>162.80000000000001</v>
      </c>
      <c r="AQ240">
        <f t="shared" si="98"/>
        <v>161.9</v>
      </c>
      <c r="AR240">
        <v>173</v>
      </c>
      <c r="AS240">
        <f t="shared" si="99"/>
        <v>172.20000000000002</v>
      </c>
      <c r="AT240">
        <v>157.9</v>
      </c>
      <c r="AU240">
        <f t="shared" si="100"/>
        <v>157.1</v>
      </c>
      <c r="AV240">
        <v>163.30000000000001</v>
      </c>
      <c r="AW240">
        <f t="shared" si="101"/>
        <v>162.19999999999999</v>
      </c>
      <c r="AX240">
        <v>166</v>
      </c>
      <c r="AY240">
        <f t="shared" si="102"/>
        <v>165.36666666666667</v>
      </c>
      <c r="AZ240">
        <v>167.2</v>
      </c>
      <c r="BA240">
        <f t="shared" si="103"/>
        <v>164.86666666666665</v>
      </c>
      <c r="BB240">
        <v>164.6</v>
      </c>
      <c r="BC240">
        <f t="shared" si="104"/>
        <v>163.6</v>
      </c>
      <c r="BD240">
        <v>167.7</v>
      </c>
      <c r="BE240">
        <f t="shared" si="105"/>
        <v>166.49999999999997</v>
      </c>
    </row>
    <row r="241" spans="1:57" hidden="1">
      <c r="A241" t="s">
        <v>34</v>
      </c>
      <c r="B241">
        <v>2022</v>
      </c>
      <c r="C241" t="s">
        <v>37</v>
      </c>
      <c r="D241">
        <v>152.9</v>
      </c>
      <c r="E241">
        <f t="shared" si="79"/>
        <v>151.4</v>
      </c>
      <c r="F241">
        <v>211.8</v>
      </c>
      <c r="G241">
        <f t="shared" si="80"/>
        <v>207.69999999999996</v>
      </c>
      <c r="H241">
        <v>164.5</v>
      </c>
      <c r="I241">
        <f t="shared" si="81"/>
        <v>169.36666666666667</v>
      </c>
      <c r="J241">
        <v>163.9</v>
      </c>
      <c r="K241">
        <f t="shared" si="82"/>
        <v>162.26666666666665</v>
      </c>
      <c r="L241">
        <v>199.5</v>
      </c>
      <c r="M241">
        <f t="shared" si="83"/>
        <v>193</v>
      </c>
      <c r="N241">
        <v>172.6</v>
      </c>
      <c r="O241">
        <f t="shared" si="84"/>
        <v>161.29999999999998</v>
      </c>
      <c r="P241">
        <v>166.2</v>
      </c>
      <c r="Q241">
        <f t="shared" si="85"/>
        <v>167.6</v>
      </c>
      <c r="R241">
        <v>164.7</v>
      </c>
      <c r="S241">
        <f t="shared" si="86"/>
        <v>164.1</v>
      </c>
      <c r="T241">
        <v>119</v>
      </c>
      <c r="U241">
        <f t="shared" si="87"/>
        <v>118.89999999999999</v>
      </c>
      <c r="V241">
        <v>181.3</v>
      </c>
      <c r="W241">
        <f t="shared" si="88"/>
        <v>177.66666666666666</v>
      </c>
      <c r="X241">
        <v>166.2</v>
      </c>
      <c r="Y241">
        <f t="shared" si="89"/>
        <v>165.4</v>
      </c>
      <c r="Z241">
        <v>180.9</v>
      </c>
      <c r="AA241">
        <f t="shared" si="90"/>
        <v>179.4</v>
      </c>
      <c r="AB241">
        <v>170.8</v>
      </c>
      <c r="AC241">
        <f t="shared" si="91"/>
        <v>168.46666666666667</v>
      </c>
      <c r="AD241">
        <v>193.9</v>
      </c>
      <c r="AE241">
        <f t="shared" si="92"/>
        <v>193.46666666666667</v>
      </c>
      <c r="AF241">
        <v>173.9</v>
      </c>
      <c r="AG241">
        <f t="shared" si="93"/>
        <v>172.26666666666665</v>
      </c>
      <c r="AH241">
        <v>166.5</v>
      </c>
      <c r="AI241">
        <f t="shared" si="94"/>
        <v>164.5</v>
      </c>
      <c r="AJ241">
        <v>172.8</v>
      </c>
      <c r="AK241">
        <f t="shared" si="95"/>
        <v>171.16666666666666</v>
      </c>
      <c r="AL241">
        <v>167</v>
      </c>
      <c r="AM241">
        <f t="shared" si="96"/>
        <v>165.93333333333334</v>
      </c>
      <c r="AN241">
        <v>172.2</v>
      </c>
      <c r="AO241">
        <f t="shared" si="97"/>
        <v>168.36666666666665</v>
      </c>
      <c r="AP241">
        <v>164</v>
      </c>
      <c r="AQ241">
        <f t="shared" si="98"/>
        <v>162.86666666666667</v>
      </c>
      <c r="AR241">
        <v>174</v>
      </c>
      <c r="AS241">
        <f t="shared" si="99"/>
        <v>173.06666666666669</v>
      </c>
      <c r="AT241">
        <v>162.6</v>
      </c>
      <c r="AU241">
        <f t="shared" si="100"/>
        <v>159.13333333333333</v>
      </c>
      <c r="AV241">
        <v>164.4</v>
      </c>
      <c r="AW241">
        <f t="shared" si="101"/>
        <v>163.26666666666665</v>
      </c>
      <c r="AX241">
        <v>166.9</v>
      </c>
      <c r="AY241">
        <f t="shared" si="102"/>
        <v>166.1</v>
      </c>
      <c r="AZ241">
        <v>168.8</v>
      </c>
      <c r="BA241">
        <f t="shared" si="103"/>
        <v>166.8</v>
      </c>
      <c r="BB241">
        <v>166.8</v>
      </c>
      <c r="BC241">
        <f t="shared" si="104"/>
        <v>164.96666666666667</v>
      </c>
      <c r="BD241">
        <v>170.1</v>
      </c>
      <c r="BE241">
        <f t="shared" si="105"/>
        <v>167.96666666666667</v>
      </c>
    </row>
    <row r="242" spans="1:57" hidden="1">
      <c r="A242" t="s">
        <v>34</v>
      </c>
      <c r="B242">
        <v>2022</v>
      </c>
      <c r="C242" t="s">
        <v>38</v>
      </c>
      <c r="D242">
        <v>154.1</v>
      </c>
      <c r="E242">
        <f t="shared" si="79"/>
        <v>152.76666666666668</v>
      </c>
      <c r="F242">
        <v>217</v>
      </c>
      <c r="G242">
        <f t="shared" si="80"/>
        <v>213.16666666666666</v>
      </c>
      <c r="H242">
        <v>162.4</v>
      </c>
      <c r="I242">
        <f t="shared" si="81"/>
        <v>164.9</v>
      </c>
      <c r="J242">
        <v>164.9</v>
      </c>
      <c r="K242">
        <f t="shared" si="82"/>
        <v>163.66666666666666</v>
      </c>
      <c r="L242">
        <v>202.4</v>
      </c>
      <c r="M242">
        <f t="shared" si="83"/>
        <v>198.83333333333334</v>
      </c>
      <c r="N242">
        <v>171</v>
      </c>
      <c r="O242">
        <f t="shared" si="84"/>
        <v>167.06666666666666</v>
      </c>
      <c r="P242">
        <v>174.9</v>
      </c>
      <c r="Q242">
        <f t="shared" si="85"/>
        <v>169.33333333333334</v>
      </c>
      <c r="R242">
        <v>164.7</v>
      </c>
      <c r="S242">
        <f t="shared" si="86"/>
        <v>164.43333333333334</v>
      </c>
      <c r="T242">
        <v>119.7</v>
      </c>
      <c r="U242">
        <f t="shared" si="87"/>
        <v>119.16666666666667</v>
      </c>
      <c r="V242">
        <v>184.9</v>
      </c>
      <c r="W242">
        <f t="shared" si="88"/>
        <v>181.20000000000002</v>
      </c>
      <c r="X242">
        <v>167.1</v>
      </c>
      <c r="Y242">
        <f t="shared" si="89"/>
        <v>166.20000000000002</v>
      </c>
      <c r="Z242">
        <v>182.5</v>
      </c>
      <c r="AA242">
        <f t="shared" si="90"/>
        <v>180.9</v>
      </c>
      <c r="AB242">
        <v>173.3</v>
      </c>
      <c r="AC242">
        <f t="shared" si="91"/>
        <v>170.83333333333334</v>
      </c>
      <c r="AD242">
        <v>194.1</v>
      </c>
      <c r="AE242">
        <f t="shared" si="92"/>
        <v>193.9</v>
      </c>
      <c r="AF242">
        <v>175.6</v>
      </c>
      <c r="AG242">
        <f t="shared" si="93"/>
        <v>173.86666666666667</v>
      </c>
      <c r="AH242">
        <v>168.4</v>
      </c>
      <c r="AI242">
        <f t="shared" si="94"/>
        <v>166.5</v>
      </c>
      <c r="AJ242">
        <v>174.6</v>
      </c>
      <c r="AK242">
        <f t="shared" si="95"/>
        <v>172.83333333333334</v>
      </c>
      <c r="AL242">
        <v>167.5</v>
      </c>
      <c r="AM242">
        <f t="shared" si="96"/>
        <v>166.6</v>
      </c>
      <c r="AN242">
        <v>174.6</v>
      </c>
      <c r="AO242">
        <f t="shared" si="97"/>
        <v>171.33333333333334</v>
      </c>
      <c r="AP242">
        <v>165.2</v>
      </c>
      <c r="AQ242">
        <f t="shared" si="98"/>
        <v>164</v>
      </c>
      <c r="AR242">
        <v>174.8</v>
      </c>
      <c r="AS242">
        <f t="shared" si="99"/>
        <v>173.93333333333331</v>
      </c>
      <c r="AT242">
        <v>163</v>
      </c>
      <c r="AU242">
        <f t="shared" si="100"/>
        <v>161.16666666666666</v>
      </c>
      <c r="AV242">
        <v>165.1</v>
      </c>
      <c r="AW242">
        <f t="shared" si="101"/>
        <v>164.26666666666668</v>
      </c>
      <c r="AX242">
        <v>167.9</v>
      </c>
      <c r="AY242">
        <f t="shared" si="102"/>
        <v>166.93333333333331</v>
      </c>
      <c r="AZ242">
        <v>168.4</v>
      </c>
      <c r="BA242">
        <f t="shared" si="103"/>
        <v>168.13333333333333</v>
      </c>
      <c r="BB242">
        <v>167.5</v>
      </c>
      <c r="BC242">
        <f t="shared" si="104"/>
        <v>166.29999999999998</v>
      </c>
      <c r="BD242">
        <v>171.7</v>
      </c>
      <c r="BE242">
        <f t="shared" si="105"/>
        <v>169.83333333333331</v>
      </c>
    </row>
    <row r="243" spans="1:57" hidden="1">
      <c r="A243" t="s">
        <v>34</v>
      </c>
      <c r="B243">
        <v>2022</v>
      </c>
      <c r="C243" t="s">
        <v>39</v>
      </c>
      <c r="D243">
        <v>155</v>
      </c>
      <c r="E243">
        <f t="shared" si="79"/>
        <v>154</v>
      </c>
      <c r="F243">
        <v>219.4</v>
      </c>
      <c r="G243">
        <f t="shared" si="80"/>
        <v>216.06666666666669</v>
      </c>
      <c r="H243">
        <v>170.8</v>
      </c>
      <c r="I243">
        <f t="shared" si="81"/>
        <v>165.9</v>
      </c>
      <c r="J243">
        <v>165.8</v>
      </c>
      <c r="K243">
        <f t="shared" si="82"/>
        <v>164.86666666666667</v>
      </c>
      <c r="L243">
        <v>200.9</v>
      </c>
      <c r="M243">
        <f t="shared" si="83"/>
        <v>200.93333333333331</v>
      </c>
      <c r="N243">
        <v>169.7</v>
      </c>
      <c r="O243">
        <f t="shared" si="84"/>
        <v>171.1</v>
      </c>
      <c r="P243">
        <v>182.3</v>
      </c>
      <c r="Q243">
        <f t="shared" si="85"/>
        <v>174.4666666666667</v>
      </c>
      <c r="R243">
        <v>164.3</v>
      </c>
      <c r="S243">
        <f t="shared" si="86"/>
        <v>164.56666666666666</v>
      </c>
      <c r="T243">
        <v>119.9</v>
      </c>
      <c r="U243">
        <f t="shared" si="87"/>
        <v>119.53333333333335</v>
      </c>
      <c r="V243">
        <v>187.1</v>
      </c>
      <c r="W243">
        <f t="shared" si="88"/>
        <v>184.43333333333337</v>
      </c>
      <c r="X243">
        <v>167.9</v>
      </c>
      <c r="Y243">
        <f t="shared" si="89"/>
        <v>167.06666666666663</v>
      </c>
      <c r="Z243">
        <v>183.9</v>
      </c>
      <c r="AA243">
        <f t="shared" si="90"/>
        <v>182.43333333333331</v>
      </c>
      <c r="AB243">
        <v>174.9</v>
      </c>
      <c r="AC243">
        <f t="shared" si="91"/>
        <v>173</v>
      </c>
      <c r="AD243">
        <v>194.3</v>
      </c>
      <c r="AE243">
        <f t="shared" si="92"/>
        <v>194.1</v>
      </c>
      <c r="AF243">
        <v>177.1</v>
      </c>
      <c r="AG243">
        <f t="shared" si="93"/>
        <v>175.53333333333333</v>
      </c>
      <c r="AH243">
        <v>169.9</v>
      </c>
      <c r="AI243">
        <f t="shared" si="94"/>
        <v>168.26666666666665</v>
      </c>
      <c r="AJ243">
        <v>176</v>
      </c>
      <c r="AK243">
        <f t="shared" si="95"/>
        <v>174.46666666666667</v>
      </c>
      <c r="AL243">
        <v>166.8</v>
      </c>
      <c r="AM243">
        <f t="shared" si="96"/>
        <v>167.1</v>
      </c>
      <c r="AN243">
        <v>176</v>
      </c>
      <c r="AO243">
        <f t="shared" si="97"/>
        <v>174.26666666666665</v>
      </c>
      <c r="AP243">
        <v>166.4</v>
      </c>
      <c r="AQ243">
        <f t="shared" si="98"/>
        <v>165.20000000000002</v>
      </c>
      <c r="AR243">
        <v>175.4</v>
      </c>
      <c r="AS243">
        <f t="shared" si="99"/>
        <v>174.73333333333335</v>
      </c>
      <c r="AT243">
        <v>161.1</v>
      </c>
      <c r="AU243">
        <f t="shared" si="100"/>
        <v>162.23333333333335</v>
      </c>
      <c r="AV243">
        <v>165.8</v>
      </c>
      <c r="AW243">
        <f t="shared" si="101"/>
        <v>165.1</v>
      </c>
      <c r="AX243">
        <v>169</v>
      </c>
      <c r="AY243">
        <f t="shared" si="102"/>
        <v>167.93333333333334</v>
      </c>
      <c r="AZ243">
        <v>169.4</v>
      </c>
      <c r="BA243">
        <f t="shared" si="103"/>
        <v>168.86666666666667</v>
      </c>
      <c r="BB243">
        <v>167.5</v>
      </c>
      <c r="BC243">
        <f t="shared" si="104"/>
        <v>167.26666666666668</v>
      </c>
      <c r="BD243">
        <v>172.6</v>
      </c>
      <c r="BE243">
        <f t="shared" si="105"/>
        <v>171.46666666666667</v>
      </c>
    </row>
    <row r="244" spans="1:57" hidden="1">
      <c r="A244" t="s">
        <v>34</v>
      </c>
      <c r="B244">
        <v>2022</v>
      </c>
      <c r="C244" t="s">
        <v>40</v>
      </c>
      <c r="D244">
        <v>156.5</v>
      </c>
      <c r="E244">
        <f t="shared" si="79"/>
        <v>155.20000000000002</v>
      </c>
      <c r="F244">
        <v>213</v>
      </c>
      <c r="G244">
        <f t="shared" si="80"/>
        <v>216.46666666666667</v>
      </c>
      <c r="H244">
        <v>175.2</v>
      </c>
      <c r="I244">
        <f t="shared" si="81"/>
        <v>169.46666666666667</v>
      </c>
      <c r="J244">
        <v>166.6</v>
      </c>
      <c r="K244">
        <f t="shared" si="82"/>
        <v>165.76666666666668</v>
      </c>
      <c r="L244">
        <v>195.8</v>
      </c>
      <c r="M244">
        <f t="shared" si="83"/>
        <v>199.70000000000002</v>
      </c>
      <c r="N244">
        <v>174.2</v>
      </c>
      <c r="O244">
        <f t="shared" si="84"/>
        <v>171.63333333333333</v>
      </c>
      <c r="P244">
        <v>182.1</v>
      </c>
      <c r="Q244">
        <f t="shared" si="85"/>
        <v>179.76666666666668</v>
      </c>
      <c r="R244">
        <v>164.3</v>
      </c>
      <c r="S244">
        <f t="shared" si="86"/>
        <v>164.43333333333334</v>
      </c>
      <c r="T244">
        <v>120</v>
      </c>
      <c r="U244">
        <f t="shared" si="87"/>
        <v>119.86666666666667</v>
      </c>
      <c r="V244">
        <v>190</v>
      </c>
      <c r="W244">
        <f t="shared" si="88"/>
        <v>187.33333333333334</v>
      </c>
      <c r="X244">
        <v>168.4</v>
      </c>
      <c r="Y244">
        <f t="shared" si="89"/>
        <v>167.79999999999998</v>
      </c>
      <c r="Z244">
        <v>185.2</v>
      </c>
      <c r="AA244">
        <f t="shared" si="90"/>
        <v>183.86666666666665</v>
      </c>
      <c r="AB244">
        <v>175</v>
      </c>
      <c r="AC244">
        <f t="shared" si="91"/>
        <v>174.4</v>
      </c>
      <c r="AD244">
        <v>194.6</v>
      </c>
      <c r="AE244">
        <f t="shared" si="92"/>
        <v>194.33333333333334</v>
      </c>
      <c r="AF244">
        <v>178.3</v>
      </c>
      <c r="AG244">
        <f t="shared" si="93"/>
        <v>177</v>
      </c>
      <c r="AH244">
        <v>171.3</v>
      </c>
      <c r="AI244">
        <f t="shared" si="94"/>
        <v>169.86666666666667</v>
      </c>
      <c r="AJ244">
        <v>177.3</v>
      </c>
      <c r="AK244">
        <f t="shared" si="95"/>
        <v>175.9666666666667</v>
      </c>
      <c r="AL244">
        <v>167.8</v>
      </c>
      <c r="AM244">
        <f t="shared" si="96"/>
        <v>167.36666666666667</v>
      </c>
      <c r="AN244">
        <v>179.6</v>
      </c>
      <c r="AO244">
        <f t="shared" si="97"/>
        <v>176.73333333333335</v>
      </c>
      <c r="AP244">
        <v>167.4</v>
      </c>
      <c r="AQ244">
        <f t="shared" si="98"/>
        <v>166.33333333333334</v>
      </c>
      <c r="AR244">
        <v>176.1</v>
      </c>
      <c r="AS244">
        <f t="shared" si="99"/>
        <v>175.43333333333337</v>
      </c>
      <c r="AT244">
        <v>161.6</v>
      </c>
      <c r="AU244">
        <f t="shared" si="100"/>
        <v>161.9</v>
      </c>
      <c r="AV244">
        <v>166.3</v>
      </c>
      <c r="AW244">
        <f t="shared" si="101"/>
        <v>165.73333333333332</v>
      </c>
      <c r="AX244">
        <v>171.4</v>
      </c>
      <c r="AY244">
        <f t="shared" si="102"/>
        <v>169.43333333333331</v>
      </c>
      <c r="AZ244">
        <v>169.7</v>
      </c>
      <c r="BA244">
        <f t="shared" si="103"/>
        <v>169.16666666666666</v>
      </c>
      <c r="BB244">
        <v>168.4</v>
      </c>
      <c r="BC244">
        <f t="shared" si="104"/>
        <v>167.79999999999998</v>
      </c>
      <c r="BD244">
        <v>173.4</v>
      </c>
      <c r="BE244">
        <f t="shared" si="105"/>
        <v>172.56666666666663</v>
      </c>
    </row>
    <row r="245" spans="1:57" hidden="1">
      <c r="A245" t="s">
        <v>34</v>
      </c>
      <c r="B245">
        <v>2022</v>
      </c>
      <c r="C245" t="s">
        <v>41</v>
      </c>
      <c r="D245">
        <v>160.30000000000001</v>
      </c>
      <c r="E245">
        <f t="shared" si="79"/>
        <v>157.26666666666668</v>
      </c>
      <c r="F245">
        <v>206.5</v>
      </c>
      <c r="G245">
        <f t="shared" si="80"/>
        <v>212.96666666666667</v>
      </c>
      <c r="H245">
        <v>169.2</v>
      </c>
      <c r="I245">
        <f t="shared" si="81"/>
        <v>171.73333333333335</v>
      </c>
      <c r="J245">
        <v>168.1</v>
      </c>
      <c r="K245">
        <f t="shared" si="82"/>
        <v>166.83333333333334</v>
      </c>
      <c r="L245">
        <v>192.4</v>
      </c>
      <c r="M245">
        <f t="shared" si="83"/>
        <v>196.36666666666667</v>
      </c>
      <c r="N245">
        <v>172.9</v>
      </c>
      <c r="O245">
        <f t="shared" si="84"/>
        <v>172.26666666666665</v>
      </c>
      <c r="P245">
        <v>186.7</v>
      </c>
      <c r="Q245">
        <f t="shared" si="85"/>
        <v>183.69999999999996</v>
      </c>
      <c r="R245">
        <v>167.2</v>
      </c>
      <c r="S245">
        <f t="shared" si="86"/>
        <v>165.26666666666668</v>
      </c>
      <c r="T245">
        <v>120.9</v>
      </c>
      <c r="U245">
        <f t="shared" si="87"/>
        <v>120.26666666666667</v>
      </c>
      <c r="V245">
        <v>193.6</v>
      </c>
      <c r="W245">
        <f t="shared" si="88"/>
        <v>190.23333333333335</v>
      </c>
      <c r="X245">
        <v>168.8</v>
      </c>
      <c r="Y245">
        <f t="shared" si="89"/>
        <v>168.36666666666667</v>
      </c>
      <c r="Z245">
        <v>186.3</v>
      </c>
      <c r="AA245">
        <f t="shared" si="90"/>
        <v>185.13333333333335</v>
      </c>
      <c r="AB245">
        <v>176.3</v>
      </c>
      <c r="AC245">
        <f t="shared" si="91"/>
        <v>175.4</v>
      </c>
      <c r="AD245">
        <v>195</v>
      </c>
      <c r="AE245">
        <f t="shared" si="92"/>
        <v>194.63333333333333</v>
      </c>
      <c r="AF245">
        <v>179.5</v>
      </c>
      <c r="AG245">
        <f t="shared" si="93"/>
        <v>178.29999999999998</v>
      </c>
      <c r="AH245">
        <v>172.7</v>
      </c>
      <c r="AI245">
        <f t="shared" si="94"/>
        <v>171.30000000000004</v>
      </c>
      <c r="AJ245">
        <v>178.5</v>
      </c>
      <c r="AK245">
        <f t="shared" si="95"/>
        <v>177.26666666666665</v>
      </c>
      <c r="AL245">
        <v>169</v>
      </c>
      <c r="AM245">
        <f t="shared" si="96"/>
        <v>167.86666666666667</v>
      </c>
      <c r="AN245">
        <v>178.8</v>
      </c>
      <c r="AO245">
        <f t="shared" si="97"/>
        <v>178.13333333333335</v>
      </c>
      <c r="AP245">
        <v>168.5</v>
      </c>
      <c r="AQ245">
        <f t="shared" si="98"/>
        <v>167.43333333333334</v>
      </c>
      <c r="AR245">
        <v>176.8</v>
      </c>
      <c r="AS245">
        <f t="shared" si="99"/>
        <v>176.1</v>
      </c>
      <c r="AT245">
        <v>161.9</v>
      </c>
      <c r="AU245">
        <f t="shared" si="100"/>
        <v>161.53333333333333</v>
      </c>
      <c r="AV245">
        <v>166.9</v>
      </c>
      <c r="AW245">
        <f t="shared" si="101"/>
        <v>166.33333333333334</v>
      </c>
      <c r="AX245">
        <v>172.3</v>
      </c>
      <c r="AY245">
        <f t="shared" si="102"/>
        <v>170.9</v>
      </c>
      <c r="AZ245">
        <v>171.2</v>
      </c>
      <c r="BA245">
        <f t="shared" si="103"/>
        <v>170.1</v>
      </c>
      <c r="BB245">
        <v>169.1</v>
      </c>
      <c r="BC245">
        <f t="shared" si="104"/>
        <v>168.33333333333334</v>
      </c>
      <c r="BD245">
        <v>174.3</v>
      </c>
      <c r="BE245">
        <f t="shared" si="105"/>
        <v>173.43333333333331</v>
      </c>
    </row>
    <row r="246" spans="1:57" hidden="1">
      <c r="A246" t="s">
        <v>34</v>
      </c>
      <c r="B246">
        <v>2022</v>
      </c>
      <c r="C246" t="s">
        <v>42</v>
      </c>
      <c r="D246">
        <v>163.5</v>
      </c>
      <c r="E246">
        <f t="shared" si="79"/>
        <v>160.1</v>
      </c>
      <c r="F246">
        <v>209.2</v>
      </c>
      <c r="G246">
        <f t="shared" si="80"/>
        <v>209.56666666666669</v>
      </c>
      <c r="H246">
        <v>169.7</v>
      </c>
      <c r="I246">
        <f t="shared" si="81"/>
        <v>171.36666666666665</v>
      </c>
      <c r="J246">
        <v>169.7</v>
      </c>
      <c r="K246">
        <f t="shared" si="82"/>
        <v>168.13333333333333</v>
      </c>
      <c r="L246">
        <v>188.7</v>
      </c>
      <c r="M246">
        <f t="shared" si="83"/>
        <v>192.30000000000004</v>
      </c>
      <c r="N246">
        <v>165.7</v>
      </c>
      <c r="O246">
        <f t="shared" si="84"/>
        <v>170.93333333333331</v>
      </c>
      <c r="P246">
        <v>191.8</v>
      </c>
      <c r="Q246">
        <f t="shared" si="85"/>
        <v>186.86666666666665</v>
      </c>
      <c r="R246">
        <v>169.1</v>
      </c>
      <c r="S246">
        <f t="shared" si="86"/>
        <v>166.86666666666667</v>
      </c>
      <c r="T246">
        <v>121.6</v>
      </c>
      <c r="U246">
        <f t="shared" si="87"/>
        <v>120.83333333333333</v>
      </c>
      <c r="V246">
        <v>197.3</v>
      </c>
      <c r="W246">
        <f t="shared" si="88"/>
        <v>193.63333333333335</v>
      </c>
      <c r="X246">
        <v>169.4</v>
      </c>
      <c r="Y246">
        <f t="shared" si="89"/>
        <v>168.86666666666667</v>
      </c>
      <c r="Z246">
        <v>187.4</v>
      </c>
      <c r="AA246">
        <f t="shared" si="90"/>
        <v>186.29999999999998</v>
      </c>
      <c r="AB246">
        <v>177.8</v>
      </c>
      <c r="AC246">
        <f t="shared" si="91"/>
        <v>176.36666666666667</v>
      </c>
      <c r="AD246">
        <v>195.9</v>
      </c>
      <c r="AE246">
        <f t="shared" si="92"/>
        <v>195.16666666666666</v>
      </c>
      <c r="AF246">
        <v>180.9</v>
      </c>
      <c r="AG246">
        <f t="shared" si="93"/>
        <v>179.56666666666669</v>
      </c>
      <c r="AH246">
        <v>174.3</v>
      </c>
      <c r="AI246">
        <f t="shared" si="94"/>
        <v>172.76666666666665</v>
      </c>
      <c r="AJ246">
        <v>179.9</v>
      </c>
      <c r="AK246">
        <f t="shared" si="95"/>
        <v>178.56666666666669</v>
      </c>
      <c r="AL246">
        <v>169.5</v>
      </c>
      <c r="AM246">
        <f t="shared" si="96"/>
        <v>168.76666666666668</v>
      </c>
      <c r="AN246">
        <v>179.5</v>
      </c>
      <c r="AO246">
        <f t="shared" si="97"/>
        <v>179.29999999999998</v>
      </c>
      <c r="AP246">
        <v>169.5</v>
      </c>
      <c r="AQ246">
        <f t="shared" si="98"/>
        <v>168.46666666666667</v>
      </c>
      <c r="AR246">
        <v>177.8</v>
      </c>
      <c r="AS246">
        <f t="shared" si="99"/>
        <v>176.9</v>
      </c>
      <c r="AT246">
        <v>162.30000000000001</v>
      </c>
      <c r="AU246">
        <f t="shared" si="100"/>
        <v>161.93333333333334</v>
      </c>
      <c r="AV246">
        <v>167.6</v>
      </c>
      <c r="AW246">
        <f t="shared" si="101"/>
        <v>166.93333333333337</v>
      </c>
      <c r="AX246">
        <v>173.1</v>
      </c>
      <c r="AY246">
        <f t="shared" si="102"/>
        <v>172.26666666666668</v>
      </c>
      <c r="AZ246">
        <v>170.9</v>
      </c>
      <c r="BA246">
        <f t="shared" si="103"/>
        <v>170.6</v>
      </c>
      <c r="BB246">
        <v>169.7</v>
      </c>
      <c r="BC246">
        <f t="shared" si="104"/>
        <v>169.06666666666666</v>
      </c>
      <c r="BD246">
        <v>175.3</v>
      </c>
      <c r="BE246">
        <f t="shared" si="105"/>
        <v>174.33333333333334</v>
      </c>
    </row>
    <row r="247" spans="1:57" hidden="1">
      <c r="A247" t="s">
        <v>34</v>
      </c>
      <c r="B247">
        <v>2022</v>
      </c>
      <c r="C247" t="s">
        <v>43</v>
      </c>
      <c r="D247">
        <v>165.2</v>
      </c>
      <c r="E247">
        <f t="shared" si="79"/>
        <v>163</v>
      </c>
      <c r="F247">
        <v>210.9</v>
      </c>
      <c r="G247">
        <f t="shared" si="80"/>
        <v>208.86666666666667</v>
      </c>
      <c r="H247">
        <v>170.9</v>
      </c>
      <c r="I247">
        <f t="shared" si="81"/>
        <v>169.93333333333331</v>
      </c>
      <c r="J247">
        <v>170.9</v>
      </c>
      <c r="K247">
        <f t="shared" si="82"/>
        <v>169.56666666666663</v>
      </c>
      <c r="L247">
        <v>186.5</v>
      </c>
      <c r="M247">
        <f t="shared" si="83"/>
        <v>189.20000000000002</v>
      </c>
      <c r="N247">
        <v>163.80000000000001</v>
      </c>
      <c r="O247">
        <f t="shared" si="84"/>
        <v>167.46666666666667</v>
      </c>
      <c r="P247">
        <v>199.7</v>
      </c>
      <c r="Q247">
        <f t="shared" si="85"/>
        <v>192.73333333333335</v>
      </c>
      <c r="R247">
        <v>169.8</v>
      </c>
      <c r="S247">
        <f t="shared" si="86"/>
        <v>168.7</v>
      </c>
      <c r="T247">
        <v>121.9</v>
      </c>
      <c r="U247">
        <f t="shared" si="87"/>
        <v>121.46666666666665</v>
      </c>
      <c r="V247">
        <v>199.9</v>
      </c>
      <c r="W247">
        <f t="shared" si="88"/>
        <v>196.93333333333331</v>
      </c>
      <c r="X247">
        <v>169.9</v>
      </c>
      <c r="Y247">
        <f t="shared" si="89"/>
        <v>169.36666666666667</v>
      </c>
      <c r="Z247">
        <v>188.3</v>
      </c>
      <c r="AA247">
        <f t="shared" si="90"/>
        <v>187.33333333333334</v>
      </c>
      <c r="AB247">
        <v>179.6</v>
      </c>
      <c r="AC247">
        <f t="shared" si="91"/>
        <v>177.9</v>
      </c>
      <c r="AD247">
        <v>196.3</v>
      </c>
      <c r="AE247">
        <f t="shared" si="92"/>
        <v>195.73333333333335</v>
      </c>
      <c r="AF247">
        <v>181.9</v>
      </c>
      <c r="AG247">
        <f t="shared" si="93"/>
        <v>180.76666666666665</v>
      </c>
      <c r="AH247">
        <v>175.3</v>
      </c>
      <c r="AI247">
        <f t="shared" si="94"/>
        <v>174.1</v>
      </c>
      <c r="AJ247">
        <v>181</v>
      </c>
      <c r="AK247">
        <f t="shared" si="95"/>
        <v>179.79999999999998</v>
      </c>
      <c r="AL247">
        <v>171.2</v>
      </c>
      <c r="AM247">
        <f t="shared" si="96"/>
        <v>169.9</v>
      </c>
      <c r="AN247">
        <v>180.5</v>
      </c>
      <c r="AO247">
        <f t="shared" si="97"/>
        <v>179.6</v>
      </c>
      <c r="AP247">
        <v>170.4</v>
      </c>
      <c r="AQ247">
        <f t="shared" si="98"/>
        <v>169.46666666666667</v>
      </c>
      <c r="AR247">
        <v>178.7</v>
      </c>
      <c r="AS247">
        <f t="shared" si="99"/>
        <v>177.76666666666665</v>
      </c>
      <c r="AT247">
        <v>162.9</v>
      </c>
      <c r="AU247">
        <f t="shared" si="100"/>
        <v>162.36666666666667</v>
      </c>
      <c r="AV247">
        <v>168.2</v>
      </c>
      <c r="AW247">
        <f t="shared" si="101"/>
        <v>167.56666666666666</v>
      </c>
      <c r="AX247">
        <v>173.4</v>
      </c>
      <c r="AY247">
        <f t="shared" si="102"/>
        <v>172.93333333333331</v>
      </c>
      <c r="AZ247">
        <v>172.1</v>
      </c>
      <c r="BA247">
        <f t="shared" si="103"/>
        <v>171.4</v>
      </c>
      <c r="BB247">
        <v>170.5</v>
      </c>
      <c r="BC247">
        <f t="shared" si="104"/>
        <v>169.76666666666665</v>
      </c>
      <c r="BD247">
        <v>176.7</v>
      </c>
      <c r="BE247">
        <f t="shared" si="105"/>
        <v>175.43333333333331</v>
      </c>
    </row>
    <row r="248" spans="1:57" hidden="1">
      <c r="A248" t="s">
        <v>34</v>
      </c>
      <c r="B248">
        <v>2022</v>
      </c>
      <c r="C248" t="s">
        <v>45</v>
      </c>
      <c r="D248">
        <v>167.4</v>
      </c>
      <c r="E248">
        <f t="shared" si="79"/>
        <v>165.36666666666667</v>
      </c>
      <c r="F248">
        <v>209.4</v>
      </c>
      <c r="G248">
        <f t="shared" si="80"/>
        <v>209.83333333333334</v>
      </c>
      <c r="H248">
        <v>181.4</v>
      </c>
      <c r="I248">
        <f t="shared" si="81"/>
        <v>174</v>
      </c>
      <c r="J248">
        <v>172.3</v>
      </c>
      <c r="K248">
        <f t="shared" si="82"/>
        <v>170.9666666666667</v>
      </c>
      <c r="L248">
        <v>188.9</v>
      </c>
      <c r="M248">
        <f t="shared" si="83"/>
        <v>188.03333333333333</v>
      </c>
      <c r="N248">
        <v>160.69999999999999</v>
      </c>
      <c r="O248">
        <f t="shared" si="84"/>
        <v>163.4</v>
      </c>
      <c r="P248">
        <v>183.1</v>
      </c>
      <c r="Q248">
        <f t="shared" si="85"/>
        <v>191.53333333333333</v>
      </c>
      <c r="R248">
        <v>170.5</v>
      </c>
      <c r="S248">
        <f t="shared" si="86"/>
        <v>169.79999999999998</v>
      </c>
      <c r="T248">
        <v>122.1</v>
      </c>
      <c r="U248">
        <f t="shared" si="87"/>
        <v>121.86666666666667</v>
      </c>
      <c r="V248">
        <v>202.8</v>
      </c>
      <c r="W248">
        <f t="shared" si="88"/>
        <v>200</v>
      </c>
      <c r="X248">
        <v>170.4</v>
      </c>
      <c r="Y248">
        <f t="shared" si="89"/>
        <v>169.9</v>
      </c>
      <c r="Z248">
        <v>189.5</v>
      </c>
      <c r="AA248">
        <f t="shared" si="90"/>
        <v>188.4</v>
      </c>
      <c r="AB248">
        <v>178.3</v>
      </c>
      <c r="AC248">
        <f t="shared" si="91"/>
        <v>178.56666666666669</v>
      </c>
      <c r="AD248">
        <v>196.9</v>
      </c>
      <c r="AE248">
        <f t="shared" si="92"/>
        <v>196.36666666666667</v>
      </c>
      <c r="AF248">
        <v>183.1</v>
      </c>
      <c r="AG248">
        <f t="shared" si="93"/>
        <v>181.96666666666667</v>
      </c>
      <c r="AH248">
        <v>176.2</v>
      </c>
      <c r="AI248">
        <f t="shared" si="94"/>
        <v>175.26666666666665</v>
      </c>
      <c r="AJ248">
        <v>182.1</v>
      </c>
      <c r="AK248">
        <f t="shared" si="95"/>
        <v>181</v>
      </c>
      <c r="AL248">
        <v>171.8</v>
      </c>
      <c r="AM248">
        <f t="shared" si="96"/>
        <v>170.83333333333334</v>
      </c>
      <c r="AN248">
        <v>181.3</v>
      </c>
      <c r="AO248">
        <f t="shared" si="97"/>
        <v>180.43333333333331</v>
      </c>
      <c r="AP248">
        <v>171.4</v>
      </c>
      <c r="AQ248">
        <f t="shared" si="98"/>
        <v>170.43333333333331</v>
      </c>
      <c r="AR248">
        <v>179.8</v>
      </c>
      <c r="AS248">
        <f t="shared" si="99"/>
        <v>178.76666666666665</v>
      </c>
      <c r="AT248">
        <v>163</v>
      </c>
      <c r="AU248">
        <f t="shared" si="100"/>
        <v>162.73333333333335</v>
      </c>
      <c r="AV248">
        <v>168.5</v>
      </c>
      <c r="AW248">
        <f t="shared" si="101"/>
        <v>168.1</v>
      </c>
      <c r="AX248">
        <v>173.7</v>
      </c>
      <c r="AY248">
        <f t="shared" si="102"/>
        <v>173.4</v>
      </c>
      <c r="AZ248">
        <v>173.6</v>
      </c>
      <c r="BA248">
        <f t="shared" si="103"/>
        <v>172.20000000000002</v>
      </c>
      <c r="BB248">
        <v>171.1</v>
      </c>
      <c r="BC248">
        <f t="shared" si="104"/>
        <v>170.43333333333331</v>
      </c>
      <c r="BD248">
        <v>176.5</v>
      </c>
      <c r="BE248">
        <f t="shared" si="105"/>
        <v>176.16666666666666</v>
      </c>
    </row>
    <row r="249" spans="1:57" hidden="1">
      <c r="A249" t="s">
        <v>34</v>
      </c>
      <c r="B249">
        <v>2022</v>
      </c>
      <c r="C249" t="s">
        <v>46</v>
      </c>
      <c r="D249">
        <v>169.2</v>
      </c>
      <c r="E249">
        <f t="shared" si="79"/>
        <v>167.26666666666668</v>
      </c>
      <c r="F249">
        <v>209</v>
      </c>
      <c r="G249">
        <f t="shared" si="80"/>
        <v>209.76666666666665</v>
      </c>
      <c r="H249">
        <v>190.2</v>
      </c>
      <c r="I249">
        <f t="shared" si="81"/>
        <v>180.83333333333334</v>
      </c>
      <c r="J249">
        <v>173.6</v>
      </c>
      <c r="K249">
        <f t="shared" si="82"/>
        <v>172.26666666666668</v>
      </c>
      <c r="L249">
        <v>188.5</v>
      </c>
      <c r="M249">
        <f t="shared" si="83"/>
        <v>187.96666666666667</v>
      </c>
      <c r="N249">
        <v>158</v>
      </c>
      <c r="O249">
        <f t="shared" si="84"/>
        <v>160.83333333333334</v>
      </c>
      <c r="P249">
        <v>159.9</v>
      </c>
      <c r="Q249">
        <f t="shared" si="85"/>
        <v>180.89999999999998</v>
      </c>
      <c r="R249">
        <v>170.8</v>
      </c>
      <c r="S249">
        <f t="shared" si="86"/>
        <v>170.36666666666667</v>
      </c>
      <c r="T249">
        <v>121.8</v>
      </c>
      <c r="U249">
        <f t="shared" si="87"/>
        <v>121.93333333333334</v>
      </c>
      <c r="V249">
        <v>205.2</v>
      </c>
      <c r="W249">
        <f t="shared" si="88"/>
        <v>202.63333333333335</v>
      </c>
      <c r="X249">
        <v>171</v>
      </c>
      <c r="Y249">
        <f t="shared" si="89"/>
        <v>170.43333333333334</v>
      </c>
      <c r="Z249">
        <v>190.3</v>
      </c>
      <c r="AA249">
        <f t="shared" si="90"/>
        <v>189.36666666666667</v>
      </c>
      <c r="AB249">
        <v>175.9</v>
      </c>
      <c r="AC249">
        <f t="shared" si="91"/>
        <v>177.93333333333331</v>
      </c>
      <c r="AD249">
        <v>197.3</v>
      </c>
      <c r="AE249">
        <f t="shared" si="92"/>
        <v>196.83333333333334</v>
      </c>
      <c r="AF249">
        <v>184</v>
      </c>
      <c r="AG249">
        <f t="shared" si="93"/>
        <v>183</v>
      </c>
      <c r="AH249">
        <v>177</v>
      </c>
      <c r="AI249">
        <f t="shared" si="94"/>
        <v>176.16666666666666</v>
      </c>
      <c r="AJ249">
        <v>183</v>
      </c>
      <c r="AK249">
        <f t="shared" si="95"/>
        <v>182.03333333333333</v>
      </c>
      <c r="AL249">
        <v>170.7</v>
      </c>
      <c r="AM249">
        <f t="shared" si="96"/>
        <v>171.23333333333335</v>
      </c>
      <c r="AN249">
        <v>182</v>
      </c>
      <c r="AO249">
        <f t="shared" si="97"/>
        <v>181.26666666666665</v>
      </c>
      <c r="AP249">
        <v>172.1</v>
      </c>
      <c r="AQ249">
        <f t="shared" si="98"/>
        <v>171.29999999999998</v>
      </c>
      <c r="AR249">
        <v>181.1</v>
      </c>
      <c r="AS249">
        <f t="shared" si="99"/>
        <v>179.86666666666667</v>
      </c>
      <c r="AT249">
        <v>163.4</v>
      </c>
      <c r="AU249">
        <f t="shared" si="100"/>
        <v>163.1</v>
      </c>
      <c r="AV249">
        <v>168.9</v>
      </c>
      <c r="AW249">
        <f t="shared" si="101"/>
        <v>168.53333333333333</v>
      </c>
      <c r="AX249">
        <v>174.1</v>
      </c>
      <c r="AY249">
        <f t="shared" si="102"/>
        <v>173.73333333333335</v>
      </c>
      <c r="AZ249">
        <v>175.8</v>
      </c>
      <c r="BA249">
        <f t="shared" si="103"/>
        <v>173.83333333333334</v>
      </c>
      <c r="BB249">
        <v>172</v>
      </c>
      <c r="BC249">
        <f t="shared" si="104"/>
        <v>171.20000000000002</v>
      </c>
      <c r="BD249">
        <v>175.7</v>
      </c>
      <c r="BE249">
        <f t="shared" si="105"/>
        <v>176.29999999999998</v>
      </c>
    </row>
    <row r="250" spans="1:57" hidden="1">
      <c r="A250" t="s">
        <v>34</v>
      </c>
      <c r="B250">
        <v>2023</v>
      </c>
      <c r="C250" t="s">
        <v>31</v>
      </c>
      <c r="D250">
        <v>173.8</v>
      </c>
      <c r="E250">
        <f t="shared" si="79"/>
        <v>170.13333333333335</v>
      </c>
      <c r="F250">
        <v>210.7</v>
      </c>
      <c r="G250">
        <f t="shared" si="80"/>
        <v>209.69999999999996</v>
      </c>
      <c r="H250">
        <v>194.5</v>
      </c>
      <c r="I250">
        <f t="shared" si="81"/>
        <v>188.70000000000002</v>
      </c>
      <c r="J250">
        <v>174.6</v>
      </c>
      <c r="K250">
        <f t="shared" si="82"/>
        <v>173.5</v>
      </c>
      <c r="L250">
        <v>187.2</v>
      </c>
      <c r="M250">
        <f t="shared" si="83"/>
        <v>188.19999999999996</v>
      </c>
      <c r="N250">
        <v>158.30000000000001</v>
      </c>
      <c r="O250">
        <f t="shared" si="84"/>
        <v>159</v>
      </c>
      <c r="P250">
        <v>153.9</v>
      </c>
      <c r="Q250">
        <f t="shared" si="85"/>
        <v>165.63333333333333</v>
      </c>
      <c r="R250">
        <v>170.9</v>
      </c>
      <c r="S250">
        <f t="shared" si="86"/>
        <v>170.73333333333335</v>
      </c>
      <c r="T250">
        <v>121.1</v>
      </c>
      <c r="U250">
        <f t="shared" si="87"/>
        <v>121.66666666666667</v>
      </c>
      <c r="V250">
        <v>208.4</v>
      </c>
      <c r="W250">
        <f t="shared" si="88"/>
        <v>205.46666666666667</v>
      </c>
      <c r="X250">
        <v>171.4</v>
      </c>
      <c r="Y250">
        <f t="shared" si="89"/>
        <v>170.93333333333331</v>
      </c>
      <c r="Z250">
        <v>191.2</v>
      </c>
      <c r="AA250">
        <f t="shared" si="90"/>
        <v>190.33333333333334</v>
      </c>
      <c r="AB250">
        <v>176.7</v>
      </c>
      <c r="AC250">
        <f t="shared" si="91"/>
        <v>176.9666666666667</v>
      </c>
      <c r="AD250">
        <v>198.2</v>
      </c>
      <c r="AE250">
        <f t="shared" si="92"/>
        <v>197.4666666666667</v>
      </c>
      <c r="AF250">
        <v>184.9</v>
      </c>
      <c r="AG250">
        <f t="shared" si="93"/>
        <v>184</v>
      </c>
      <c r="AH250">
        <v>177.6</v>
      </c>
      <c r="AI250">
        <f t="shared" si="94"/>
        <v>176.93333333333331</v>
      </c>
      <c r="AJ250">
        <v>183.8</v>
      </c>
      <c r="AK250">
        <f t="shared" si="95"/>
        <v>182.9666666666667</v>
      </c>
      <c r="AL250">
        <v>172.1</v>
      </c>
      <c r="AM250">
        <f t="shared" si="96"/>
        <v>171.53333333333333</v>
      </c>
      <c r="AN250">
        <v>182</v>
      </c>
      <c r="AO250">
        <f t="shared" si="97"/>
        <v>181.76666666666665</v>
      </c>
      <c r="AP250">
        <v>172.9</v>
      </c>
      <c r="AQ250">
        <f t="shared" si="98"/>
        <v>172.13333333333333</v>
      </c>
      <c r="AR250">
        <v>182.3</v>
      </c>
      <c r="AS250">
        <f t="shared" si="99"/>
        <v>181.06666666666669</v>
      </c>
      <c r="AT250">
        <v>163.6</v>
      </c>
      <c r="AU250">
        <f t="shared" si="100"/>
        <v>163.33333333333334</v>
      </c>
      <c r="AV250">
        <v>169.5</v>
      </c>
      <c r="AW250">
        <f t="shared" si="101"/>
        <v>168.96666666666667</v>
      </c>
      <c r="AX250">
        <v>174.3</v>
      </c>
      <c r="AY250">
        <f t="shared" si="102"/>
        <v>174.0333333333333</v>
      </c>
      <c r="AZ250">
        <v>178.6</v>
      </c>
      <c r="BA250">
        <f t="shared" si="103"/>
        <v>176</v>
      </c>
      <c r="BB250">
        <v>172.8</v>
      </c>
      <c r="BC250">
        <f t="shared" si="104"/>
        <v>171.9666666666667</v>
      </c>
      <c r="BD250">
        <v>176.5</v>
      </c>
      <c r="BE250">
        <f t="shared" si="105"/>
        <v>176.23333333333335</v>
      </c>
    </row>
    <row r="251" spans="1:57" hidden="1">
      <c r="A251" t="s">
        <v>34</v>
      </c>
      <c r="B251">
        <v>2023</v>
      </c>
      <c r="C251" t="s">
        <v>35</v>
      </c>
      <c r="D251">
        <v>174.4</v>
      </c>
      <c r="E251">
        <f t="shared" si="79"/>
        <v>172.46666666666667</v>
      </c>
      <c r="F251">
        <v>207.7</v>
      </c>
      <c r="G251">
        <f t="shared" si="80"/>
        <v>209.13333333333333</v>
      </c>
      <c r="H251">
        <v>175.2</v>
      </c>
      <c r="I251">
        <f t="shared" si="81"/>
        <v>186.63333333333333</v>
      </c>
      <c r="J251">
        <v>177.3</v>
      </c>
      <c r="K251">
        <f t="shared" si="82"/>
        <v>175.16666666666666</v>
      </c>
      <c r="L251">
        <v>179.3</v>
      </c>
      <c r="M251">
        <f t="shared" si="83"/>
        <v>185</v>
      </c>
      <c r="N251">
        <v>169.5</v>
      </c>
      <c r="O251">
        <f t="shared" si="84"/>
        <v>161.93333333333334</v>
      </c>
      <c r="P251">
        <v>152.69999999999999</v>
      </c>
      <c r="Q251">
        <f t="shared" si="85"/>
        <v>155.5</v>
      </c>
      <c r="R251">
        <v>171</v>
      </c>
      <c r="S251">
        <f t="shared" si="86"/>
        <v>170.9</v>
      </c>
      <c r="T251">
        <v>120</v>
      </c>
      <c r="U251">
        <f t="shared" si="87"/>
        <v>120.96666666666665</v>
      </c>
      <c r="V251">
        <v>209.7</v>
      </c>
      <c r="W251">
        <f t="shared" si="88"/>
        <v>207.76666666666665</v>
      </c>
      <c r="X251">
        <v>172.3</v>
      </c>
      <c r="Y251">
        <f t="shared" si="89"/>
        <v>171.56666666666669</v>
      </c>
      <c r="Z251">
        <v>193</v>
      </c>
      <c r="AA251">
        <f t="shared" si="90"/>
        <v>191.5</v>
      </c>
      <c r="AB251">
        <v>177</v>
      </c>
      <c r="AC251">
        <f t="shared" si="91"/>
        <v>176.53333333333333</v>
      </c>
      <c r="AD251">
        <v>199.5</v>
      </c>
      <c r="AE251">
        <f t="shared" si="92"/>
        <v>198.33333333333334</v>
      </c>
      <c r="AF251">
        <v>186.2</v>
      </c>
      <c r="AG251">
        <f t="shared" si="93"/>
        <v>185.0333333333333</v>
      </c>
      <c r="AH251">
        <v>178.7</v>
      </c>
      <c r="AI251">
        <f t="shared" si="94"/>
        <v>177.76666666666665</v>
      </c>
      <c r="AJ251">
        <v>185.1</v>
      </c>
      <c r="AK251">
        <f t="shared" si="95"/>
        <v>183.96666666666667</v>
      </c>
      <c r="AL251">
        <v>173.5</v>
      </c>
      <c r="AM251">
        <f t="shared" si="96"/>
        <v>172.1</v>
      </c>
      <c r="AN251">
        <v>182.1</v>
      </c>
      <c r="AO251">
        <f t="shared" si="97"/>
        <v>182.03333333333333</v>
      </c>
      <c r="AP251">
        <v>174.2</v>
      </c>
      <c r="AQ251">
        <f t="shared" si="98"/>
        <v>173.06666666666669</v>
      </c>
      <c r="AR251">
        <v>184.4</v>
      </c>
      <c r="AS251">
        <f t="shared" si="99"/>
        <v>182.6</v>
      </c>
      <c r="AT251">
        <v>164.2</v>
      </c>
      <c r="AU251">
        <f t="shared" si="100"/>
        <v>163.73333333333332</v>
      </c>
      <c r="AV251">
        <v>170.3</v>
      </c>
      <c r="AW251">
        <f t="shared" si="101"/>
        <v>169.56666666666666</v>
      </c>
      <c r="AX251">
        <v>175</v>
      </c>
      <c r="AY251">
        <f t="shared" si="102"/>
        <v>174.46666666666667</v>
      </c>
      <c r="AZ251">
        <v>181</v>
      </c>
      <c r="BA251">
        <f t="shared" si="103"/>
        <v>178.46666666666667</v>
      </c>
      <c r="BB251">
        <v>174.1</v>
      </c>
      <c r="BC251">
        <f t="shared" si="104"/>
        <v>172.96666666666667</v>
      </c>
      <c r="BD251">
        <v>177.2</v>
      </c>
      <c r="BE251">
        <f t="shared" si="105"/>
        <v>176.46666666666667</v>
      </c>
    </row>
    <row r="252" spans="1:57" hidden="1">
      <c r="A252" t="s">
        <v>34</v>
      </c>
      <c r="B252">
        <v>2023</v>
      </c>
      <c r="C252" t="s">
        <v>36</v>
      </c>
      <c r="D252">
        <v>174.4</v>
      </c>
      <c r="E252">
        <f t="shared" si="79"/>
        <v>174.20000000000002</v>
      </c>
      <c r="F252">
        <v>207.7</v>
      </c>
      <c r="G252">
        <f t="shared" si="80"/>
        <v>208.69999999999996</v>
      </c>
      <c r="H252">
        <v>175.2</v>
      </c>
      <c r="I252">
        <f t="shared" si="81"/>
        <v>181.63333333333333</v>
      </c>
      <c r="J252">
        <v>177.3</v>
      </c>
      <c r="K252">
        <f t="shared" si="82"/>
        <v>176.4</v>
      </c>
      <c r="L252">
        <v>179.2</v>
      </c>
      <c r="M252">
        <f t="shared" si="83"/>
        <v>181.9</v>
      </c>
      <c r="N252">
        <v>169.5</v>
      </c>
      <c r="O252">
        <f t="shared" si="84"/>
        <v>165.76666666666668</v>
      </c>
      <c r="P252">
        <v>152.80000000000001</v>
      </c>
      <c r="Q252">
        <f t="shared" si="85"/>
        <v>153.13333333333335</v>
      </c>
      <c r="R252">
        <v>171.1</v>
      </c>
      <c r="S252">
        <f t="shared" si="86"/>
        <v>171</v>
      </c>
      <c r="T252">
        <v>120</v>
      </c>
      <c r="U252">
        <f t="shared" si="87"/>
        <v>120.36666666666667</v>
      </c>
      <c r="V252">
        <v>209.7</v>
      </c>
      <c r="W252">
        <f t="shared" si="88"/>
        <v>209.26666666666665</v>
      </c>
      <c r="X252">
        <v>172.3</v>
      </c>
      <c r="Y252">
        <f t="shared" si="89"/>
        <v>172</v>
      </c>
      <c r="Z252">
        <v>193</v>
      </c>
      <c r="AA252">
        <f t="shared" si="90"/>
        <v>192.4</v>
      </c>
      <c r="AB252">
        <v>177</v>
      </c>
      <c r="AC252">
        <f t="shared" si="91"/>
        <v>176.9</v>
      </c>
      <c r="AD252">
        <v>199.5</v>
      </c>
      <c r="AE252">
        <f t="shared" si="92"/>
        <v>199.06666666666669</v>
      </c>
      <c r="AF252">
        <v>186.1</v>
      </c>
      <c r="AG252">
        <f t="shared" si="93"/>
        <v>185.73333333333335</v>
      </c>
      <c r="AH252">
        <v>178.7</v>
      </c>
      <c r="AI252">
        <f t="shared" si="94"/>
        <v>178.33333333333334</v>
      </c>
      <c r="AJ252">
        <v>185.1</v>
      </c>
      <c r="AK252">
        <f t="shared" si="95"/>
        <v>184.66666666666666</v>
      </c>
      <c r="AL252">
        <v>173.5</v>
      </c>
      <c r="AM252">
        <f t="shared" si="96"/>
        <v>173.03333333333333</v>
      </c>
      <c r="AN252">
        <v>181.9</v>
      </c>
      <c r="AO252">
        <f t="shared" si="97"/>
        <v>182</v>
      </c>
      <c r="AP252">
        <v>174.2</v>
      </c>
      <c r="AQ252">
        <f t="shared" si="98"/>
        <v>173.76666666666665</v>
      </c>
      <c r="AR252">
        <v>184.4</v>
      </c>
      <c r="AS252">
        <f t="shared" si="99"/>
        <v>183.70000000000002</v>
      </c>
      <c r="AT252">
        <v>164.2</v>
      </c>
      <c r="AU252">
        <f t="shared" si="100"/>
        <v>163.99999999999997</v>
      </c>
      <c r="AV252">
        <v>170.3</v>
      </c>
      <c r="AW252">
        <f t="shared" si="101"/>
        <v>170.03333333333333</v>
      </c>
      <c r="AX252">
        <v>175</v>
      </c>
      <c r="AY252">
        <f t="shared" si="102"/>
        <v>174.76666666666665</v>
      </c>
      <c r="AZ252">
        <v>181</v>
      </c>
      <c r="BA252">
        <f t="shared" si="103"/>
        <v>180.20000000000002</v>
      </c>
      <c r="BB252">
        <v>174.1</v>
      </c>
      <c r="BC252">
        <f t="shared" si="104"/>
        <v>173.66666666666666</v>
      </c>
      <c r="BD252">
        <v>177.2</v>
      </c>
      <c r="BE252">
        <f t="shared" si="105"/>
        <v>176.96666666666667</v>
      </c>
    </row>
    <row r="253" spans="1:57" hidden="1">
      <c r="A253" t="s">
        <v>34</v>
      </c>
      <c r="B253">
        <v>2023</v>
      </c>
      <c r="C253" t="s">
        <v>37</v>
      </c>
      <c r="D253">
        <v>173.8</v>
      </c>
      <c r="E253">
        <f t="shared" si="79"/>
        <v>174.20000000000002</v>
      </c>
      <c r="F253">
        <v>209.3</v>
      </c>
      <c r="G253">
        <f t="shared" si="80"/>
        <v>208.23333333333335</v>
      </c>
      <c r="H253">
        <v>169.6</v>
      </c>
      <c r="I253">
        <f t="shared" si="81"/>
        <v>173.33333333333334</v>
      </c>
      <c r="J253">
        <v>178.4</v>
      </c>
      <c r="K253">
        <f t="shared" si="82"/>
        <v>177.66666666666666</v>
      </c>
      <c r="L253">
        <v>174.9</v>
      </c>
      <c r="M253">
        <f t="shared" si="83"/>
        <v>177.79999999999998</v>
      </c>
      <c r="N253">
        <v>176.3</v>
      </c>
      <c r="O253">
        <f t="shared" si="84"/>
        <v>171.76666666666665</v>
      </c>
      <c r="P253">
        <v>155.4</v>
      </c>
      <c r="Q253">
        <f t="shared" si="85"/>
        <v>153.63333333333333</v>
      </c>
      <c r="R253">
        <v>173.4</v>
      </c>
      <c r="S253">
        <f t="shared" si="86"/>
        <v>171.83333333333334</v>
      </c>
      <c r="T253">
        <v>121.3</v>
      </c>
      <c r="U253">
        <f t="shared" si="87"/>
        <v>120.43333333333334</v>
      </c>
      <c r="V253">
        <v>212.9</v>
      </c>
      <c r="W253">
        <f t="shared" si="88"/>
        <v>210.76666666666665</v>
      </c>
      <c r="X253">
        <v>172.9</v>
      </c>
      <c r="Y253">
        <f t="shared" si="89"/>
        <v>172.5</v>
      </c>
      <c r="Z253">
        <v>193.5</v>
      </c>
      <c r="AA253">
        <f t="shared" si="90"/>
        <v>193.16666666666666</v>
      </c>
      <c r="AB253">
        <v>177.9</v>
      </c>
      <c r="AC253">
        <f t="shared" si="91"/>
        <v>177.29999999999998</v>
      </c>
      <c r="AD253">
        <v>200.6</v>
      </c>
      <c r="AE253">
        <f t="shared" si="92"/>
        <v>199.86666666666667</v>
      </c>
      <c r="AF253">
        <v>186.9</v>
      </c>
      <c r="AG253">
        <f t="shared" si="93"/>
        <v>186.39999999999998</v>
      </c>
      <c r="AH253">
        <v>179.2</v>
      </c>
      <c r="AI253">
        <f t="shared" si="94"/>
        <v>178.86666666666665</v>
      </c>
      <c r="AJ253">
        <v>185.7</v>
      </c>
      <c r="AK253">
        <f t="shared" si="95"/>
        <v>185.29999999999998</v>
      </c>
      <c r="AL253">
        <v>175.2</v>
      </c>
      <c r="AM253">
        <f t="shared" si="96"/>
        <v>174.06666666666669</v>
      </c>
      <c r="AN253">
        <v>181.7</v>
      </c>
      <c r="AO253">
        <f t="shared" si="97"/>
        <v>181.9</v>
      </c>
      <c r="AP253">
        <v>174.6</v>
      </c>
      <c r="AQ253">
        <f t="shared" si="98"/>
        <v>174.33333333333334</v>
      </c>
      <c r="AR253">
        <v>185</v>
      </c>
      <c r="AS253">
        <f t="shared" si="99"/>
        <v>184.6</v>
      </c>
      <c r="AT253">
        <v>164.5</v>
      </c>
      <c r="AU253">
        <f t="shared" si="100"/>
        <v>164.29999999999998</v>
      </c>
      <c r="AV253">
        <v>170.7</v>
      </c>
      <c r="AW253">
        <f t="shared" si="101"/>
        <v>170.43333333333334</v>
      </c>
      <c r="AX253">
        <v>176.4</v>
      </c>
      <c r="AY253">
        <f t="shared" si="102"/>
        <v>175.46666666666667</v>
      </c>
      <c r="AZ253">
        <v>184</v>
      </c>
      <c r="BA253">
        <f t="shared" si="103"/>
        <v>182</v>
      </c>
      <c r="BB253">
        <v>175</v>
      </c>
      <c r="BC253">
        <f t="shared" si="104"/>
        <v>174.4</v>
      </c>
      <c r="BD253">
        <v>178.1</v>
      </c>
      <c r="BE253">
        <f t="shared" si="105"/>
        <v>177.5</v>
      </c>
    </row>
    <row r="254" spans="1:57" hidden="1">
      <c r="A254" t="s">
        <v>34</v>
      </c>
      <c r="B254">
        <v>2023</v>
      </c>
      <c r="C254" t="s">
        <v>38</v>
      </c>
      <c r="D254">
        <v>173.7</v>
      </c>
      <c r="E254">
        <f t="shared" si="79"/>
        <v>173.9666666666667</v>
      </c>
      <c r="F254">
        <v>214.3</v>
      </c>
      <c r="G254">
        <f t="shared" si="80"/>
        <v>210.43333333333331</v>
      </c>
      <c r="H254">
        <v>173.2</v>
      </c>
      <c r="I254">
        <f t="shared" si="81"/>
        <v>172.66666666666666</v>
      </c>
      <c r="J254">
        <v>179.5</v>
      </c>
      <c r="K254">
        <f t="shared" si="82"/>
        <v>178.4</v>
      </c>
      <c r="L254">
        <v>170</v>
      </c>
      <c r="M254">
        <f t="shared" si="83"/>
        <v>174.70000000000002</v>
      </c>
      <c r="N254">
        <v>172.2</v>
      </c>
      <c r="O254">
        <f t="shared" si="84"/>
        <v>172.66666666666666</v>
      </c>
      <c r="P254">
        <v>161</v>
      </c>
      <c r="Q254">
        <f t="shared" si="85"/>
        <v>156.4</v>
      </c>
      <c r="R254">
        <v>175.6</v>
      </c>
      <c r="S254">
        <f t="shared" si="86"/>
        <v>173.36666666666667</v>
      </c>
      <c r="T254">
        <v>122.7</v>
      </c>
      <c r="U254">
        <f t="shared" si="87"/>
        <v>121.33333333333333</v>
      </c>
      <c r="V254">
        <v>218</v>
      </c>
      <c r="W254">
        <f t="shared" si="88"/>
        <v>213.53333333333333</v>
      </c>
      <c r="X254">
        <v>173.4</v>
      </c>
      <c r="Y254">
        <f t="shared" si="89"/>
        <v>172.86666666666667</v>
      </c>
      <c r="Z254">
        <v>194.2</v>
      </c>
      <c r="AA254">
        <f t="shared" si="90"/>
        <v>193.56666666666669</v>
      </c>
      <c r="AB254">
        <v>179.1</v>
      </c>
      <c r="AC254">
        <f t="shared" si="91"/>
        <v>178</v>
      </c>
      <c r="AD254">
        <v>201</v>
      </c>
      <c r="AE254">
        <f t="shared" si="92"/>
        <v>200.36666666666667</v>
      </c>
      <c r="AF254">
        <v>187.3</v>
      </c>
      <c r="AG254">
        <f t="shared" si="93"/>
        <v>186.76666666666665</v>
      </c>
      <c r="AH254">
        <v>179.7</v>
      </c>
      <c r="AI254">
        <f t="shared" si="94"/>
        <v>179.19999999999996</v>
      </c>
      <c r="AJ254">
        <v>186.2</v>
      </c>
      <c r="AK254">
        <f t="shared" si="95"/>
        <v>185.66666666666666</v>
      </c>
      <c r="AL254">
        <v>175.6</v>
      </c>
      <c r="AM254">
        <f t="shared" si="96"/>
        <v>174.76666666666665</v>
      </c>
      <c r="AN254">
        <v>182.8</v>
      </c>
      <c r="AO254">
        <f t="shared" si="97"/>
        <v>182.13333333333335</v>
      </c>
      <c r="AP254">
        <v>175.2</v>
      </c>
      <c r="AQ254">
        <f t="shared" si="98"/>
        <v>174.66666666666666</v>
      </c>
      <c r="AR254">
        <v>185.7</v>
      </c>
      <c r="AS254">
        <f t="shared" si="99"/>
        <v>185.0333333333333</v>
      </c>
      <c r="AT254">
        <v>164.8</v>
      </c>
      <c r="AU254">
        <f t="shared" si="100"/>
        <v>164.5</v>
      </c>
      <c r="AV254">
        <v>171.2</v>
      </c>
      <c r="AW254">
        <f t="shared" si="101"/>
        <v>170.73333333333335</v>
      </c>
      <c r="AX254">
        <v>177.1</v>
      </c>
      <c r="AY254">
        <f t="shared" si="102"/>
        <v>176.16666666666666</v>
      </c>
      <c r="AZ254">
        <v>185.2</v>
      </c>
      <c r="BA254">
        <f t="shared" si="103"/>
        <v>183.4</v>
      </c>
      <c r="BB254">
        <v>175.7</v>
      </c>
      <c r="BC254">
        <f t="shared" si="104"/>
        <v>174.93333333333331</v>
      </c>
      <c r="BD254">
        <v>179.1</v>
      </c>
      <c r="BE254">
        <f t="shared" si="105"/>
        <v>178.13333333333333</v>
      </c>
    </row>
  </sheetData>
  <autoFilter ref="A130:BE254" xr:uid="{A27575B8-FF61-4880-A764-71D6A87F282B}">
    <filterColumn colId="5">
      <filters>
        <filter val="NA"/>
      </filters>
    </filterColumn>
  </autoFilter>
  <conditionalFormatting sqref="D2:D125 F2:BD125">
    <cfRule type="containsText" dxfId="3" priority="2" operator="containsText" text="NA">
      <formula>NOT(ISERROR(SEARCH("NA",D2)))</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1" operator="containsText" id="{3C0BED0C-44EE-4CF6-964B-5F0D0436B5FE}">
            <xm:f>NOT(ISERROR(SEARCH("-",D2)))</xm:f>
            <xm:f>"-"</xm:f>
            <x14:dxf>
              <font>
                <color rgb="FF9C0006"/>
              </font>
              <fill>
                <patternFill>
                  <bgColor rgb="FFFFC7CE"/>
                </patternFill>
              </fill>
            </x14:dxf>
          </x14:cfRule>
          <xm:sqref>D2:D125 F2:BD125</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B06DA-4A83-4452-9B66-F4359237549A}">
  <sheetPr filterMode="1"/>
  <dimension ref="A1:BE125"/>
  <sheetViews>
    <sheetView topLeftCell="AQ1" workbookViewId="0">
      <selection sqref="A1:XFD89"/>
    </sheetView>
  </sheetViews>
  <sheetFormatPr defaultRowHeight="15"/>
  <cols>
    <col min="4" max="4" width="19.7109375" bestFit="1" customWidth="1"/>
    <col min="6" max="6" width="13.140625" bestFit="1" customWidth="1"/>
    <col min="10" max="10" width="16.85546875" bestFit="1" customWidth="1"/>
    <col min="12" max="12" width="11.85546875" bestFit="1" customWidth="1"/>
    <col min="14" max="14" width="6" bestFit="1" customWidth="1"/>
    <col min="16" max="16" width="11" bestFit="1" customWidth="1"/>
    <col min="18" max="18" width="18.85546875" bestFit="1" customWidth="1"/>
    <col min="20" max="20" width="23" bestFit="1" customWidth="1"/>
    <col min="24" max="24" width="23.28515625" bestFit="1" customWidth="1"/>
    <col min="26" max="26" width="33.28515625" bestFit="1" customWidth="1"/>
    <col min="28" max="28" width="19" bestFit="1" customWidth="1"/>
    <col min="30" max="30" width="26.5703125" bestFit="1" customWidth="1"/>
    <col min="34" max="34" width="9.42578125" bestFit="1" customWidth="1"/>
    <col min="36" max="36" width="21" bestFit="1" customWidth="1"/>
    <col min="38" max="38" width="8.140625" bestFit="1" customWidth="1"/>
    <col min="40" max="40" width="13.140625" bestFit="1" customWidth="1"/>
    <col min="42" max="42" width="28.140625" bestFit="1" customWidth="1"/>
    <col min="46" max="46" width="27.85546875" bestFit="1" customWidth="1"/>
    <col min="48" max="48" width="25.85546875" bestFit="1" customWidth="1"/>
    <col min="52" max="52" width="23.5703125" bestFit="1" customWidth="1"/>
    <col min="54" max="54" width="13.85546875" bestFit="1" customWidth="1"/>
    <col min="56" max="56" width="13.5703125" bestFit="1" customWidth="1"/>
  </cols>
  <sheetData>
    <row r="1" spans="1:57">
      <c r="A1" t="s">
        <v>0</v>
      </c>
      <c r="B1" t="s">
        <v>1</v>
      </c>
      <c r="C1" t="s">
        <v>2</v>
      </c>
      <c r="D1" t="s">
        <v>3</v>
      </c>
      <c r="F1" t="s">
        <v>4</v>
      </c>
      <c r="H1" t="s">
        <v>5</v>
      </c>
      <c r="J1" t="s">
        <v>6</v>
      </c>
      <c r="L1" t="s">
        <v>7</v>
      </c>
      <c r="N1" t="s">
        <v>8</v>
      </c>
      <c r="P1" t="s">
        <v>9</v>
      </c>
      <c r="R1" t="s">
        <v>10</v>
      </c>
      <c r="T1" t="s">
        <v>11</v>
      </c>
      <c r="V1" t="s">
        <v>12</v>
      </c>
      <c r="X1" t="s">
        <v>13</v>
      </c>
      <c r="Z1" t="s">
        <v>14</v>
      </c>
      <c r="AB1" t="s">
        <v>15</v>
      </c>
      <c r="AD1" t="s">
        <v>16</v>
      </c>
      <c r="AF1" t="s">
        <v>17</v>
      </c>
      <c r="AH1" t="s">
        <v>18</v>
      </c>
      <c r="AJ1" t="s">
        <v>19</v>
      </c>
      <c r="AL1" t="s">
        <v>20</v>
      </c>
      <c r="AN1" t="s">
        <v>21</v>
      </c>
      <c r="AP1" t="s">
        <v>22</v>
      </c>
      <c r="AR1" t="s">
        <v>23</v>
      </c>
      <c r="AT1" t="s">
        <v>24</v>
      </c>
      <c r="AV1" t="s">
        <v>25</v>
      </c>
      <c r="AX1" t="s">
        <v>26</v>
      </c>
      <c r="AZ1" t="s">
        <v>27</v>
      </c>
      <c r="BB1" t="s">
        <v>28</v>
      </c>
      <c r="BD1" t="s">
        <v>29</v>
      </c>
    </row>
    <row r="2" spans="1:57" hidden="1">
      <c r="A2" t="s">
        <v>33</v>
      </c>
      <c r="B2">
        <v>2013</v>
      </c>
      <c r="C2" t="s">
        <v>31</v>
      </c>
      <c r="D2">
        <v>110.5</v>
      </c>
      <c r="F2">
        <v>109.1</v>
      </c>
      <c r="H2">
        <v>113</v>
      </c>
      <c r="J2">
        <v>103.6</v>
      </c>
      <c r="L2">
        <v>103.4</v>
      </c>
      <c r="N2">
        <v>102.3</v>
      </c>
      <c r="P2">
        <v>102.9</v>
      </c>
      <c r="R2">
        <v>105.8</v>
      </c>
      <c r="T2">
        <v>105.1</v>
      </c>
      <c r="V2">
        <v>101.8</v>
      </c>
      <c r="X2">
        <v>105.1</v>
      </c>
      <c r="Z2">
        <v>107.9</v>
      </c>
      <c r="AB2">
        <v>105.9</v>
      </c>
      <c r="AD2">
        <v>105.2</v>
      </c>
      <c r="AF2">
        <v>105.9</v>
      </c>
      <c r="AH2">
        <v>105</v>
      </c>
      <c r="AJ2">
        <v>105.8</v>
      </c>
      <c r="AL2">
        <v>100.3</v>
      </c>
      <c r="AN2">
        <v>105.4</v>
      </c>
      <c r="AP2">
        <v>104.8</v>
      </c>
      <c r="AR2">
        <v>104.1</v>
      </c>
      <c r="AT2">
        <v>103.2</v>
      </c>
      <c r="AV2">
        <v>102.9</v>
      </c>
      <c r="AX2">
        <v>103.5</v>
      </c>
      <c r="AZ2">
        <v>104.3</v>
      </c>
      <c r="BB2">
        <v>103.7</v>
      </c>
      <c r="BD2">
        <v>104</v>
      </c>
    </row>
    <row r="3" spans="1:57" hidden="1">
      <c r="A3" t="s">
        <v>33</v>
      </c>
      <c r="B3">
        <v>2013</v>
      </c>
      <c r="C3" t="s">
        <v>35</v>
      </c>
      <c r="D3">
        <v>112.9</v>
      </c>
      <c r="F3">
        <v>112.9</v>
      </c>
      <c r="H3">
        <v>116.9</v>
      </c>
      <c r="J3">
        <v>104</v>
      </c>
      <c r="L3">
        <v>103.5</v>
      </c>
      <c r="N3">
        <v>103.1</v>
      </c>
      <c r="P3">
        <v>104.9</v>
      </c>
      <c r="R3">
        <v>104.1</v>
      </c>
      <c r="T3">
        <v>103.8</v>
      </c>
      <c r="V3">
        <v>102.3</v>
      </c>
      <c r="X3">
        <v>106</v>
      </c>
      <c r="Z3">
        <v>109</v>
      </c>
      <c r="AB3">
        <v>107.2</v>
      </c>
      <c r="AD3">
        <v>106</v>
      </c>
      <c r="AF3">
        <v>106.6</v>
      </c>
      <c r="AH3">
        <v>105.5</v>
      </c>
      <c r="AJ3">
        <v>106.4</v>
      </c>
      <c r="AL3">
        <v>100.4</v>
      </c>
      <c r="AN3">
        <v>105.7</v>
      </c>
      <c r="AP3">
        <v>105.2</v>
      </c>
      <c r="AR3">
        <v>104.7</v>
      </c>
      <c r="AT3">
        <v>104.4</v>
      </c>
      <c r="AV3">
        <v>103.3</v>
      </c>
      <c r="AX3">
        <v>103.7</v>
      </c>
      <c r="AZ3">
        <v>104.3</v>
      </c>
      <c r="BB3">
        <v>104.3</v>
      </c>
      <c r="BD3">
        <v>104.7</v>
      </c>
    </row>
    <row r="4" spans="1:57" hidden="1">
      <c r="A4" t="s">
        <v>33</v>
      </c>
      <c r="B4">
        <v>2013</v>
      </c>
      <c r="C4" t="s">
        <v>36</v>
      </c>
      <c r="D4">
        <v>113.9</v>
      </c>
      <c r="E4">
        <f>AVERAGE(D2:D4)</f>
        <v>112.43333333333334</v>
      </c>
      <c r="F4">
        <v>111.4</v>
      </c>
      <c r="G4">
        <f>AVERAGE(F2:F4)</f>
        <v>111.13333333333333</v>
      </c>
      <c r="H4">
        <v>113.2</v>
      </c>
      <c r="I4">
        <f>AVERAGE(H2:H4)</f>
        <v>114.36666666666667</v>
      </c>
      <c r="J4">
        <v>104.3</v>
      </c>
      <c r="K4">
        <f>AVERAGE(J2:J4)</f>
        <v>103.96666666666665</v>
      </c>
      <c r="L4">
        <v>102.7</v>
      </c>
      <c r="M4">
        <f>AVERAGE(L2:L4)</f>
        <v>103.2</v>
      </c>
      <c r="N4">
        <v>104.9</v>
      </c>
      <c r="O4">
        <f>AVERAGE(N2:N4)</f>
        <v>103.43333333333332</v>
      </c>
      <c r="P4">
        <v>103.8</v>
      </c>
      <c r="Q4">
        <f>AVERAGE(P2:P4)</f>
        <v>103.86666666666667</v>
      </c>
      <c r="R4">
        <v>103.5</v>
      </c>
      <c r="S4">
        <f>AVERAGE(R2:R4)</f>
        <v>104.46666666666665</v>
      </c>
      <c r="T4">
        <v>102.6</v>
      </c>
      <c r="U4">
        <f>AVERAGE(T2:T4)</f>
        <v>103.83333333333333</v>
      </c>
      <c r="V4">
        <v>102.4</v>
      </c>
      <c r="W4">
        <f>AVERAGE(V2:V4)</f>
        <v>102.16666666666667</v>
      </c>
      <c r="X4">
        <v>107</v>
      </c>
      <c r="Y4">
        <f>AVERAGE(X2:X4)</f>
        <v>106.03333333333335</v>
      </c>
      <c r="Z4">
        <v>109.8</v>
      </c>
      <c r="AA4">
        <f>AVERAGE(Z2:Z4)</f>
        <v>108.89999999999999</v>
      </c>
      <c r="AB4">
        <v>107.3</v>
      </c>
      <c r="AC4">
        <f>AVERAGE(AB2:AB4)</f>
        <v>106.80000000000001</v>
      </c>
      <c r="AD4">
        <v>106.8</v>
      </c>
      <c r="AE4">
        <f>AVERAGE(AD2:AD4)</f>
        <v>106</v>
      </c>
      <c r="AF4">
        <v>107.2</v>
      </c>
      <c r="AG4">
        <f>AVERAGE(AF2:AF4)</f>
        <v>106.56666666666666</v>
      </c>
      <c r="AH4">
        <v>106</v>
      </c>
      <c r="AI4">
        <f>AVERAGE(AH2:AH4)</f>
        <v>105.5</v>
      </c>
      <c r="AJ4">
        <v>107</v>
      </c>
      <c r="AK4">
        <f>AVERAGE(AJ2:AJ4)</f>
        <v>106.39999999999999</v>
      </c>
      <c r="AL4">
        <v>100.4</v>
      </c>
      <c r="AM4">
        <f>AVERAGE(AL2:AL4)</f>
        <v>100.36666666666667</v>
      </c>
      <c r="AN4">
        <v>106</v>
      </c>
      <c r="AO4">
        <f>AVERAGE(AN2:AN4)</f>
        <v>105.7</v>
      </c>
      <c r="AP4">
        <v>105.7</v>
      </c>
      <c r="AQ4">
        <f>AVERAGE(AP2:AP4)</f>
        <v>105.23333333333333</v>
      </c>
      <c r="AR4">
        <v>105.2</v>
      </c>
      <c r="AS4">
        <f>AVERAGE(AR2:AR4)</f>
        <v>104.66666666666667</v>
      </c>
      <c r="AT4">
        <v>105.5</v>
      </c>
      <c r="AU4">
        <f>AVERAGE(AT2:AT4)</f>
        <v>104.36666666666667</v>
      </c>
      <c r="AV4">
        <v>103.5</v>
      </c>
      <c r="AW4">
        <f>AVERAGE(AV2:AV4)</f>
        <v>103.23333333333333</v>
      </c>
      <c r="AX4">
        <v>103.8</v>
      </c>
      <c r="AY4">
        <f>AVERAGE(AX2:AX4)</f>
        <v>103.66666666666667</v>
      </c>
      <c r="AZ4">
        <v>104.2</v>
      </c>
      <c r="BA4">
        <f>AVERAGE(AZ2:AZ4)</f>
        <v>104.26666666666667</v>
      </c>
      <c r="BB4">
        <v>104.9</v>
      </c>
      <c r="BC4">
        <f>AVERAGE(BB2:BB4)</f>
        <v>104.3</v>
      </c>
      <c r="BD4">
        <v>105</v>
      </c>
      <c r="BE4">
        <f>AVERAGE(BD2:BD4)</f>
        <v>104.56666666666666</v>
      </c>
    </row>
    <row r="5" spans="1:57" hidden="1">
      <c r="A5" t="s">
        <v>33</v>
      </c>
      <c r="B5">
        <v>2013</v>
      </c>
      <c r="C5" t="s">
        <v>37</v>
      </c>
      <c r="D5">
        <v>114.6</v>
      </c>
      <c r="E5">
        <f t="shared" ref="E5:E68" si="0">AVERAGE(D3:D5)</f>
        <v>113.8</v>
      </c>
      <c r="F5">
        <v>113.4</v>
      </c>
      <c r="G5">
        <f t="shared" ref="G5:G68" si="1">AVERAGE(F3:F5)</f>
        <v>112.56666666666668</v>
      </c>
      <c r="H5">
        <v>106</v>
      </c>
      <c r="I5">
        <f t="shared" ref="I5:I68" si="2">AVERAGE(H3:H5)</f>
        <v>112.03333333333335</v>
      </c>
      <c r="J5">
        <v>104.7</v>
      </c>
      <c r="K5">
        <f t="shared" ref="K5:K68" si="3">AVERAGE(J3:J5)</f>
        <v>104.33333333333333</v>
      </c>
      <c r="L5">
        <v>102.1</v>
      </c>
      <c r="M5">
        <f t="shared" ref="M5:M68" si="4">AVERAGE(L3:L5)</f>
        <v>102.76666666666665</v>
      </c>
      <c r="N5">
        <v>109.5</v>
      </c>
      <c r="O5">
        <f t="shared" ref="O5:O68" si="5">AVERAGE(N3:N5)</f>
        <v>105.83333333333333</v>
      </c>
      <c r="P5">
        <v>109.7</v>
      </c>
      <c r="Q5">
        <f t="shared" ref="Q5:Q68" si="6">AVERAGE(P3:P5)</f>
        <v>106.13333333333333</v>
      </c>
      <c r="R5">
        <v>104.6</v>
      </c>
      <c r="S5">
        <f t="shared" ref="S5:S68" si="7">AVERAGE(R3:R5)</f>
        <v>104.06666666666666</v>
      </c>
      <c r="T5">
        <v>102</v>
      </c>
      <c r="U5">
        <f t="shared" ref="U5:U68" si="8">AVERAGE(T3:T5)</f>
        <v>102.8</v>
      </c>
      <c r="V5">
        <v>103.5</v>
      </c>
      <c r="W5">
        <f t="shared" ref="W5:W68" si="9">AVERAGE(V3:V5)</f>
        <v>102.73333333333333</v>
      </c>
      <c r="X5">
        <v>108.2</v>
      </c>
      <c r="Y5">
        <f t="shared" ref="Y5:Y68" si="10">AVERAGE(X3:X5)</f>
        <v>107.06666666666666</v>
      </c>
      <c r="Z5">
        <v>110.6</v>
      </c>
      <c r="AA5">
        <f t="shared" ref="AA5:AA68" si="11">AVERAGE(Z3:Z5)</f>
        <v>109.8</v>
      </c>
      <c r="AB5">
        <v>108.8</v>
      </c>
      <c r="AC5">
        <f t="shared" ref="AC5:AC68" si="12">AVERAGE(AB3:AB5)</f>
        <v>107.76666666666667</v>
      </c>
      <c r="AD5">
        <v>108.5</v>
      </c>
      <c r="AE5">
        <f t="shared" ref="AE5:AE68" si="13">AVERAGE(AD3:AD5)</f>
        <v>107.10000000000001</v>
      </c>
      <c r="AF5">
        <v>107.9</v>
      </c>
      <c r="AG5">
        <f t="shared" ref="AG5:AG68" si="14">AVERAGE(AF3:AF5)</f>
        <v>107.23333333333335</v>
      </c>
      <c r="AH5">
        <v>106.4</v>
      </c>
      <c r="AI5">
        <f t="shared" ref="AI5:AI68" si="15">AVERAGE(AH3:AH5)</f>
        <v>105.96666666666665</v>
      </c>
      <c r="AJ5">
        <v>107.7</v>
      </c>
      <c r="AK5">
        <f t="shared" ref="AK5:AK68" si="16">AVERAGE(AJ3:AJ5)</f>
        <v>107.03333333333335</v>
      </c>
      <c r="AL5">
        <v>100.5</v>
      </c>
      <c r="AM5">
        <f t="shared" ref="AM5:AM68" si="17">AVERAGE(AL3:AL5)</f>
        <v>100.43333333333334</v>
      </c>
      <c r="AN5">
        <v>106.4</v>
      </c>
      <c r="AO5">
        <f t="shared" ref="AO5:AO68" si="18">AVERAGE(AN3:AN5)</f>
        <v>106.03333333333335</v>
      </c>
      <c r="AP5">
        <v>106.5</v>
      </c>
      <c r="AQ5">
        <f t="shared" ref="AQ5:AQ68" si="19">AVERAGE(AP3:AP5)</f>
        <v>105.8</v>
      </c>
      <c r="AR5">
        <v>105.7</v>
      </c>
      <c r="AS5">
        <f t="shared" ref="AS5:AS68" si="20">AVERAGE(AR3:AR5)</f>
        <v>105.2</v>
      </c>
      <c r="AT5">
        <v>105</v>
      </c>
      <c r="AU5">
        <f t="shared" ref="AU5:AU68" si="21">AVERAGE(AT3:AT5)</f>
        <v>104.96666666666665</v>
      </c>
      <c r="AV5">
        <v>104</v>
      </c>
      <c r="AW5">
        <f t="shared" ref="AW5:AW68" si="22">AVERAGE(AV3:AV5)</f>
        <v>103.60000000000001</v>
      </c>
      <c r="AX5">
        <v>105.2</v>
      </c>
      <c r="AY5">
        <f t="shared" ref="AY5:AY68" si="23">AVERAGE(AX3:AX5)</f>
        <v>104.23333333333333</v>
      </c>
      <c r="AZ5">
        <v>103.2</v>
      </c>
      <c r="BA5">
        <f t="shared" ref="BA5:BA68" si="24">AVERAGE(AZ3:AZ5)</f>
        <v>103.89999999999999</v>
      </c>
      <c r="BB5">
        <v>105.1</v>
      </c>
      <c r="BC5">
        <f t="shared" ref="BC5:BC68" si="25">AVERAGE(BB3:BB5)</f>
        <v>104.76666666666665</v>
      </c>
      <c r="BD5">
        <v>105.7</v>
      </c>
      <c r="BE5">
        <f t="shared" ref="BE5:BE68" si="26">AVERAGE(BD3:BD5)</f>
        <v>105.13333333333333</v>
      </c>
    </row>
    <row r="6" spans="1:57" hidden="1">
      <c r="A6" t="s">
        <v>33</v>
      </c>
      <c r="B6">
        <v>2013</v>
      </c>
      <c r="C6" t="s">
        <v>38</v>
      </c>
      <c r="D6">
        <v>115.4</v>
      </c>
      <c r="E6">
        <f t="shared" si="0"/>
        <v>114.63333333333333</v>
      </c>
      <c r="F6">
        <v>114.2</v>
      </c>
      <c r="G6">
        <f t="shared" si="1"/>
        <v>113</v>
      </c>
      <c r="H6">
        <v>102.7</v>
      </c>
      <c r="I6">
        <f t="shared" si="2"/>
        <v>107.3</v>
      </c>
      <c r="J6">
        <v>105.5</v>
      </c>
      <c r="K6">
        <f t="shared" si="3"/>
        <v>104.83333333333333</v>
      </c>
      <c r="L6">
        <v>101.5</v>
      </c>
      <c r="M6">
        <f t="shared" si="4"/>
        <v>102.10000000000001</v>
      </c>
      <c r="N6">
        <v>110.6</v>
      </c>
      <c r="O6">
        <f t="shared" si="5"/>
        <v>108.33333333333333</v>
      </c>
      <c r="P6">
        <v>123.7</v>
      </c>
      <c r="Q6">
        <f t="shared" si="6"/>
        <v>112.39999999999999</v>
      </c>
      <c r="R6">
        <v>105.2</v>
      </c>
      <c r="S6">
        <f t="shared" si="7"/>
        <v>104.43333333333334</v>
      </c>
      <c r="T6">
        <v>101.9</v>
      </c>
      <c r="U6">
        <f t="shared" si="8"/>
        <v>102.16666666666667</v>
      </c>
      <c r="V6">
        <v>105</v>
      </c>
      <c r="W6">
        <f t="shared" si="9"/>
        <v>103.63333333333333</v>
      </c>
      <c r="X6">
        <v>109.1</v>
      </c>
      <c r="Y6">
        <f t="shared" si="10"/>
        <v>108.09999999999998</v>
      </c>
      <c r="Z6">
        <v>111.3</v>
      </c>
      <c r="AA6">
        <f t="shared" si="11"/>
        <v>110.56666666666666</v>
      </c>
      <c r="AB6">
        <v>111.1</v>
      </c>
      <c r="AC6">
        <f t="shared" si="12"/>
        <v>109.06666666666666</v>
      </c>
      <c r="AD6">
        <v>109.8</v>
      </c>
      <c r="AE6">
        <f t="shared" si="13"/>
        <v>108.36666666666667</v>
      </c>
      <c r="AF6">
        <v>108.5</v>
      </c>
      <c r="AG6">
        <f t="shared" si="14"/>
        <v>107.86666666666667</v>
      </c>
      <c r="AH6">
        <v>106.7</v>
      </c>
      <c r="AI6">
        <f t="shared" si="15"/>
        <v>106.36666666666667</v>
      </c>
      <c r="AJ6">
        <v>108.3</v>
      </c>
      <c r="AK6">
        <f t="shared" si="16"/>
        <v>107.66666666666667</v>
      </c>
      <c r="AL6">
        <v>100.5</v>
      </c>
      <c r="AM6">
        <f t="shared" si="17"/>
        <v>100.46666666666665</v>
      </c>
      <c r="AN6">
        <v>107.2</v>
      </c>
      <c r="AO6">
        <f t="shared" si="18"/>
        <v>106.53333333333335</v>
      </c>
      <c r="AP6">
        <v>107.1</v>
      </c>
      <c r="AQ6">
        <f t="shared" si="19"/>
        <v>106.43333333333332</v>
      </c>
      <c r="AR6">
        <v>106.2</v>
      </c>
      <c r="AS6">
        <f t="shared" si="20"/>
        <v>105.7</v>
      </c>
      <c r="AT6">
        <v>103.9</v>
      </c>
      <c r="AU6">
        <f t="shared" si="21"/>
        <v>104.8</v>
      </c>
      <c r="AV6">
        <v>104.6</v>
      </c>
      <c r="AW6">
        <f t="shared" si="22"/>
        <v>104.03333333333335</v>
      </c>
      <c r="AX6">
        <v>105.7</v>
      </c>
      <c r="AY6">
        <f t="shared" si="23"/>
        <v>104.89999999999999</v>
      </c>
      <c r="AZ6">
        <v>102.6</v>
      </c>
      <c r="BA6">
        <f t="shared" si="24"/>
        <v>103.33333333333333</v>
      </c>
      <c r="BB6">
        <v>104.9</v>
      </c>
      <c r="BC6">
        <f t="shared" si="25"/>
        <v>104.96666666666665</v>
      </c>
      <c r="BD6">
        <v>106.6</v>
      </c>
      <c r="BE6">
        <f t="shared" si="26"/>
        <v>105.76666666666665</v>
      </c>
    </row>
    <row r="7" spans="1:57" hidden="1">
      <c r="A7" t="s">
        <v>33</v>
      </c>
      <c r="B7">
        <v>2013</v>
      </c>
      <c r="C7" t="s">
        <v>39</v>
      </c>
      <c r="D7">
        <v>117</v>
      </c>
      <c r="E7">
        <f t="shared" si="0"/>
        <v>115.66666666666667</v>
      </c>
      <c r="F7">
        <v>120.1</v>
      </c>
      <c r="G7">
        <f t="shared" si="1"/>
        <v>115.90000000000002</v>
      </c>
      <c r="H7">
        <v>112.5</v>
      </c>
      <c r="I7">
        <f t="shared" si="2"/>
        <v>107.06666666666666</v>
      </c>
      <c r="J7">
        <v>107.3</v>
      </c>
      <c r="K7">
        <f t="shared" si="3"/>
        <v>105.83333333333333</v>
      </c>
      <c r="L7">
        <v>101.3</v>
      </c>
      <c r="M7">
        <f t="shared" si="4"/>
        <v>101.63333333333333</v>
      </c>
      <c r="N7">
        <v>112.4</v>
      </c>
      <c r="O7">
        <f t="shared" si="5"/>
        <v>110.83333333333333</v>
      </c>
      <c r="P7">
        <v>143.6</v>
      </c>
      <c r="Q7">
        <f t="shared" si="6"/>
        <v>125.66666666666667</v>
      </c>
      <c r="R7">
        <v>105.4</v>
      </c>
      <c r="S7">
        <f t="shared" si="7"/>
        <v>105.06666666666668</v>
      </c>
      <c r="T7">
        <v>101.4</v>
      </c>
      <c r="U7">
        <f t="shared" si="8"/>
        <v>101.76666666666667</v>
      </c>
      <c r="V7">
        <v>106.4</v>
      </c>
      <c r="W7">
        <f t="shared" si="9"/>
        <v>104.96666666666665</v>
      </c>
      <c r="X7">
        <v>110</v>
      </c>
      <c r="Y7">
        <f t="shared" si="10"/>
        <v>109.10000000000001</v>
      </c>
      <c r="Z7">
        <v>112.2</v>
      </c>
      <c r="AA7">
        <f t="shared" si="11"/>
        <v>111.36666666666666</v>
      </c>
      <c r="AB7">
        <v>115</v>
      </c>
      <c r="AC7">
        <f t="shared" si="12"/>
        <v>111.63333333333333</v>
      </c>
      <c r="AD7">
        <v>110.9</v>
      </c>
      <c r="AE7">
        <f t="shared" si="13"/>
        <v>109.73333333333335</v>
      </c>
      <c r="AF7">
        <v>109.2</v>
      </c>
      <c r="AG7">
        <f t="shared" si="14"/>
        <v>108.53333333333335</v>
      </c>
      <c r="AH7">
        <v>107.2</v>
      </c>
      <c r="AI7">
        <f t="shared" si="15"/>
        <v>106.76666666666667</v>
      </c>
      <c r="AJ7">
        <v>108.9</v>
      </c>
      <c r="AK7">
        <f t="shared" si="16"/>
        <v>108.3</v>
      </c>
      <c r="AL7">
        <v>106.6</v>
      </c>
      <c r="AM7">
        <f t="shared" si="17"/>
        <v>102.53333333333335</v>
      </c>
      <c r="AN7">
        <v>108</v>
      </c>
      <c r="AO7">
        <f t="shared" si="18"/>
        <v>107.2</v>
      </c>
      <c r="AP7">
        <v>107.7</v>
      </c>
      <c r="AQ7">
        <f t="shared" si="19"/>
        <v>107.10000000000001</v>
      </c>
      <c r="AR7">
        <v>106.5</v>
      </c>
      <c r="AS7">
        <f t="shared" si="20"/>
        <v>106.13333333333333</v>
      </c>
      <c r="AT7">
        <v>105.2</v>
      </c>
      <c r="AU7">
        <f t="shared" si="21"/>
        <v>104.7</v>
      </c>
      <c r="AV7">
        <v>105.2</v>
      </c>
      <c r="AW7">
        <f t="shared" si="22"/>
        <v>104.60000000000001</v>
      </c>
      <c r="AX7">
        <v>108.1</v>
      </c>
      <c r="AY7">
        <f t="shared" si="23"/>
        <v>106.33333333333333</v>
      </c>
      <c r="AZ7">
        <v>103.3</v>
      </c>
      <c r="BA7">
        <f t="shared" si="24"/>
        <v>103.03333333333335</v>
      </c>
      <c r="BB7">
        <v>106.1</v>
      </c>
      <c r="BC7">
        <f t="shared" si="25"/>
        <v>105.36666666666667</v>
      </c>
      <c r="BD7">
        <v>109.7</v>
      </c>
      <c r="BE7">
        <f t="shared" si="26"/>
        <v>107.33333333333333</v>
      </c>
    </row>
    <row r="8" spans="1:57" hidden="1">
      <c r="A8" t="s">
        <v>33</v>
      </c>
      <c r="B8">
        <v>2013</v>
      </c>
      <c r="C8" t="s">
        <v>40</v>
      </c>
      <c r="D8">
        <v>117.8</v>
      </c>
      <c r="E8">
        <f t="shared" si="0"/>
        <v>116.73333333333333</v>
      </c>
      <c r="F8">
        <v>119.2</v>
      </c>
      <c r="G8">
        <f t="shared" si="1"/>
        <v>117.83333333333333</v>
      </c>
      <c r="H8">
        <v>114</v>
      </c>
      <c r="I8">
        <f t="shared" si="2"/>
        <v>109.73333333333333</v>
      </c>
      <c r="J8">
        <v>108.3</v>
      </c>
      <c r="K8">
        <f t="shared" si="3"/>
        <v>107.03333333333335</v>
      </c>
      <c r="L8">
        <v>101.1</v>
      </c>
      <c r="M8">
        <f t="shared" si="4"/>
        <v>101.3</v>
      </c>
      <c r="N8">
        <v>113.2</v>
      </c>
      <c r="O8">
        <f t="shared" si="5"/>
        <v>112.06666666666666</v>
      </c>
      <c r="P8">
        <v>160.9</v>
      </c>
      <c r="Q8">
        <f t="shared" si="6"/>
        <v>142.73333333333335</v>
      </c>
      <c r="R8">
        <v>105.1</v>
      </c>
      <c r="S8">
        <f t="shared" si="7"/>
        <v>105.23333333333335</v>
      </c>
      <c r="T8">
        <v>101.3</v>
      </c>
      <c r="U8">
        <f t="shared" si="8"/>
        <v>101.53333333333335</v>
      </c>
      <c r="V8">
        <v>107.5</v>
      </c>
      <c r="W8">
        <f t="shared" si="9"/>
        <v>106.3</v>
      </c>
      <c r="X8">
        <v>110.4</v>
      </c>
      <c r="Y8">
        <f t="shared" si="10"/>
        <v>109.83333333333333</v>
      </c>
      <c r="Z8">
        <v>113.1</v>
      </c>
      <c r="AA8">
        <f t="shared" si="11"/>
        <v>112.2</v>
      </c>
      <c r="AB8">
        <v>117.5</v>
      </c>
      <c r="AC8">
        <f t="shared" si="12"/>
        <v>114.53333333333335</v>
      </c>
      <c r="AD8">
        <v>111.7</v>
      </c>
      <c r="AE8">
        <f t="shared" si="13"/>
        <v>110.8</v>
      </c>
      <c r="AF8">
        <v>109.8</v>
      </c>
      <c r="AG8">
        <f t="shared" si="14"/>
        <v>109.16666666666667</v>
      </c>
      <c r="AH8">
        <v>107.8</v>
      </c>
      <c r="AI8">
        <f t="shared" si="15"/>
        <v>107.23333333333333</v>
      </c>
      <c r="AJ8">
        <v>109.5</v>
      </c>
      <c r="AK8">
        <f t="shared" si="16"/>
        <v>108.89999999999999</v>
      </c>
      <c r="AL8">
        <v>107.7</v>
      </c>
      <c r="AM8">
        <f t="shared" si="17"/>
        <v>104.93333333333334</v>
      </c>
      <c r="AN8">
        <v>108.6</v>
      </c>
      <c r="AO8">
        <f t="shared" si="18"/>
        <v>107.93333333333332</v>
      </c>
      <c r="AP8">
        <v>108.1</v>
      </c>
      <c r="AQ8">
        <f t="shared" si="19"/>
        <v>107.63333333333333</v>
      </c>
      <c r="AR8">
        <v>107.1</v>
      </c>
      <c r="AS8">
        <f t="shared" si="20"/>
        <v>106.59999999999998</v>
      </c>
      <c r="AT8">
        <v>107.3</v>
      </c>
      <c r="AU8">
        <f t="shared" si="21"/>
        <v>105.46666666666668</v>
      </c>
      <c r="AV8">
        <v>105.9</v>
      </c>
      <c r="AW8">
        <f t="shared" si="22"/>
        <v>105.23333333333335</v>
      </c>
      <c r="AX8">
        <v>110.1</v>
      </c>
      <c r="AY8">
        <f t="shared" si="23"/>
        <v>107.96666666666665</v>
      </c>
      <c r="AZ8">
        <v>103.2</v>
      </c>
      <c r="BA8">
        <f t="shared" si="24"/>
        <v>103.03333333333332</v>
      </c>
      <c r="BB8">
        <v>107.3</v>
      </c>
      <c r="BC8">
        <f t="shared" si="25"/>
        <v>106.10000000000001</v>
      </c>
      <c r="BD8">
        <v>111.4</v>
      </c>
      <c r="BE8">
        <f t="shared" si="26"/>
        <v>109.23333333333335</v>
      </c>
    </row>
    <row r="9" spans="1:57" hidden="1">
      <c r="A9" t="s">
        <v>33</v>
      </c>
      <c r="B9">
        <v>2013</v>
      </c>
      <c r="C9" t="s">
        <v>41</v>
      </c>
      <c r="D9">
        <v>118.3</v>
      </c>
      <c r="E9">
        <f t="shared" si="0"/>
        <v>117.7</v>
      </c>
      <c r="F9">
        <v>120.4</v>
      </c>
      <c r="G9">
        <f t="shared" si="1"/>
        <v>119.90000000000002</v>
      </c>
      <c r="H9">
        <v>112.7</v>
      </c>
      <c r="I9">
        <f t="shared" si="2"/>
        <v>113.06666666666666</v>
      </c>
      <c r="J9">
        <v>108.9</v>
      </c>
      <c r="K9">
        <f t="shared" si="3"/>
        <v>108.16666666666667</v>
      </c>
      <c r="L9">
        <v>101.1</v>
      </c>
      <c r="M9">
        <f t="shared" si="4"/>
        <v>101.16666666666667</v>
      </c>
      <c r="N9">
        <v>108.7</v>
      </c>
      <c r="O9">
        <f t="shared" si="5"/>
        <v>111.43333333333334</v>
      </c>
      <c r="P9">
        <v>177</v>
      </c>
      <c r="Q9">
        <f t="shared" si="6"/>
        <v>160.5</v>
      </c>
      <c r="R9">
        <v>104.7</v>
      </c>
      <c r="S9">
        <f t="shared" si="7"/>
        <v>105.06666666666666</v>
      </c>
      <c r="T9">
        <v>101</v>
      </c>
      <c r="U9">
        <f t="shared" si="8"/>
        <v>101.23333333333333</v>
      </c>
      <c r="V9">
        <v>108.5</v>
      </c>
      <c r="W9">
        <f t="shared" si="9"/>
        <v>107.46666666666665</v>
      </c>
      <c r="X9">
        <v>110.9</v>
      </c>
      <c r="Y9">
        <f t="shared" si="10"/>
        <v>110.43333333333334</v>
      </c>
      <c r="Z9">
        <v>114.3</v>
      </c>
      <c r="AA9">
        <f t="shared" si="11"/>
        <v>113.2</v>
      </c>
      <c r="AB9">
        <v>119.6</v>
      </c>
      <c r="AC9">
        <f t="shared" si="12"/>
        <v>117.36666666666667</v>
      </c>
      <c r="AD9">
        <v>112.4</v>
      </c>
      <c r="AE9">
        <f t="shared" si="13"/>
        <v>111.66666666666667</v>
      </c>
      <c r="AF9">
        <v>110.6</v>
      </c>
      <c r="AG9">
        <f t="shared" si="14"/>
        <v>109.86666666666667</v>
      </c>
      <c r="AH9">
        <v>108.3</v>
      </c>
      <c r="AI9">
        <f t="shared" si="15"/>
        <v>107.76666666666667</v>
      </c>
      <c r="AJ9">
        <v>110.2</v>
      </c>
      <c r="AK9">
        <f t="shared" si="16"/>
        <v>109.53333333333335</v>
      </c>
      <c r="AL9">
        <v>108.9</v>
      </c>
      <c r="AM9">
        <f t="shared" si="17"/>
        <v>107.73333333333335</v>
      </c>
      <c r="AN9">
        <v>109.3</v>
      </c>
      <c r="AO9">
        <f t="shared" si="18"/>
        <v>108.63333333333333</v>
      </c>
      <c r="AP9">
        <v>108.7</v>
      </c>
      <c r="AQ9">
        <f t="shared" si="19"/>
        <v>108.16666666666667</v>
      </c>
      <c r="AR9">
        <v>107.6</v>
      </c>
      <c r="AS9">
        <f t="shared" si="20"/>
        <v>107.06666666666666</v>
      </c>
      <c r="AT9">
        <v>108.1</v>
      </c>
      <c r="AU9">
        <f t="shared" si="21"/>
        <v>106.86666666666667</v>
      </c>
      <c r="AV9">
        <v>106.5</v>
      </c>
      <c r="AW9">
        <f t="shared" si="22"/>
        <v>105.86666666666667</v>
      </c>
      <c r="AX9">
        <v>110.8</v>
      </c>
      <c r="AY9">
        <f t="shared" si="23"/>
        <v>109.66666666666667</v>
      </c>
      <c r="AZ9">
        <v>106</v>
      </c>
      <c r="BA9">
        <f t="shared" si="24"/>
        <v>104.16666666666667</v>
      </c>
      <c r="BB9">
        <v>108.3</v>
      </c>
      <c r="BC9">
        <f t="shared" si="25"/>
        <v>107.23333333333333</v>
      </c>
      <c r="BD9">
        <v>112.7</v>
      </c>
      <c r="BE9">
        <f t="shared" si="26"/>
        <v>111.26666666666667</v>
      </c>
    </row>
    <row r="10" spans="1:57" hidden="1">
      <c r="A10" t="s">
        <v>33</v>
      </c>
      <c r="B10">
        <v>2013</v>
      </c>
      <c r="C10" t="s">
        <v>42</v>
      </c>
      <c r="D10">
        <v>118.6</v>
      </c>
      <c r="E10">
        <f t="shared" si="0"/>
        <v>118.23333333333333</v>
      </c>
      <c r="F10">
        <v>119.1</v>
      </c>
      <c r="G10">
        <f t="shared" si="1"/>
        <v>119.56666666666668</v>
      </c>
      <c r="H10">
        <v>113.2</v>
      </c>
      <c r="I10">
        <f t="shared" si="2"/>
        <v>113.3</v>
      </c>
      <c r="J10">
        <v>109.6</v>
      </c>
      <c r="K10">
        <f t="shared" si="3"/>
        <v>108.93333333333332</v>
      </c>
      <c r="L10">
        <v>101.7</v>
      </c>
      <c r="M10">
        <f t="shared" si="4"/>
        <v>101.3</v>
      </c>
      <c r="N10">
        <v>103.2</v>
      </c>
      <c r="O10">
        <f t="shared" si="5"/>
        <v>108.36666666666667</v>
      </c>
      <c r="P10">
        <v>174.3</v>
      </c>
      <c r="Q10">
        <f t="shared" si="6"/>
        <v>170.73333333333335</v>
      </c>
      <c r="R10">
        <v>105.1</v>
      </c>
      <c r="S10">
        <f t="shared" si="7"/>
        <v>104.96666666666665</v>
      </c>
      <c r="T10">
        <v>100.8</v>
      </c>
      <c r="U10">
        <f t="shared" si="8"/>
        <v>101.03333333333335</v>
      </c>
      <c r="V10">
        <v>109.1</v>
      </c>
      <c r="W10">
        <f t="shared" si="9"/>
        <v>108.36666666666667</v>
      </c>
      <c r="X10">
        <v>111.1</v>
      </c>
      <c r="Y10">
        <f t="shared" si="10"/>
        <v>110.8</v>
      </c>
      <c r="Z10">
        <v>115.4</v>
      </c>
      <c r="AA10">
        <f t="shared" si="11"/>
        <v>114.26666666666665</v>
      </c>
      <c r="AB10">
        <v>119.2</v>
      </c>
      <c r="AC10">
        <f t="shared" si="12"/>
        <v>118.76666666666667</v>
      </c>
      <c r="AD10">
        <v>112.9</v>
      </c>
      <c r="AE10">
        <f t="shared" si="13"/>
        <v>112.33333333333333</v>
      </c>
      <c r="AF10">
        <v>111.4</v>
      </c>
      <c r="AG10">
        <f t="shared" si="14"/>
        <v>110.59999999999998</v>
      </c>
      <c r="AH10">
        <v>109</v>
      </c>
      <c r="AI10">
        <f t="shared" si="15"/>
        <v>108.36666666666667</v>
      </c>
      <c r="AJ10">
        <v>111.1</v>
      </c>
      <c r="AK10">
        <f t="shared" si="16"/>
        <v>110.26666666666665</v>
      </c>
      <c r="AL10">
        <v>109.7</v>
      </c>
      <c r="AM10">
        <f t="shared" si="17"/>
        <v>108.76666666666667</v>
      </c>
      <c r="AN10">
        <v>109.5</v>
      </c>
      <c r="AO10">
        <f t="shared" si="18"/>
        <v>109.13333333333333</v>
      </c>
      <c r="AP10">
        <v>109.6</v>
      </c>
      <c r="AQ10">
        <f t="shared" si="19"/>
        <v>108.8</v>
      </c>
      <c r="AR10">
        <v>107.9</v>
      </c>
      <c r="AS10">
        <f t="shared" si="20"/>
        <v>107.53333333333335</v>
      </c>
      <c r="AT10">
        <v>110.4</v>
      </c>
      <c r="AU10">
        <f t="shared" si="21"/>
        <v>108.59999999999998</v>
      </c>
      <c r="AV10">
        <v>107.4</v>
      </c>
      <c r="AW10">
        <f t="shared" si="22"/>
        <v>106.60000000000001</v>
      </c>
      <c r="AX10">
        <v>111.2</v>
      </c>
      <c r="AY10">
        <f t="shared" si="23"/>
        <v>110.69999999999999</v>
      </c>
      <c r="AZ10">
        <v>106.9</v>
      </c>
      <c r="BA10">
        <f t="shared" si="24"/>
        <v>105.36666666666667</v>
      </c>
      <c r="BB10">
        <v>109.4</v>
      </c>
      <c r="BC10">
        <f t="shared" si="25"/>
        <v>108.33333333333333</v>
      </c>
      <c r="BD10">
        <v>113.2</v>
      </c>
      <c r="BE10">
        <f t="shared" si="26"/>
        <v>112.43333333333334</v>
      </c>
    </row>
    <row r="11" spans="1:57" hidden="1">
      <c r="A11" t="s">
        <v>33</v>
      </c>
      <c r="B11">
        <v>2013</v>
      </c>
      <c r="C11" t="s">
        <v>43</v>
      </c>
      <c r="D11">
        <v>118.9</v>
      </c>
      <c r="E11">
        <f t="shared" si="0"/>
        <v>118.59999999999998</v>
      </c>
      <c r="F11">
        <v>118.1</v>
      </c>
      <c r="G11">
        <f t="shared" si="1"/>
        <v>119.2</v>
      </c>
      <c r="H11">
        <v>114.5</v>
      </c>
      <c r="I11">
        <f t="shared" si="2"/>
        <v>113.46666666666665</v>
      </c>
      <c r="J11">
        <v>110.4</v>
      </c>
      <c r="K11">
        <f t="shared" si="3"/>
        <v>109.63333333333333</v>
      </c>
      <c r="L11">
        <v>102.3</v>
      </c>
      <c r="M11">
        <f t="shared" si="4"/>
        <v>101.7</v>
      </c>
      <c r="N11">
        <v>106.2</v>
      </c>
      <c r="O11">
        <f t="shared" si="5"/>
        <v>106.03333333333335</v>
      </c>
      <c r="P11">
        <v>183.5</v>
      </c>
      <c r="Q11">
        <f t="shared" si="6"/>
        <v>178.26666666666665</v>
      </c>
      <c r="R11">
        <v>105.3</v>
      </c>
      <c r="S11">
        <f t="shared" si="7"/>
        <v>105.03333333333335</v>
      </c>
      <c r="T11">
        <v>100.2</v>
      </c>
      <c r="U11">
        <f t="shared" si="8"/>
        <v>100.66666666666667</v>
      </c>
      <c r="V11">
        <v>109.6</v>
      </c>
      <c r="W11">
        <f t="shared" si="9"/>
        <v>109.06666666666666</v>
      </c>
      <c r="X11">
        <v>111.4</v>
      </c>
      <c r="Y11">
        <f t="shared" si="10"/>
        <v>111.13333333333333</v>
      </c>
      <c r="Z11">
        <v>116</v>
      </c>
      <c r="AA11">
        <f t="shared" si="11"/>
        <v>115.23333333333333</v>
      </c>
      <c r="AB11">
        <v>120.8</v>
      </c>
      <c r="AC11">
        <f t="shared" si="12"/>
        <v>119.86666666666667</v>
      </c>
      <c r="AD11">
        <v>113.5</v>
      </c>
      <c r="AE11">
        <f t="shared" si="13"/>
        <v>112.93333333333334</v>
      </c>
      <c r="AF11">
        <v>112.5</v>
      </c>
      <c r="AG11">
        <f t="shared" si="14"/>
        <v>111.5</v>
      </c>
      <c r="AH11">
        <v>109.7</v>
      </c>
      <c r="AI11">
        <f t="shared" si="15"/>
        <v>109</v>
      </c>
      <c r="AJ11">
        <v>112</v>
      </c>
      <c r="AK11">
        <f t="shared" si="16"/>
        <v>111.10000000000001</v>
      </c>
      <c r="AL11">
        <v>110.5</v>
      </c>
      <c r="AM11">
        <f t="shared" si="17"/>
        <v>109.7</v>
      </c>
      <c r="AN11">
        <v>109.7</v>
      </c>
      <c r="AO11">
        <f t="shared" si="18"/>
        <v>109.5</v>
      </c>
      <c r="AP11">
        <v>110.2</v>
      </c>
      <c r="AQ11">
        <f t="shared" si="19"/>
        <v>109.5</v>
      </c>
      <c r="AR11">
        <v>108.2</v>
      </c>
      <c r="AS11">
        <f t="shared" si="20"/>
        <v>107.89999999999999</v>
      </c>
      <c r="AT11">
        <v>109.7</v>
      </c>
      <c r="AU11">
        <f t="shared" si="21"/>
        <v>109.39999999999999</v>
      </c>
      <c r="AV11">
        <v>108</v>
      </c>
      <c r="AW11">
        <f t="shared" si="22"/>
        <v>107.3</v>
      </c>
      <c r="AX11">
        <v>111.3</v>
      </c>
      <c r="AY11">
        <f t="shared" si="23"/>
        <v>111.10000000000001</v>
      </c>
      <c r="AZ11">
        <v>107.3</v>
      </c>
      <c r="BA11">
        <f t="shared" si="24"/>
        <v>106.73333333333333</v>
      </c>
      <c r="BB11">
        <v>109.4</v>
      </c>
      <c r="BC11">
        <f t="shared" si="25"/>
        <v>109.03333333333335</v>
      </c>
      <c r="BD11">
        <v>114</v>
      </c>
      <c r="BE11">
        <f t="shared" si="26"/>
        <v>113.3</v>
      </c>
    </row>
    <row r="12" spans="1:57" hidden="1">
      <c r="A12" t="s">
        <v>33</v>
      </c>
      <c r="B12">
        <v>2013</v>
      </c>
      <c r="C12" t="s">
        <v>45</v>
      </c>
      <c r="D12">
        <v>119.8</v>
      </c>
      <c r="E12">
        <f t="shared" si="0"/>
        <v>119.10000000000001</v>
      </c>
      <c r="F12">
        <v>116.3</v>
      </c>
      <c r="G12">
        <f t="shared" si="1"/>
        <v>117.83333333333333</v>
      </c>
      <c r="H12">
        <v>122.6</v>
      </c>
      <c r="I12">
        <f t="shared" si="2"/>
        <v>116.76666666666665</v>
      </c>
      <c r="J12">
        <v>112</v>
      </c>
      <c r="K12">
        <f t="shared" si="3"/>
        <v>110.66666666666667</v>
      </c>
      <c r="L12">
        <v>103.2</v>
      </c>
      <c r="M12">
        <f t="shared" si="4"/>
        <v>102.39999999999999</v>
      </c>
      <c r="N12">
        <v>110</v>
      </c>
      <c r="O12">
        <f t="shared" si="5"/>
        <v>106.46666666666665</v>
      </c>
      <c r="P12">
        <v>192.8</v>
      </c>
      <c r="Q12">
        <f t="shared" si="6"/>
        <v>183.53333333333333</v>
      </c>
      <c r="R12">
        <v>106.3</v>
      </c>
      <c r="S12">
        <f t="shared" si="7"/>
        <v>105.56666666666666</v>
      </c>
      <c r="T12">
        <v>99.5</v>
      </c>
      <c r="U12">
        <f t="shared" si="8"/>
        <v>100.16666666666667</v>
      </c>
      <c r="V12">
        <v>110.3</v>
      </c>
      <c r="W12">
        <f t="shared" si="9"/>
        <v>109.66666666666667</v>
      </c>
      <c r="X12">
        <v>111.8</v>
      </c>
      <c r="Y12">
        <f t="shared" si="10"/>
        <v>111.43333333333334</v>
      </c>
      <c r="Z12">
        <v>117.1</v>
      </c>
      <c r="AA12">
        <f t="shared" si="11"/>
        <v>116.16666666666667</v>
      </c>
      <c r="AB12">
        <v>122.9</v>
      </c>
      <c r="AC12">
        <f t="shared" si="12"/>
        <v>120.96666666666665</v>
      </c>
      <c r="AD12">
        <v>114.1</v>
      </c>
      <c r="AE12">
        <f t="shared" si="13"/>
        <v>113.5</v>
      </c>
      <c r="AF12">
        <v>113.5</v>
      </c>
      <c r="AG12">
        <f t="shared" si="14"/>
        <v>112.46666666666665</v>
      </c>
      <c r="AH12">
        <v>110.3</v>
      </c>
      <c r="AI12">
        <f t="shared" si="15"/>
        <v>109.66666666666667</v>
      </c>
      <c r="AJ12">
        <v>113</v>
      </c>
      <c r="AK12">
        <f t="shared" si="16"/>
        <v>112.03333333333335</v>
      </c>
      <c r="AL12">
        <v>111.1</v>
      </c>
      <c r="AM12">
        <f t="shared" si="17"/>
        <v>110.43333333333332</v>
      </c>
      <c r="AN12">
        <v>110</v>
      </c>
      <c r="AO12">
        <f t="shared" si="18"/>
        <v>109.73333333333333</v>
      </c>
      <c r="AP12">
        <v>110.9</v>
      </c>
      <c r="AQ12">
        <f t="shared" si="19"/>
        <v>110.23333333333335</v>
      </c>
      <c r="AR12">
        <v>108.6</v>
      </c>
      <c r="AS12">
        <f t="shared" si="20"/>
        <v>108.23333333333335</v>
      </c>
      <c r="AT12">
        <v>109.5</v>
      </c>
      <c r="AU12">
        <f t="shared" si="21"/>
        <v>109.86666666666667</v>
      </c>
      <c r="AV12">
        <v>108.5</v>
      </c>
      <c r="AW12">
        <f t="shared" si="22"/>
        <v>107.96666666666665</v>
      </c>
      <c r="AX12">
        <v>111.3</v>
      </c>
      <c r="AY12">
        <f t="shared" si="23"/>
        <v>111.26666666666667</v>
      </c>
      <c r="AZ12">
        <v>107.9</v>
      </c>
      <c r="BA12">
        <f t="shared" si="24"/>
        <v>107.36666666666667</v>
      </c>
      <c r="BB12">
        <v>109.6</v>
      </c>
      <c r="BC12">
        <f t="shared" si="25"/>
        <v>109.46666666666665</v>
      </c>
      <c r="BD12">
        <v>115</v>
      </c>
      <c r="BE12">
        <f t="shared" si="26"/>
        <v>114.06666666666666</v>
      </c>
    </row>
    <row r="13" spans="1:57" hidden="1">
      <c r="A13" t="s">
        <v>33</v>
      </c>
      <c r="B13">
        <v>2013</v>
      </c>
      <c r="C13" t="s">
        <v>46</v>
      </c>
      <c r="D13">
        <v>120.5</v>
      </c>
      <c r="E13">
        <f t="shared" si="0"/>
        <v>119.73333333333333</v>
      </c>
      <c r="F13">
        <v>118.1</v>
      </c>
      <c r="G13">
        <f t="shared" si="1"/>
        <v>117.5</v>
      </c>
      <c r="H13">
        <v>128.5</v>
      </c>
      <c r="I13">
        <f t="shared" si="2"/>
        <v>121.86666666666667</v>
      </c>
      <c r="J13">
        <v>112.8</v>
      </c>
      <c r="K13">
        <f t="shared" si="3"/>
        <v>111.73333333333333</v>
      </c>
      <c r="L13">
        <v>103.4</v>
      </c>
      <c r="M13">
        <f t="shared" si="4"/>
        <v>102.96666666666665</v>
      </c>
      <c r="N13">
        <v>110.7</v>
      </c>
      <c r="O13">
        <f t="shared" si="5"/>
        <v>108.96666666666665</v>
      </c>
      <c r="P13">
        <v>144.80000000000001</v>
      </c>
      <c r="Q13">
        <f t="shared" si="6"/>
        <v>173.70000000000002</v>
      </c>
      <c r="R13">
        <v>107.1</v>
      </c>
      <c r="S13">
        <f t="shared" si="7"/>
        <v>106.23333333333333</v>
      </c>
      <c r="T13">
        <v>98.6</v>
      </c>
      <c r="U13">
        <f t="shared" si="8"/>
        <v>99.433333333333323</v>
      </c>
      <c r="V13">
        <v>111.9</v>
      </c>
      <c r="W13">
        <f t="shared" si="9"/>
        <v>110.59999999999998</v>
      </c>
      <c r="X13">
        <v>112.1</v>
      </c>
      <c r="Y13">
        <f t="shared" si="10"/>
        <v>111.76666666666665</v>
      </c>
      <c r="Z13">
        <v>118.1</v>
      </c>
      <c r="AA13">
        <f t="shared" si="11"/>
        <v>117.06666666666666</v>
      </c>
      <c r="AB13">
        <v>117.8</v>
      </c>
      <c r="AC13">
        <f t="shared" si="12"/>
        <v>120.5</v>
      </c>
      <c r="AD13">
        <v>115</v>
      </c>
      <c r="AE13">
        <f t="shared" si="13"/>
        <v>114.2</v>
      </c>
      <c r="AF13">
        <v>114.2</v>
      </c>
      <c r="AG13">
        <f t="shared" si="14"/>
        <v>113.39999999999999</v>
      </c>
      <c r="AH13">
        <v>110.9</v>
      </c>
      <c r="AI13">
        <f t="shared" si="15"/>
        <v>110.3</v>
      </c>
      <c r="AJ13">
        <v>113.7</v>
      </c>
      <c r="AK13">
        <f t="shared" si="16"/>
        <v>112.89999999999999</v>
      </c>
      <c r="AL13">
        <v>110.7</v>
      </c>
      <c r="AM13">
        <f t="shared" si="17"/>
        <v>110.76666666666667</v>
      </c>
      <c r="AN13">
        <v>110.4</v>
      </c>
      <c r="AO13">
        <f t="shared" si="18"/>
        <v>110.03333333333335</v>
      </c>
      <c r="AP13">
        <v>111.3</v>
      </c>
      <c r="AQ13">
        <f t="shared" si="19"/>
        <v>110.80000000000001</v>
      </c>
      <c r="AR13">
        <v>109</v>
      </c>
      <c r="AS13">
        <f t="shared" si="20"/>
        <v>108.60000000000001</v>
      </c>
      <c r="AT13">
        <v>109.7</v>
      </c>
      <c r="AU13">
        <f t="shared" si="21"/>
        <v>109.63333333333333</v>
      </c>
      <c r="AV13">
        <v>108.9</v>
      </c>
      <c r="AW13">
        <f t="shared" si="22"/>
        <v>108.46666666666665</v>
      </c>
      <c r="AX13">
        <v>111.4</v>
      </c>
      <c r="AY13">
        <f t="shared" si="23"/>
        <v>111.33333333333333</v>
      </c>
      <c r="AZ13">
        <v>107.7</v>
      </c>
      <c r="BA13">
        <f t="shared" si="24"/>
        <v>107.63333333333333</v>
      </c>
      <c r="BB13">
        <v>109.8</v>
      </c>
      <c r="BC13">
        <f t="shared" si="25"/>
        <v>109.60000000000001</v>
      </c>
      <c r="BD13">
        <v>113.3</v>
      </c>
      <c r="BE13">
        <f t="shared" si="26"/>
        <v>114.10000000000001</v>
      </c>
    </row>
    <row r="14" spans="1:57" hidden="1">
      <c r="A14" t="s">
        <v>33</v>
      </c>
      <c r="B14">
        <v>2014</v>
      </c>
      <c r="C14" t="s">
        <v>31</v>
      </c>
      <c r="D14">
        <v>121.2</v>
      </c>
      <c r="E14">
        <f t="shared" si="0"/>
        <v>120.5</v>
      </c>
      <c r="F14">
        <v>122</v>
      </c>
      <c r="G14">
        <f t="shared" si="1"/>
        <v>118.8</v>
      </c>
      <c r="H14">
        <v>129.9</v>
      </c>
      <c r="I14">
        <f t="shared" si="2"/>
        <v>127</v>
      </c>
      <c r="J14">
        <v>113.6</v>
      </c>
      <c r="K14">
        <f t="shared" si="3"/>
        <v>112.8</v>
      </c>
      <c r="L14">
        <v>102.9</v>
      </c>
      <c r="M14">
        <f t="shared" si="4"/>
        <v>103.16666666666667</v>
      </c>
      <c r="N14">
        <v>112.1</v>
      </c>
      <c r="O14">
        <f t="shared" si="5"/>
        <v>110.93333333333332</v>
      </c>
      <c r="P14">
        <v>118.9</v>
      </c>
      <c r="Q14">
        <f t="shared" si="6"/>
        <v>152.16666666666666</v>
      </c>
      <c r="R14">
        <v>107.5</v>
      </c>
      <c r="S14">
        <f t="shared" si="7"/>
        <v>106.96666666666665</v>
      </c>
      <c r="T14">
        <v>96.9</v>
      </c>
      <c r="U14">
        <f t="shared" si="8"/>
        <v>98.333333333333329</v>
      </c>
      <c r="V14">
        <v>112.7</v>
      </c>
      <c r="W14">
        <f t="shared" si="9"/>
        <v>111.63333333333333</v>
      </c>
      <c r="X14">
        <v>112.1</v>
      </c>
      <c r="Y14">
        <f t="shared" si="10"/>
        <v>112</v>
      </c>
      <c r="Z14">
        <v>119</v>
      </c>
      <c r="AA14">
        <f t="shared" si="11"/>
        <v>118.06666666666666</v>
      </c>
      <c r="AB14">
        <v>115.5</v>
      </c>
      <c r="AC14">
        <f t="shared" si="12"/>
        <v>118.73333333333333</v>
      </c>
      <c r="AD14">
        <v>115.7</v>
      </c>
      <c r="AE14">
        <f t="shared" si="13"/>
        <v>114.93333333333334</v>
      </c>
      <c r="AF14">
        <v>114.8</v>
      </c>
      <c r="AG14">
        <f t="shared" si="14"/>
        <v>114.16666666666667</v>
      </c>
      <c r="AH14">
        <v>111.3</v>
      </c>
      <c r="AI14">
        <f t="shared" si="15"/>
        <v>110.83333333333333</v>
      </c>
      <c r="AJ14">
        <v>114.3</v>
      </c>
      <c r="AK14">
        <f t="shared" si="16"/>
        <v>113.66666666666667</v>
      </c>
      <c r="AL14">
        <v>111.6</v>
      </c>
      <c r="AM14">
        <f t="shared" si="17"/>
        <v>111.13333333333333</v>
      </c>
      <c r="AN14">
        <v>111</v>
      </c>
      <c r="AO14">
        <f t="shared" si="18"/>
        <v>110.46666666666665</v>
      </c>
      <c r="AP14">
        <v>111.9</v>
      </c>
      <c r="AQ14">
        <f t="shared" si="19"/>
        <v>111.36666666666667</v>
      </c>
      <c r="AR14">
        <v>109.7</v>
      </c>
      <c r="AS14">
        <f t="shared" si="20"/>
        <v>109.10000000000001</v>
      </c>
      <c r="AT14">
        <v>110.8</v>
      </c>
      <c r="AU14">
        <f t="shared" si="21"/>
        <v>110</v>
      </c>
      <c r="AV14">
        <v>109.8</v>
      </c>
      <c r="AW14">
        <f t="shared" si="22"/>
        <v>109.06666666666666</v>
      </c>
      <c r="AX14">
        <v>111.5</v>
      </c>
      <c r="AY14">
        <f t="shared" si="23"/>
        <v>111.39999999999999</v>
      </c>
      <c r="AZ14">
        <v>108</v>
      </c>
      <c r="BA14">
        <f t="shared" si="24"/>
        <v>107.86666666666667</v>
      </c>
      <c r="BB14">
        <v>110.5</v>
      </c>
      <c r="BC14">
        <f t="shared" si="25"/>
        <v>109.96666666666665</v>
      </c>
      <c r="BD14">
        <v>112.9</v>
      </c>
      <c r="BE14">
        <f t="shared" si="26"/>
        <v>113.73333333333335</v>
      </c>
    </row>
    <row r="15" spans="1:57" hidden="1">
      <c r="A15" t="s">
        <v>33</v>
      </c>
      <c r="B15">
        <v>2014</v>
      </c>
      <c r="C15" t="s">
        <v>35</v>
      </c>
      <c r="D15">
        <v>121.9</v>
      </c>
      <c r="E15">
        <f t="shared" si="0"/>
        <v>121.2</v>
      </c>
      <c r="F15">
        <v>122</v>
      </c>
      <c r="G15">
        <f t="shared" si="1"/>
        <v>120.7</v>
      </c>
      <c r="H15">
        <v>124.5</v>
      </c>
      <c r="I15">
        <f t="shared" si="2"/>
        <v>127.63333333333333</v>
      </c>
      <c r="J15">
        <v>115.2</v>
      </c>
      <c r="K15">
        <f t="shared" si="3"/>
        <v>113.86666666666666</v>
      </c>
      <c r="L15">
        <v>102.5</v>
      </c>
      <c r="M15">
        <f t="shared" si="4"/>
        <v>102.93333333333334</v>
      </c>
      <c r="N15">
        <v>114.1</v>
      </c>
      <c r="O15">
        <f t="shared" si="5"/>
        <v>112.3</v>
      </c>
      <c r="P15">
        <v>111.5</v>
      </c>
      <c r="Q15">
        <f t="shared" si="6"/>
        <v>125.06666666666668</v>
      </c>
      <c r="R15">
        <v>108.2</v>
      </c>
      <c r="S15">
        <f t="shared" si="7"/>
        <v>107.60000000000001</v>
      </c>
      <c r="T15">
        <v>95.4</v>
      </c>
      <c r="U15">
        <f t="shared" si="8"/>
        <v>96.966666666666654</v>
      </c>
      <c r="V15">
        <v>113.5</v>
      </c>
      <c r="W15">
        <f t="shared" si="9"/>
        <v>112.7</v>
      </c>
      <c r="X15">
        <v>112.1</v>
      </c>
      <c r="Y15">
        <f t="shared" si="10"/>
        <v>112.09999999999998</v>
      </c>
      <c r="Z15">
        <v>119.9</v>
      </c>
      <c r="AA15">
        <f t="shared" si="11"/>
        <v>119</v>
      </c>
      <c r="AB15">
        <v>115.2</v>
      </c>
      <c r="AC15">
        <f t="shared" si="12"/>
        <v>116.16666666666667</v>
      </c>
      <c r="AD15">
        <v>116.2</v>
      </c>
      <c r="AE15">
        <f t="shared" si="13"/>
        <v>115.63333333333333</v>
      </c>
      <c r="AF15">
        <v>115.3</v>
      </c>
      <c r="AG15">
        <f t="shared" si="14"/>
        <v>114.76666666666667</v>
      </c>
      <c r="AH15">
        <v>111.7</v>
      </c>
      <c r="AI15">
        <f t="shared" si="15"/>
        <v>111.3</v>
      </c>
      <c r="AJ15">
        <v>114.7</v>
      </c>
      <c r="AK15">
        <f t="shared" si="16"/>
        <v>114.23333333333333</v>
      </c>
      <c r="AL15">
        <v>112.5</v>
      </c>
      <c r="AM15">
        <f t="shared" si="17"/>
        <v>111.60000000000001</v>
      </c>
      <c r="AN15">
        <v>111.1</v>
      </c>
      <c r="AO15">
        <f t="shared" si="18"/>
        <v>110.83333333333333</v>
      </c>
      <c r="AP15">
        <v>112.6</v>
      </c>
      <c r="AQ15">
        <f t="shared" si="19"/>
        <v>111.93333333333332</v>
      </c>
      <c r="AR15">
        <v>110.4</v>
      </c>
      <c r="AS15">
        <f t="shared" si="20"/>
        <v>109.7</v>
      </c>
      <c r="AT15">
        <v>111.3</v>
      </c>
      <c r="AU15">
        <f t="shared" si="21"/>
        <v>110.60000000000001</v>
      </c>
      <c r="AV15">
        <v>110.3</v>
      </c>
      <c r="AW15">
        <f t="shared" si="22"/>
        <v>109.66666666666667</v>
      </c>
      <c r="AX15">
        <v>111.6</v>
      </c>
      <c r="AY15">
        <f t="shared" si="23"/>
        <v>111.5</v>
      </c>
      <c r="AZ15">
        <v>108.7</v>
      </c>
      <c r="BA15">
        <f t="shared" si="24"/>
        <v>108.13333333333333</v>
      </c>
      <c r="BB15">
        <v>111</v>
      </c>
      <c r="BC15">
        <f t="shared" si="25"/>
        <v>110.43333333333334</v>
      </c>
      <c r="BD15">
        <v>113.1</v>
      </c>
      <c r="BE15">
        <f t="shared" si="26"/>
        <v>113.09999999999998</v>
      </c>
    </row>
    <row r="16" spans="1:57" hidden="1">
      <c r="A16" t="s">
        <v>33</v>
      </c>
      <c r="B16">
        <v>2014</v>
      </c>
      <c r="C16" t="s">
        <v>36</v>
      </c>
      <c r="D16">
        <v>122.1</v>
      </c>
      <c r="E16">
        <f t="shared" si="0"/>
        <v>121.73333333333335</v>
      </c>
      <c r="F16">
        <v>121.4</v>
      </c>
      <c r="G16">
        <f t="shared" si="1"/>
        <v>121.8</v>
      </c>
      <c r="H16">
        <v>121.5</v>
      </c>
      <c r="I16">
        <f t="shared" si="2"/>
        <v>125.3</v>
      </c>
      <c r="J16">
        <v>116.2</v>
      </c>
      <c r="K16">
        <f t="shared" si="3"/>
        <v>115</v>
      </c>
      <c r="L16">
        <v>102.8</v>
      </c>
      <c r="M16">
        <f t="shared" si="4"/>
        <v>102.73333333333333</v>
      </c>
      <c r="N16">
        <v>117.7</v>
      </c>
      <c r="O16">
        <f t="shared" si="5"/>
        <v>114.63333333333333</v>
      </c>
      <c r="P16">
        <v>113.3</v>
      </c>
      <c r="Q16">
        <f t="shared" si="6"/>
        <v>114.56666666666666</v>
      </c>
      <c r="R16">
        <v>108.9</v>
      </c>
      <c r="S16">
        <f t="shared" si="7"/>
        <v>108.2</v>
      </c>
      <c r="T16">
        <v>96.3</v>
      </c>
      <c r="U16">
        <f t="shared" si="8"/>
        <v>96.2</v>
      </c>
      <c r="V16">
        <v>114.1</v>
      </c>
      <c r="W16">
        <f t="shared" si="9"/>
        <v>113.43333333333332</v>
      </c>
      <c r="X16">
        <v>112.2</v>
      </c>
      <c r="Y16">
        <f t="shared" si="10"/>
        <v>112.13333333333333</v>
      </c>
      <c r="Z16">
        <v>120.5</v>
      </c>
      <c r="AA16">
        <f t="shared" si="11"/>
        <v>119.8</v>
      </c>
      <c r="AB16">
        <v>116</v>
      </c>
      <c r="AC16">
        <f t="shared" si="12"/>
        <v>115.56666666666666</v>
      </c>
      <c r="AD16">
        <v>116.7</v>
      </c>
      <c r="AE16">
        <f t="shared" si="13"/>
        <v>116.2</v>
      </c>
      <c r="AF16">
        <v>115.8</v>
      </c>
      <c r="AG16">
        <f t="shared" si="14"/>
        <v>115.3</v>
      </c>
      <c r="AH16">
        <v>112.1</v>
      </c>
      <c r="AI16">
        <f t="shared" si="15"/>
        <v>111.7</v>
      </c>
      <c r="AJ16">
        <v>115.2</v>
      </c>
      <c r="AK16">
        <f t="shared" si="16"/>
        <v>114.73333333333333</v>
      </c>
      <c r="AL16">
        <v>113.2</v>
      </c>
      <c r="AM16">
        <f t="shared" si="17"/>
        <v>112.43333333333334</v>
      </c>
      <c r="AN16">
        <v>110.9</v>
      </c>
      <c r="AO16">
        <f t="shared" si="18"/>
        <v>111</v>
      </c>
      <c r="AP16">
        <v>113</v>
      </c>
      <c r="AQ16">
        <f t="shared" si="19"/>
        <v>112.5</v>
      </c>
      <c r="AR16">
        <v>110.8</v>
      </c>
      <c r="AS16">
        <f t="shared" si="20"/>
        <v>110.30000000000001</v>
      </c>
      <c r="AT16">
        <v>111.6</v>
      </c>
      <c r="AU16">
        <f t="shared" si="21"/>
        <v>111.23333333333333</v>
      </c>
      <c r="AV16">
        <v>110.9</v>
      </c>
      <c r="AW16">
        <f t="shared" si="22"/>
        <v>110.33333333333333</v>
      </c>
      <c r="AX16">
        <v>111.8</v>
      </c>
      <c r="AY16">
        <f t="shared" si="23"/>
        <v>111.63333333333333</v>
      </c>
      <c r="AZ16">
        <v>109.2</v>
      </c>
      <c r="BA16">
        <f t="shared" si="24"/>
        <v>108.63333333333333</v>
      </c>
      <c r="BB16">
        <v>111.4</v>
      </c>
      <c r="BC16">
        <f t="shared" si="25"/>
        <v>110.96666666666665</v>
      </c>
      <c r="BD16">
        <v>113.7</v>
      </c>
      <c r="BE16">
        <f t="shared" si="26"/>
        <v>113.23333333333333</v>
      </c>
    </row>
    <row r="17" spans="1:57" hidden="1">
      <c r="A17" t="s">
        <v>33</v>
      </c>
      <c r="B17">
        <v>2014</v>
      </c>
      <c r="C17" t="s">
        <v>37</v>
      </c>
      <c r="D17">
        <v>122.5</v>
      </c>
      <c r="E17">
        <f t="shared" si="0"/>
        <v>122.16666666666667</v>
      </c>
      <c r="F17">
        <v>121.7</v>
      </c>
      <c r="G17">
        <f t="shared" si="1"/>
        <v>121.7</v>
      </c>
      <c r="H17">
        <v>113.3</v>
      </c>
      <c r="I17">
        <f t="shared" si="2"/>
        <v>119.76666666666667</v>
      </c>
      <c r="J17">
        <v>117</v>
      </c>
      <c r="K17">
        <f t="shared" si="3"/>
        <v>116.13333333333333</v>
      </c>
      <c r="L17">
        <v>103.1</v>
      </c>
      <c r="M17">
        <f t="shared" si="4"/>
        <v>102.8</v>
      </c>
      <c r="N17">
        <v>126.7</v>
      </c>
      <c r="O17">
        <f t="shared" si="5"/>
        <v>119.5</v>
      </c>
      <c r="P17">
        <v>121.2</v>
      </c>
      <c r="Q17">
        <f t="shared" si="6"/>
        <v>115.33333333333333</v>
      </c>
      <c r="R17">
        <v>111</v>
      </c>
      <c r="S17">
        <f t="shared" si="7"/>
        <v>109.36666666666667</v>
      </c>
      <c r="T17">
        <v>100.3</v>
      </c>
      <c r="U17">
        <f t="shared" si="8"/>
        <v>97.333333333333329</v>
      </c>
      <c r="V17">
        <v>115.3</v>
      </c>
      <c r="W17">
        <f t="shared" si="9"/>
        <v>114.3</v>
      </c>
      <c r="X17">
        <v>112.7</v>
      </c>
      <c r="Y17">
        <f t="shared" si="10"/>
        <v>112.33333333333333</v>
      </c>
      <c r="Z17">
        <v>121</v>
      </c>
      <c r="AA17">
        <f t="shared" si="11"/>
        <v>120.46666666666665</v>
      </c>
      <c r="AB17">
        <v>118.2</v>
      </c>
      <c r="AC17">
        <f t="shared" si="12"/>
        <v>116.46666666666665</v>
      </c>
      <c r="AD17">
        <v>117.6</v>
      </c>
      <c r="AE17">
        <f t="shared" si="13"/>
        <v>116.83333333333333</v>
      </c>
      <c r="AF17">
        <v>116.3</v>
      </c>
      <c r="AG17">
        <f t="shared" si="14"/>
        <v>115.8</v>
      </c>
      <c r="AH17">
        <v>112.5</v>
      </c>
      <c r="AI17">
        <f t="shared" si="15"/>
        <v>112.10000000000001</v>
      </c>
      <c r="AJ17">
        <v>115.7</v>
      </c>
      <c r="AK17">
        <f t="shared" si="16"/>
        <v>115.2</v>
      </c>
      <c r="AL17">
        <v>113.9</v>
      </c>
      <c r="AM17">
        <f t="shared" si="17"/>
        <v>113.2</v>
      </c>
      <c r="AN17">
        <v>110.9</v>
      </c>
      <c r="AO17">
        <f t="shared" si="18"/>
        <v>110.96666666666665</v>
      </c>
      <c r="AP17">
        <v>113.4</v>
      </c>
      <c r="AQ17">
        <f t="shared" si="19"/>
        <v>113</v>
      </c>
      <c r="AR17">
        <v>111</v>
      </c>
      <c r="AS17">
        <f t="shared" si="20"/>
        <v>110.73333333333333</v>
      </c>
      <c r="AT17">
        <v>111.2</v>
      </c>
      <c r="AU17">
        <f t="shared" si="21"/>
        <v>111.36666666666666</v>
      </c>
      <c r="AV17">
        <v>111.2</v>
      </c>
      <c r="AW17">
        <f t="shared" si="22"/>
        <v>110.8</v>
      </c>
      <c r="AX17">
        <v>112.5</v>
      </c>
      <c r="AY17">
        <f t="shared" si="23"/>
        <v>111.96666666666665</v>
      </c>
      <c r="AZ17">
        <v>109.1</v>
      </c>
      <c r="BA17">
        <f t="shared" si="24"/>
        <v>109</v>
      </c>
      <c r="BB17">
        <v>111.4</v>
      </c>
      <c r="BC17">
        <f t="shared" si="25"/>
        <v>111.26666666666667</v>
      </c>
      <c r="BD17">
        <v>114.7</v>
      </c>
      <c r="BE17">
        <f t="shared" si="26"/>
        <v>113.83333333333333</v>
      </c>
    </row>
    <row r="18" spans="1:57" hidden="1">
      <c r="A18" t="s">
        <v>33</v>
      </c>
      <c r="B18">
        <v>2014</v>
      </c>
      <c r="C18" t="s">
        <v>38</v>
      </c>
      <c r="D18">
        <v>122.7</v>
      </c>
      <c r="E18">
        <f t="shared" si="0"/>
        <v>122.43333333333334</v>
      </c>
      <c r="F18">
        <v>124.1</v>
      </c>
      <c r="G18">
        <f t="shared" si="1"/>
        <v>122.40000000000002</v>
      </c>
      <c r="H18">
        <v>114.2</v>
      </c>
      <c r="I18">
        <f t="shared" si="2"/>
        <v>116.33333333333333</v>
      </c>
      <c r="J18">
        <v>119.1</v>
      </c>
      <c r="K18">
        <f t="shared" si="3"/>
        <v>117.43333333333332</v>
      </c>
      <c r="L18">
        <v>103.5</v>
      </c>
      <c r="M18">
        <f t="shared" si="4"/>
        <v>103.13333333333333</v>
      </c>
      <c r="N18">
        <v>129.19999999999999</v>
      </c>
      <c r="O18">
        <f t="shared" si="5"/>
        <v>124.53333333333335</v>
      </c>
      <c r="P18">
        <v>127</v>
      </c>
      <c r="Q18">
        <f t="shared" si="6"/>
        <v>120.5</v>
      </c>
      <c r="R18">
        <v>112.6</v>
      </c>
      <c r="S18">
        <f t="shared" si="7"/>
        <v>110.83333333333333</v>
      </c>
      <c r="T18">
        <v>101.3</v>
      </c>
      <c r="U18">
        <f t="shared" si="8"/>
        <v>99.3</v>
      </c>
      <c r="V18">
        <v>117</v>
      </c>
      <c r="W18">
        <f t="shared" si="9"/>
        <v>115.46666666666665</v>
      </c>
      <c r="X18">
        <v>112.9</v>
      </c>
      <c r="Y18">
        <f t="shared" si="10"/>
        <v>112.60000000000001</v>
      </c>
      <c r="Z18">
        <v>121.7</v>
      </c>
      <c r="AA18">
        <f t="shared" si="11"/>
        <v>121.06666666666666</v>
      </c>
      <c r="AB18">
        <v>120</v>
      </c>
      <c r="AC18">
        <f t="shared" si="12"/>
        <v>118.06666666666666</v>
      </c>
      <c r="AD18">
        <v>118.3</v>
      </c>
      <c r="AE18">
        <f t="shared" si="13"/>
        <v>117.53333333333335</v>
      </c>
      <c r="AF18">
        <v>116.8</v>
      </c>
      <c r="AG18">
        <f t="shared" si="14"/>
        <v>116.3</v>
      </c>
      <c r="AH18">
        <v>112.9</v>
      </c>
      <c r="AI18">
        <f t="shared" si="15"/>
        <v>112.5</v>
      </c>
      <c r="AJ18">
        <v>116.2</v>
      </c>
      <c r="AK18">
        <f t="shared" si="16"/>
        <v>115.7</v>
      </c>
      <c r="AL18">
        <v>114.3</v>
      </c>
      <c r="AM18">
        <f t="shared" si="17"/>
        <v>113.80000000000001</v>
      </c>
      <c r="AN18">
        <v>111.1</v>
      </c>
      <c r="AO18">
        <f t="shared" si="18"/>
        <v>110.96666666666665</v>
      </c>
      <c r="AP18">
        <v>114.1</v>
      </c>
      <c r="AQ18">
        <f t="shared" si="19"/>
        <v>113.5</v>
      </c>
      <c r="AR18">
        <v>111.2</v>
      </c>
      <c r="AS18">
        <f t="shared" si="20"/>
        <v>111</v>
      </c>
      <c r="AT18">
        <v>111.3</v>
      </c>
      <c r="AU18">
        <f t="shared" si="21"/>
        <v>111.36666666666667</v>
      </c>
      <c r="AV18">
        <v>111.5</v>
      </c>
      <c r="AW18">
        <f t="shared" si="22"/>
        <v>111.2</v>
      </c>
      <c r="AX18">
        <v>112.9</v>
      </c>
      <c r="AY18">
        <f t="shared" si="23"/>
        <v>112.40000000000002</v>
      </c>
      <c r="AZ18">
        <v>109.3</v>
      </c>
      <c r="BA18">
        <f t="shared" si="24"/>
        <v>109.2</v>
      </c>
      <c r="BB18">
        <v>111.7</v>
      </c>
      <c r="BC18">
        <f t="shared" si="25"/>
        <v>111.5</v>
      </c>
      <c r="BD18">
        <v>115.6</v>
      </c>
      <c r="BE18">
        <f t="shared" si="26"/>
        <v>114.66666666666667</v>
      </c>
    </row>
    <row r="19" spans="1:57" hidden="1">
      <c r="A19" t="s">
        <v>33</v>
      </c>
      <c r="B19">
        <v>2014</v>
      </c>
      <c r="C19" t="s">
        <v>39</v>
      </c>
      <c r="D19">
        <v>123.1</v>
      </c>
      <c r="E19">
        <f t="shared" si="0"/>
        <v>122.76666666666665</v>
      </c>
      <c r="F19">
        <v>125.9</v>
      </c>
      <c r="G19">
        <f t="shared" si="1"/>
        <v>123.90000000000002</v>
      </c>
      <c r="H19">
        <v>115.4</v>
      </c>
      <c r="I19">
        <f t="shared" si="2"/>
        <v>114.3</v>
      </c>
      <c r="J19">
        <v>120.4</v>
      </c>
      <c r="K19">
        <f t="shared" si="3"/>
        <v>118.83333333333333</v>
      </c>
      <c r="L19">
        <v>103.4</v>
      </c>
      <c r="M19">
        <f t="shared" si="4"/>
        <v>103.33333333333333</v>
      </c>
      <c r="N19">
        <v>131.19999999999999</v>
      </c>
      <c r="O19">
        <f t="shared" si="5"/>
        <v>129.03333333333333</v>
      </c>
      <c r="P19">
        <v>137.5</v>
      </c>
      <c r="Q19">
        <f t="shared" si="6"/>
        <v>128.56666666666666</v>
      </c>
      <c r="R19">
        <v>112.8</v>
      </c>
      <c r="S19">
        <f t="shared" si="7"/>
        <v>112.13333333333333</v>
      </c>
      <c r="T19">
        <v>101.4</v>
      </c>
      <c r="U19">
        <f t="shared" si="8"/>
        <v>101</v>
      </c>
      <c r="V19">
        <v>118.3</v>
      </c>
      <c r="W19">
        <f t="shared" si="9"/>
        <v>116.86666666666667</v>
      </c>
      <c r="X19">
        <v>113.2</v>
      </c>
      <c r="Y19">
        <f t="shared" si="10"/>
        <v>112.93333333333334</v>
      </c>
      <c r="Z19">
        <v>122.4</v>
      </c>
      <c r="AA19">
        <f t="shared" si="11"/>
        <v>121.7</v>
      </c>
      <c r="AB19">
        <v>122</v>
      </c>
      <c r="AC19">
        <f t="shared" si="12"/>
        <v>120.06666666666666</v>
      </c>
      <c r="AD19">
        <v>119</v>
      </c>
      <c r="AE19">
        <f t="shared" si="13"/>
        <v>118.3</v>
      </c>
      <c r="AF19">
        <v>117.4</v>
      </c>
      <c r="AG19">
        <f t="shared" si="14"/>
        <v>116.83333333333333</v>
      </c>
      <c r="AH19">
        <v>113.2</v>
      </c>
      <c r="AI19">
        <f t="shared" si="15"/>
        <v>112.86666666666667</v>
      </c>
      <c r="AJ19">
        <v>116.7</v>
      </c>
      <c r="AK19">
        <f t="shared" si="16"/>
        <v>116.2</v>
      </c>
      <c r="AL19">
        <v>113.9</v>
      </c>
      <c r="AM19">
        <f t="shared" si="17"/>
        <v>114.03333333333335</v>
      </c>
      <c r="AN19">
        <v>111.2</v>
      </c>
      <c r="AO19">
        <f t="shared" si="18"/>
        <v>111.06666666666666</v>
      </c>
      <c r="AP19">
        <v>114.3</v>
      </c>
      <c r="AQ19">
        <f t="shared" si="19"/>
        <v>113.93333333333334</v>
      </c>
      <c r="AR19">
        <v>111.4</v>
      </c>
      <c r="AS19">
        <f t="shared" si="20"/>
        <v>111.2</v>
      </c>
      <c r="AT19">
        <v>111.5</v>
      </c>
      <c r="AU19">
        <f t="shared" si="21"/>
        <v>111.33333333333333</v>
      </c>
      <c r="AV19">
        <v>111.8</v>
      </c>
      <c r="AW19">
        <f t="shared" si="22"/>
        <v>111.5</v>
      </c>
      <c r="AX19">
        <v>115.1</v>
      </c>
      <c r="AY19">
        <f t="shared" si="23"/>
        <v>113.5</v>
      </c>
      <c r="AZ19">
        <v>108.7</v>
      </c>
      <c r="BA19">
        <f t="shared" si="24"/>
        <v>109.03333333333332</v>
      </c>
      <c r="BB19">
        <v>112.2</v>
      </c>
      <c r="BC19">
        <f t="shared" si="25"/>
        <v>111.76666666666667</v>
      </c>
      <c r="BD19">
        <v>116.4</v>
      </c>
      <c r="BE19">
        <f t="shared" si="26"/>
        <v>115.56666666666668</v>
      </c>
    </row>
    <row r="20" spans="1:57" hidden="1">
      <c r="A20" t="s">
        <v>33</v>
      </c>
      <c r="B20">
        <v>2014</v>
      </c>
      <c r="C20" t="s">
        <v>40</v>
      </c>
      <c r="D20">
        <v>123.8</v>
      </c>
      <c r="E20">
        <f t="shared" si="0"/>
        <v>123.2</v>
      </c>
      <c r="F20">
        <v>126.4</v>
      </c>
      <c r="G20">
        <f t="shared" si="1"/>
        <v>125.46666666666665</v>
      </c>
      <c r="H20">
        <v>118</v>
      </c>
      <c r="I20">
        <f t="shared" si="2"/>
        <v>115.86666666666667</v>
      </c>
      <c r="J20">
        <v>121.6</v>
      </c>
      <c r="K20">
        <f t="shared" si="3"/>
        <v>120.36666666666667</v>
      </c>
      <c r="L20">
        <v>103.5</v>
      </c>
      <c r="M20">
        <f t="shared" si="4"/>
        <v>103.46666666666665</v>
      </c>
      <c r="N20">
        <v>133.69999999999999</v>
      </c>
      <c r="O20">
        <f t="shared" si="5"/>
        <v>131.36666666666665</v>
      </c>
      <c r="P20">
        <v>172.4</v>
      </c>
      <c r="Q20">
        <f t="shared" si="6"/>
        <v>145.63333333333333</v>
      </c>
      <c r="R20">
        <v>113.1</v>
      </c>
      <c r="S20">
        <f t="shared" si="7"/>
        <v>112.83333333333333</v>
      </c>
      <c r="T20">
        <v>102.7</v>
      </c>
      <c r="U20">
        <f t="shared" si="8"/>
        <v>101.8</v>
      </c>
      <c r="V20">
        <v>120</v>
      </c>
      <c r="W20">
        <f t="shared" si="9"/>
        <v>118.43333333333334</v>
      </c>
      <c r="X20">
        <v>113.8</v>
      </c>
      <c r="Y20">
        <f t="shared" si="10"/>
        <v>113.30000000000001</v>
      </c>
      <c r="Z20">
        <v>123.4</v>
      </c>
      <c r="AA20">
        <f t="shared" si="11"/>
        <v>122.5</v>
      </c>
      <c r="AB20">
        <v>127.1</v>
      </c>
      <c r="AC20">
        <f t="shared" si="12"/>
        <v>123.03333333333335</v>
      </c>
      <c r="AD20">
        <v>121</v>
      </c>
      <c r="AE20">
        <f t="shared" si="13"/>
        <v>119.43333333333334</v>
      </c>
      <c r="AF20">
        <v>118</v>
      </c>
      <c r="AG20">
        <f t="shared" si="14"/>
        <v>117.39999999999999</v>
      </c>
      <c r="AH20">
        <v>113.6</v>
      </c>
      <c r="AI20">
        <f t="shared" si="15"/>
        <v>113.23333333333335</v>
      </c>
      <c r="AJ20">
        <v>117.4</v>
      </c>
      <c r="AK20">
        <f t="shared" si="16"/>
        <v>116.76666666666667</v>
      </c>
      <c r="AL20">
        <v>114.8</v>
      </c>
      <c r="AM20">
        <f t="shared" si="17"/>
        <v>114.33333333333333</v>
      </c>
      <c r="AN20">
        <v>111.6</v>
      </c>
      <c r="AO20">
        <f t="shared" si="18"/>
        <v>111.3</v>
      </c>
      <c r="AP20">
        <v>114.9</v>
      </c>
      <c r="AQ20">
        <f t="shared" si="19"/>
        <v>114.43333333333332</v>
      </c>
      <c r="AR20">
        <v>111.5</v>
      </c>
      <c r="AS20">
        <f t="shared" si="20"/>
        <v>111.36666666666667</v>
      </c>
      <c r="AT20">
        <v>113</v>
      </c>
      <c r="AU20">
        <f t="shared" si="21"/>
        <v>111.93333333333334</v>
      </c>
      <c r="AV20">
        <v>112.4</v>
      </c>
      <c r="AW20">
        <f t="shared" si="22"/>
        <v>111.90000000000002</v>
      </c>
      <c r="AX20">
        <v>117.8</v>
      </c>
      <c r="AY20">
        <f t="shared" si="23"/>
        <v>115.26666666666667</v>
      </c>
      <c r="AZ20">
        <v>109.7</v>
      </c>
      <c r="BA20">
        <f t="shared" si="24"/>
        <v>109.23333333333333</v>
      </c>
      <c r="BB20">
        <v>113.5</v>
      </c>
      <c r="BC20">
        <f t="shared" si="25"/>
        <v>112.46666666666665</v>
      </c>
      <c r="BD20">
        <v>118.9</v>
      </c>
      <c r="BE20">
        <f t="shared" si="26"/>
        <v>116.96666666666665</v>
      </c>
    </row>
    <row r="21" spans="1:57" hidden="1">
      <c r="A21" t="s">
        <v>33</v>
      </c>
      <c r="B21">
        <v>2014</v>
      </c>
      <c r="C21" t="s">
        <v>41</v>
      </c>
      <c r="D21">
        <v>124.8</v>
      </c>
      <c r="E21">
        <f t="shared" si="0"/>
        <v>123.89999999999999</v>
      </c>
      <c r="F21">
        <v>127.3</v>
      </c>
      <c r="G21">
        <f t="shared" si="1"/>
        <v>126.53333333333335</v>
      </c>
      <c r="H21">
        <v>116.5</v>
      </c>
      <c r="I21">
        <f t="shared" si="2"/>
        <v>116.63333333333333</v>
      </c>
      <c r="J21">
        <v>122.2</v>
      </c>
      <c r="K21">
        <f t="shared" si="3"/>
        <v>121.39999999999999</v>
      </c>
      <c r="L21">
        <v>103.6</v>
      </c>
      <c r="M21">
        <f t="shared" si="4"/>
        <v>103.5</v>
      </c>
      <c r="N21">
        <v>132.69999999999999</v>
      </c>
      <c r="O21">
        <f t="shared" si="5"/>
        <v>132.53333333333333</v>
      </c>
      <c r="P21">
        <v>181.9</v>
      </c>
      <c r="Q21">
        <f t="shared" si="6"/>
        <v>163.93333333333331</v>
      </c>
      <c r="R21">
        <v>115.2</v>
      </c>
      <c r="S21">
        <f t="shared" si="7"/>
        <v>113.69999999999999</v>
      </c>
      <c r="T21">
        <v>102.7</v>
      </c>
      <c r="U21">
        <f t="shared" si="8"/>
        <v>102.26666666666667</v>
      </c>
      <c r="V21">
        <v>122.1</v>
      </c>
      <c r="W21">
        <f t="shared" si="9"/>
        <v>120.13333333333333</v>
      </c>
      <c r="X21">
        <v>114.4</v>
      </c>
      <c r="Y21">
        <f t="shared" si="10"/>
        <v>113.8</v>
      </c>
      <c r="Z21">
        <v>124.7</v>
      </c>
      <c r="AA21">
        <f t="shared" si="11"/>
        <v>123.5</v>
      </c>
      <c r="AB21">
        <v>128.9</v>
      </c>
      <c r="AC21">
        <f t="shared" si="12"/>
        <v>126</v>
      </c>
      <c r="AD21">
        <v>123</v>
      </c>
      <c r="AE21">
        <f t="shared" si="13"/>
        <v>121</v>
      </c>
      <c r="AF21">
        <v>118.6</v>
      </c>
      <c r="AG21">
        <f t="shared" si="14"/>
        <v>118</v>
      </c>
      <c r="AH21">
        <v>114.1</v>
      </c>
      <c r="AI21">
        <f t="shared" si="15"/>
        <v>113.63333333333333</v>
      </c>
      <c r="AJ21">
        <v>117.9</v>
      </c>
      <c r="AK21">
        <f t="shared" si="16"/>
        <v>117.33333333333333</v>
      </c>
      <c r="AL21">
        <v>115.5</v>
      </c>
      <c r="AM21">
        <f t="shared" si="17"/>
        <v>114.73333333333333</v>
      </c>
      <c r="AN21">
        <v>111.8</v>
      </c>
      <c r="AO21">
        <f t="shared" si="18"/>
        <v>111.53333333333335</v>
      </c>
      <c r="AP21">
        <v>115.3</v>
      </c>
      <c r="AQ21">
        <f t="shared" si="19"/>
        <v>114.83333333333333</v>
      </c>
      <c r="AR21">
        <v>112.2</v>
      </c>
      <c r="AS21">
        <f t="shared" si="20"/>
        <v>111.7</v>
      </c>
      <c r="AT21">
        <v>112.5</v>
      </c>
      <c r="AU21">
        <f t="shared" si="21"/>
        <v>112.33333333333333</v>
      </c>
      <c r="AV21">
        <v>112.9</v>
      </c>
      <c r="AW21">
        <f t="shared" si="22"/>
        <v>112.36666666666667</v>
      </c>
      <c r="AX21">
        <v>119.2</v>
      </c>
      <c r="AY21">
        <f t="shared" si="23"/>
        <v>117.36666666666666</v>
      </c>
      <c r="AZ21">
        <v>110.5</v>
      </c>
      <c r="BA21">
        <f t="shared" si="24"/>
        <v>109.63333333333333</v>
      </c>
      <c r="BB21">
        <v>113.9</v>
      </c>
      <c r="BC21">
        <f t="shared" si="25"/>
        <v>113.2</v>
      </c>
      <c r="BD21">
        <v>119.9</v>
      </c>
      <c r="BE21">
        <f t="shared" si="26"/>
        <v>118.40000000000002</v>
      </c>
    </row>
    <row r="22" spans="1:57" hidden="1">
      <c r="A22" t="s">
        <v>33</v>
      </c>
      <c r="B22">
        <v>2014</v>
      </c>
      <c r="C22" t="s">
        <v>42</v>
      </c>
      <c r="D22">
        <v>124.2</v>
      </c>
      <c r="E22">
        <f t="shared" si="0"/>
        <v>124.26666666666667</v>
      </c>
      <c r="F22">
        <v>125.4</v>
      </c>
      <c r="G22">
        <f t="shared" si="1"/>
        <v>126.36666666666667</v>
      </c>
      <c r="H22">
        <v>116.4</v>
      </c>
      <c r="I22">
        <f t="shared" si="2"/>
        <v>116.96666666666665</v>
      </c>
      <c r="J22">
        <v>122.7</v>
      </c>
      <c r="K22">
        <f t="shared" si="3"/>
        <v>122.16666666666667</v>
      </c>
      <c r="L22">
        <v>103.5</v>
      </c>
      <c r="M22">
        <f t="shared" si="4"/>
        <v>103.53333333333335</v>
      </c>
      <c r="N22">
        <v>124.5</v>
      </c>
      <c r="O22">
        <f t="shared" si="5"/>
        <v>130.29999999999998</v>
      </c>
      <c r="P22">
        <v>168.6</v>
      </c>
      <c r="Q22">
        <f t="shared" si="6"/>
        <v>174.29999999999998</v>
      </c>
      <c r="R22">
        <v>116.9</v>
      </c>
      <c r="S22">
        <f t="shared" si="7"/>
        <v>115.06666666666668</v>
      </c>
      <c r="T22">
        <v>101.9</v>
      </c>
      <c r="U22">
        <f t="shared" si="8"/>
        <v>102.43333333333334</v>
      </c>
      <c r="V22">
        <v>122.9</v>
      </c>
      <c r="W22">
        <f t="shared" si="9"/>
        <v>121.66666666666667</v>
      </c>
      <c r="X22">
        <v>114.8</v>
      </c>
      <c r="Y22">
        <f t="shared" si="10"/>
        <v>114.33333333333333</v>
      </c>
      <c r="Z22">
        <v>125.2</v>
      </c>
      <c r="AA22">
        <f t="shared" si="11"/>
        <v>124.43333333333334</v>
      </c>
      <c r="AB22">
        <v>126.7</v>
      </c>
      <c r="AC22">
        <f t="shared" si="12"/>
        <v>127.56666666666666</v>
      </c>
      <c r="AD22">
        <v>124.3</v>
      </c>
      <c r="AE22">
        <f t="shared" si="13"/>
        <v>122.76666666666667</v>
      </c>
      <c r="AF22">
        <v>119.2</v>
      </c>
      <c r="AG22">
        <f t="shared" si="14"/>
        <v>118.60000000000001</v>
      </c>
      <c r="AH22">
        <v>114.5</v>
      </c>
      <c r="AI22">
        <f t="shared" si="15"/>
        <v>114.06666666666666</v>
      </c>
      <c r="AJ22">
        <v>118.4</v>
      </c>
      <c r="AK22">
        <f t="shared" si="16"/>
        <v>117.90000000000002</v>
      </c>
      <c r="AL22">
        <v>116.1</v>
      </c>
      <c r="AM22">
        <f t="shared" si="17"/>
        <v>115.46666666666665</v>
      </c>
      <c r="AN22">
        <v>111.8</v>
      </c>
      <c r="AO22">
        <f t="shared" si="18"/>
        <v>111.73333333333333</v>
      </c>
      <c r="AP22">
        <v>115.5</v>
      </c>
      <c r="AQ22">
        <f t="shared" si="19"/>
        <v>115.23333333333333</v>
      </c>
      <c r="AR22">
        <v>112.3</v>
      </c>
      <c r="AS22">
        <f t="shared" si="20"/>
        <v>112</v>
      </c>
      <c r="AT22">
        <v>111.2</v>
      </c>
      <c r="AU22">
        <f t="shared" si="21"/>
        <v>112.23333333333333</v>
      </c>
      <c r="AV22">
        <v>113.4</v>
      </c>
      <c r="AW22">
        <f t="shared" si="22"/>
        <v>112.90000000000002</v>
      </c>
      <c r="AX22">
        <v>120</v>
      </c>
      <c r="AY22">
        <f t="shared" si="23"/>
        <v>119</v>
      </c>
      <c r="AZ22">
        <v>110</v>
      </c>
      <c r="BA22">
        <f t="shared" si="24"/>
        <v>110.06666666666666</v>
      </c>
      <c r="BB22">
        <v>113.6</v>
      </c>
      <c r="BC22">
        <f t="shared" si="25"/>
        <v>113.66666666666667</v>
      </c>
      <c r="BD22">
        <v>119.2</v>
      </c>
      <c r="BE22">
        <f t="shared" si="26"/>
        <v>119.33333333333333</v>
      </c>
    </row>
    <row r="23" spans="1:57" hidden="1">
      <c r="A23" t="s">
        <v>33</v>
      </c>
      <c r="B23">
        <v>2014</v>
      </c>
      <c r="C23" t="s">
        <v>43</v>
      </c>
      <c r="D23">
        <v>124.6</v>
      </c>
      <c r="E23">
        <f t="shared" si="0"/>
        <v>124.53333333333335</v>
      </c>
      <c r="F23">
        <v>126.1</v>
      </c>
      <c r="G23">
        <f t="shared" si="1"/>
        <v>126.26666666666665</v>
      </c>
      <c r="H23">
        <v>117.8</v>
      </c>
      <c r="I23">
        <f t="shared" si="2"/>
        <v>116.89999999999999</v>
      </c>
      <c r="J23">
        <v>123.1</v>
      </c>
      <c r="K23">
        <f t="shared" si="3"/>
        <v>122.66666666666667</v>
      </c>
      <c r="L23">
        <v>103.5</v>
      </c>
      <c r="M23">
        <f t="shared" si="4"/>
        <v>103.53333333333335</v>
      </c>
      <c r="N23">
        <v>123.5</v>
      </c>
      <c r="O23">
        <f t="shared" si="5"/>
        <v>126.89999999999999</v>
      </c>
      <c r="P23">
        <v>159.6</v>
      </c>
      <c r="Q23">
        <f t="shared" si="6"/>
        <v>170.03333333333333</v>
      </c>
      <c r="R23">
        <v>117.4</v>
      </c>
      <c r="S23">
        <f t="shared" si="7"/>
        <v>116.5</v>
      </c>
      <c r="T23">
        <v>101.2</v>
      </c>
      <c r="U23">
        <f t="shared" si="8"/>
        <v>101.93333333333334</v>
      </c>
      <c r="V23">
        <v>123.8</v>
      </c>
      <c r="W23">
        <f t="shared" si="9"/>
        <v>122.93333333333334</v>
      </c>
      <c r="X23">
        <v>115.2</v>
      </c>
      <c r="Y23">
        <f t="shared" si="10"/>
        <v>114.8</v>
      </c>
      <c r="Z23">
        <v>125.9</v>
      </c>
      <c r="AA23">
        <f t="shared" si="11"/>
        <v>125.26666666666667</v>
      </c>
      <c r="AB23">
        <v>125.8</v>
      </c>
      <c r="AC23">
        <f t="shared" si="12"/>
        <v>127.13333333333334</v>
      </c>
      <c r="AD23">
        <v>124.3</v>
      </c>
      <c r="AE23">
        <f t="shared" si="13"/>
        <v>123.86666666666667</v>
      </c>
      <c r="AF23">
        <v>119.6</v>
      </c>
      <c r="AG23">
        <f t="shared" si="14"/>
        <v>119.13333333333333</v>
      </c>
      <c r="AH23">
        <v>114.9</v>
      </c>
      <c r="AI23">
        <f t="shared" si="15"/>
        <v>114.5</v>
      </c>
      <c r="AJ23">
        <v>118.9</v>
      </c>
      <c r="AK23">
        <f t="shared" si="16"/>
        <v>118.40000000000002</v>
      </c>
      <c r="AL23">
        <v>116.7</v>
      </c>
      <c r="AM23">
        <f t="shared" si="17"/>
        <v>116.10000000000001</v>
      </c>
      <c r="AN23">
        <v>112</v>
      </c>
      <c r="AO23">
        <f t="shared" si="18"/>
        <v>111.86666666666667</v>
      </c>
      <c r="AP23">
        <v>115.8</v>
      </c>
      <c r="AQ23">
        <f t="shared" si="19"/>
        <v>115.53333333333335</v>
      </c>
      <c r="AR23">
        <v>112.6</v>
      </c>
      <c r="AS23">
        <f t="shared" si="20"/>
        <v>112.36666666666667</v>
      </c>
      <c r="AT23">
        <v>111</v>
      </c>
      <c r="AU23">
        <f t="shared" si="21"/>
        <v>111.56666666666666</v>
      </c>
      <c r="AV23">
        <v>113.6</v>
      </c>
      <c r="AW23">
        <f t="shared" si="22"/>
        <v>113.3</v>
      </c>
      <c r="AX23">
        <v>120.2</v>
      </c>
      <c r="AY23">
        <f t="shared" si="23"/>
        <v>119.8</v>
      </c>
      <c r="AZ23">
        <v>110.1</v>
      </c>
      <c r="BA23">
        <f t="shared" si="24"/>
        <v>110.2</v>
      </c>
      <c r="BB23">
        <v>113.7</v>
      </c>
      <c r="BC23">
        <f t="shared" si="25"/>
        <v>113.73333333333333</v>
      </c>
      <c r="BD23">
        <v>119.1</v>
      </c>
      <c r="BE23">
        <f t="shared" si="26"/>
        <v>119.40000000000002</v>
      </c>
    </row>
    <row r="24" spans="1:57" hidden="1">
      <c r="A24" t="s">
        <v>33</v>
      </c>
      <c r="B24">
        <v>2014</v>
      </c>
      <c r="C24" t="s">
        <v>45</v>
      </c>
      <c r="D24">
        <v>124.5</v>
      </c>
      <c r="E24">
        <f t="shared" si="0"/>
        <v>124.43333333333334</v>
      </c>
      <c r="F24">
        <v>125.6</v>
      </c>
      <c r="G24">
        <f t="shared" si="1"/>
        <v>125.7</v>
      </c>
      <c r="H24">
        <v>122.7</v>
      </c>
      <c r="I24">
        <f t="shared" si="2"/>
        <v>118.96666666666665</v>
      </c>
      <c r="J24">
        <v>124.6</v>
      </c>
      <c r="K24">
        <f t="shared" si="3"/>
        <v>123.46666666666665</v>
      </c>
      <c r="L24">
        <v>103.2</v>
      </c>
      <c r="M24">
        <f t="shared" si="4"/>
        <v>103.39999999999999</v>
      </c>
      <c r="N24">
        <v>122.2</v>
      </c>
      <c r="O24">
        <f t="shared" si="5"/>
        <v>123.39999999999999</v>
      </c>
      <c r="P24">
        <v>153.19999999999999</v>
      </c>
      <c r="Q24">
        <f t="shared" si="6"/>
        <v>160.46666666666667</v>
      </c>
      <c r="R24">
        <v>119.3</v>
      </c>
      <c r="S24">
        <f t="shared" si="7"/>
        <v>117.86666666666667</v>
      </c>
      <c r="T24">
        <v>99.8</v>
      </c>
      <c r="U24">
        <f t="shared" si="8"/>
        <v>100.96666666666668</v>
      </c>
      <c r="V24">
        <v>124.6</v>
      </c>
      <c r="W24">
        <f t="shared" si="9"/>
        <v>123.76666666666665</v>
      </c>
      <c r="X24">
        <v>115.8</v>
      </c>
      <c r="Y24">
        <f t="shared" si="10"/>
        <v>115.26666666666667</v>
      </c>
      <c r="Z24">
        <v>126.9</v>
      </c>
      <c r="AA24">
        <f t="shared" si="11"/>
        <v>126</v>
      </c>
      <c r="AB24">
        <v>125.4</v>
      </c>
      <c r="AC24">
        <f t="shared" si="12"/>
        <v>125.96666666666665</v>
      </c>
      <c r="AD24">
        <v>125.8</v>
      </c>
      <c r="AE24">
        <f t="shared" si="13"/>
        <v>124.8</v>
      </c>
      <c r="AF24">
        <v>120.3</v>
      </c>
      <c r="AG24">
        <f t="shared" si="14"/>
        <v>119.7</v>
      </c>
      <c r="AH24">
        <v>115.4</v>
      </c>
      <c r="AI24">
        <f t="shared" si="15"/>
        <v>114.93333333333334</v>
      </c>
      <c r="AJ24">
        <v>119.5</v>
      </c>
      <c r="AK24">
        <f t="shared" si="16"/>
        <v>118.93333333333334</v>
      </c>
      <c r="AL24">
        <v>117.1</v>
      </c>
      <c r="AM24">
        <f t="shared" si="17"/>
        <v>116.63333333333333</v>
      </c>
      <c r="AN24">
        <v>112.6</v>
      </c>
      <c r="AO24">
        <f t="shared" si="18"/>
        <v>112.13333333333333</v>
      </c>
      <c r="AP24">
        <v>116.4</v>
      </c>
      <c r="AQ24">
        <f t="shared" si="19"/>
        <v>115.90000000000002</v>
      </c>
      <c r="AR24">
        <v>113</v>
      </c>
      <c r="AS24">
        <f t="shared" si="20"/>
        <v>112.63333333333333</v>
      </c>
      <c r="AT24">
        <v>109.7</v>
      </c>
      <c r="AU24">
        <f t="shared" si="21"/>
        <v>110.63333333333333</v>
      </c>
      <c r="AV24">
        <v>114</v>
      </c>
      <c r="AW24">
        <f t="shared" si="22"/>
        <v>113.66666666666667</v>
      </c>
      <c r="AX24">
        <v>120.3</v>
      </c>
      <c r="AY24">
        <f t="shared" si="23"/>
        <v>120.16666666666667</v>
      </c>
      <c r="AZ24">
        <v>109.6</v>
      </c>
      <c r="BA24">
        <f t="shared" si="24"/>
        <v>109.89999999999999</v>
      </c>
      <c r="BB24">
        <v>113.4</v>
      </c>
      <c r="BC24">
        <f t="shared" si="25"/>
        <v>113.56666666666668</v>
      </c>
      <c r="BD24">
        <v>119</v>
      </c>
      <c r="BE24">
        <f t="shared" si="26"/>
        <v>119.10000000000001</v>
      </c>
    </row>
    <row r="25" spans="1:57" hidden="1">
      <c r="A25" t="s">
        <v>33</v>
      </c>
      <c r="B25">
        <v>2014</v>
      </c>
      <c r="C25" t="s">
        <v>46</v>
      </c>
      <c r="D25">
        <v>124</v>
      </c>
      <c r="E25">
        <f t="shared" si="0"/>
        <v>124.36666666666667</v>
      </c>
      <c r="F25">
        <v>124.7</v>
      </c>
      <c r="G25">
        <f t="shared" si="1"/>
        <v>125.46666666666665</v>
      </c>
      <c r="H25">
        <v>126.3</v>
      </c>
      <c r="I25">
        <f t="shared" si="2"/>
        <v>122.26666666666667</v>
      </c>
      <c r="J25">
        <v>124.9</v>
      </c>
      <c r="K25">
        <f t="shared" si="3"/>
        <v>124.2</v>
      </c>
      <c r="L25">
        <v>103</v>
      </c>
      <c r="M25">
        <f t="shared" si="4"/>
        <v>103.23333333333333</v>
      </c>
      <c r="N25">
        <v>122.3</v>
      </c>
      <c r="O25">
        <f t="shared" si="5"/>
        <v>122.66666666666667</v>
      </c>
      <c r="P25">
        <v>141</v>
      </c>
      <c r="Q25">
        <f t="shared" si="6"/>
        <v>151.26666666666665</v>
      </c>
      <c r="R25">
        <v>120.1</v>
      </c>
      <c r="S25">
        <f t="shared" si="7"/>
        <v>118.93333333333332</v>
      </c>
      <c r="T25">
        <v>97.8</v>
      </c>
      <c r="U25">
        <f t="shared" si="8"/>
        <v>99.600000000000009</v>
      </c>
      <c r="V25">
        <v>125.4</v>
      </c>
      <c r="W25">
        <f t="shared" si="9"/>
        <v>124.59999999999998</v>
      </c>
      <c r="X25">
        <v>116.1</v>
      </c>
      <c r="Y25">
        <f t="shared" si="10"/>
        <v>115.7</v>
      </c>
      <c r="Z25">
        <v>127.6</v>
      </c>
      <c r="AA25">
        <f t="shared" si="11"/>
        <v>126.8</v>
      </c>
      <c r="AB25">
        <v>124</v>
      </c>
      <c r="AC25">
        <f t="shared" si="12"/>
        <v>125.06666666666666</v>
      </c>
      <c r="AD25">
        <v>126.4</v>
      </c>
      <c r="AE25">
        <f t="shared" si="13"/>
        <v>125.5</v>
      </c>
      <c r="AF25">
        <v>120.7</v>
      </c>
      <c r="AG25">
        <f t="shared" si="14"/>
        <v>120.19999999999999</v>
      </c>
      <c r="AH25">
        <v>115.8</v>
      </c>
      <c r="AI25">
        <f t="shared" si="15"/>
        <v>115.36666666666667</v>
      </c>
      <c r="AJ25">
        <v>120</v>
      </c>
      <c r="AK25">
        <f t="shared" si="16"/>
        <v>119.46666666666665</v>
      </c>
      <c r="AL25">
        <v>116.5</v>
      </c>
      <c r="AM25">
        <f t="shared" si="17"/>
        <v>116.76666666666667</v>
      </c>
      <c r="AN25">
        <v>113</v>
      </c>
      <c r="AO25">
        <f t="shared" si="18"/>
        <v>112.53333333333335</v>
      </c>
      <c r="AP25">
        <v>116.8</v>
      </c>
      <c r="AQ25">
        <f t="shared" si="19"/>
        <v>116.33333333333333</v>
      </c>
      <c r="AR25">
        <v>113.2</v>
      </c>
      <c r="AS25">
        <f t="shared" si="20"/>
        <v>112.93333333333334</v>
      </c>
      <c r="AT25">
        <v>108.8</v>
      </c>
      <c r="AU25">
        <f t="shared" si="21"/>
        <v>109.83333333333333</v>
      </c>
      <c r="AV25">
        <v>114.3</v>
      </c>
      <c r="AW25">
        <f t="shared" si="22"/>
        <v>113.96666666666665</v>
      </c>
      <c r="AX25">
        <v>120.7</v>
      </c>
      <c r="AY25">
        <f t="shared" si="23"/>
        <v>120.39999999999999</v>
      </c>
      <c r="AZ25">
        <v>110.4</v>
      </c>
      <c r="BA25">
        <f t="shared" si="24"/>
        <v>110.03333333333335</v>
      </c>
      <c r="BB25">
        <v>113.4</v>
      </c>
      <c r="BC25">
        <f t="shared" si="25"/>
        <v>113.5</v>
      </c>
      <c r="BD25">
        <v>118.4</v>
      </c>
      <c r="BE25">
        <f t="shared" si="26"/>
        <v>118.83333333333333</v>
      </c>
    </row>
    <row r="26" spans="1:57" hidden="1">
      <c r="A26" t="s">
        <v>33</v>
      </c>
      <c r="B26">
        <v>2015</v>
      </c>
      <c r="C26" t="s">
        <v>31</v>
      </c>
      <c r="D26">
        <v>124</v>
      </c>
      <c r="E26">
        <f t="shared" si="0"/>
        <v>124.16666666666667</v>
      </c>
      <c r="F26">
        <v>125.5</v>
      </c>
      <c r="G26">
        <f t="shared" si="1"/>
        <v>125.26666666666667</v>
      </c>
      <c r="H26">
        <v>126.6</v>
      </c>
      <c r="I26">
        <f t="shared" si="2"/>
        <v>125.2</v>
      </c>
      <c r="J26">
        <v>125.2</v>
      </c>
      <c r="K26">
        <f t="shared" si="3"/>
        <v>124.89999999999999</v>
      </c>
      <c r="L26">
        <v>104.3</v>
      </c>
      <c r="M26">
        <f t="shared" si="4"/>
        <v>103.5</v>
      </c>
      <c r="N26">
        <v>121.3</v>
      </c>
      <c r="O26">
        <f t="shared" si="5"/>
        <v>121.93333333333334</v>
      </c>
      <c r="P26">
        <v>134.4</v>
      </c>
      <c r="Q26">
        <f t="shared" si="6"/>
        <v>142.86666666666667</v>
      </c>
      <c r="R26">
        <v>122.9</v>
      </c>
      <c r="S26">
        <f t="shared" si="7"/>
        <v>120.76666666666665</v>
      </c>
      <c r="T26">
        <v>96.1</v>
      </c>
      <c r="U26">
        <f t="shared" si="8"/>
        <v>97.899999999999991</v>
      </c>
      <c r="V26">
        <v>126.6</v>
      </c>
      <c r="W26">
        <f t="shared" si="9"/>
        <v>125.53333333333335</v>
      </c>
      <c r="X26">
        <v>116.5</v>
      </c>
      <c r="Y26">
        <f t="shared" si="10"/>
        <v>116.13333333333333</v>
      </c>
      <c r="Z26">
        <v>128</v>
      </c>
      <c r="AA26">
        <f t="shared" si="11"/>
        <v>127.5</v>
      </c>
      <c r="AB26">
        <v>123.5</v>
      </c>
      <c r="AC26">
        <f t="shared" si="12"/>
        <v>124.3</v>
      </c>
      <c r="AD26">
        <v>127.4</v>
      </c>
      <c r="AE26">
        <f t="shared" si="13"/>
        <v>126.53333333333335</v>
      </c>
      <c r="AF26">
        <v>121</v>
      </c>
      <c r="AG26">
        <f t="shared" si="14"/>
        <v>120.66666666666667</v>
      </c>
      <c r="AH26">
        <v>116.1</v>
      </c>
      <c r="AI26">
        <f t="shared" si="15"/>
        <v>115.76666666666665</v>
      </c>
      <c r="AJ26">
        <v>120.2</v>
      </c>
      <c r="AK26">
        <f t="shared" si="16"/>
        <v>119.89999999999999</v>
      </c>
      <c r="AL26">
        <v>117.3</v>
      </c>
      <c r="AM26">
        <f t="shared" si="17"/>
        <v>116.96666666666665</v>
      </c>
      <c r="AN26">
        <v>113.4</v>
      </c>
      <c r="AO26">
        <f t="shared" si="18"/>
        <v>113</v>
      </c>
      <c r="AP26">
        <v>117.2</v>
      </c>
      <c r="AQ26">
        <f t="shared" si="19"/>
        <v>116.8</v>
      </c>
      <c r="AR26">
        <v>113.7</v>
      </c>
      <c r="AS26">
        <f t="shared" si="20"/>
        <v>113.3</v>
      </c>
      <c r="AT26">
        <v>107.9</v>
      </c>
      <c r="AU26">
        <f t="shared" si="21"/>
        <v>108.8</v>
      </c>
      <c r="AV26">
        <v>114.6</v>
      </c>
      <c r="AW26">
        <f t="shared" si="22"/>
        <v>114.3</v>
      </c>
      <c r="AX26">
        <v>120.8</v>
      </c>
      <c r="AY26">
        <f t="shared" si="23"/>
        <v>120.60000000000001</v>
      </c>
      <c r="AZ26">
        <v>111.4</v>
      </c>
      <c r="BA26">
        <f t="shared" si="24"/>
        <v>110.46666666666665</v>
      </c>
      <c r="BB26">
        <v>113.4</v>
      </c>
      <c r="BC26">
        <f t="shared" si="25"/>
        <v>113.40000000000002</v>
      </c>
      <c r="BD26">
        <v>118.5</v>
      </c>
      <c r="BE26">
        <f t="shared" si="26"/>
        <v>118.63333333333333</v>
      </c>
    </row>
    <row r="27" spans="1:57" hidden="1">
      <c r="A27" t="s">
        <v>33</v>
      </c>
      <c r="B27">
        <v>2015</v>
      </c>
      <c r="C27" t="s">
        <v>35</v>
      </c>
      <c r="D27">
        <v>124.3</v>
      </c>
      <c r="E27">
        <f t="shared" si="0"/>
        <v>124.10000000000001</v>
      </c>
      <c r="F27">
        <v>126.5</v>
      </c>
      <c r="G27">
        <f t="shared" si="1"/>
        <v>125.56666666666666</v>
      </c>
      <c r="H27">
        <v>119.5</v>
      </c>
      <c r="I27">
        <f t="shared" si="2"/>
        <v>124.13333333333333</v>
      </c>
      <c r="J27">
        <v>125.6</v>
      </c>
      <c r="K27">
        <f t="shared" si="3"/>
        <v>125.23333333333335</v>
      </c>
      <c r="L27">
        <v>104.9</v>
      </c>
      <c r="M27">
        <f t="shared" si="4"/>
        <v>104.06666666666668</v>
      </c>
      <c r="N27">
        <v>121.6</v>
      </c>
      <c r="O27">
        <f t="shared" si="5"/>
        <v>121.73333333333333</v>
      </c>
      <c r="P27">
        <v>131.80000000000001</v>
      </c>
      <c r="Q27">
        <f t="shared" si="6"/>
        <v>135.73333333333332</v>
      </c>
      <c r="R27">
        <v>125.1</v>
      </c>
      <c r="S27">
        <f t="shared" si="7"/>
        <v>122.7</v>
      </c>
      <c r="T27">
        <v>95</v>
      </c>
      <c r="U27">
        <f t="shared" si="8"/>
        <v>96.3</v>
      </c>
      <c r="V27">
        <v>127.7</v>
      </c>
      <c r="W27">
        <f t="shared" si="9"/>
        <v>126.56666666666666</v>
      </c>
      <c r="X27">
        <v>116.8</v>
      </c>
      <c r="Y27">
        <f t="shared" si="10"/>
        <v>116.46666666666665</v>
      </c>
      <c r="Z27">
        <v>128.6</v>
      </c>
      <c r="AA27">
        <f t="shared" si="11"/>
        <v>128.06666666666666</v>
      </c>
      <c r="AB27">
        <v>123.7</v>
      </c>
      <c r="AC27">
        <f t="shared" si="12"/>
        <v>123.73333333333333</v>
      </c>
      <c r="AD27">
        <v>128.1</v>
      </c>
      <c r="AE27">
        <f t="shared" si="13"/>
        <v>127.3</v>
      </c>
      <c r="AF27">
        <v>121.3</v>
      </c>
      <c r="AG27">
        <f t="shared" si="14"/>
        <v>121</v>
      </c>
      <c r="AH27">
        <v>116.5</v>
      </c>
      <c r="AI27">
        <f t="shared" si="15"/>
        <v>116.13333333333333</v>
      </c>
      <c r="AJ27">
        <v>120.6</v>
      </c>
      <c r="AK27">
        <f t="shared" si="16"/>
        <v>120.26666666666665</v>
      </c>
      <c r="AL27">
        <v>118.1</v>
      </c>
      <c r="AM27">
        <f t="shared" si="17"/>
        <v>117.3</v>
      </c>
      <c r="AN27">
        <v>114</v>
      </c>
      <c r="AO27">
        <f t="shared" si="18"/>
        <v>113.46666666666665</v>
      </c>
      <c r="AP27">
        <v>117.7</v>
      </c>
      <c r="AQ27">
        <f t="shared" si="19"/>
        <v>117.23333333333333</v>
      </c>
      <c r="AR27">
        <v>114.1</v>
      </c>
      <c r="AS27">
        <f t="shared" si="20"/>
        <v>113.66666666666667</v>
      </c>
      <c r="AT27">
        <v>106.8</v>
      </c>
      <c r="AU27">
        <f t="shared" si="21"/>
        <v>107.83333333333333</v>
      </c>
      <c r="AV27">
        <v>114.9</v>
      </c>
      <c r="AW27">
        <f t="shared" si="22"/>
        <v>114.59999999999998</v>
      </c>
      <c r="AX27">
        <v>120.4</v>
      </c>
      <c r="AY27">
        <f t="shared" si="23"/>
        <v>120.63333333333333</v>
      </c>
      <c r="AZ27">
        <v>111.7</v>
      </c>
      <c r="BA27">
        <f t="shared" si="24"/>
        <v>111.16666666666667</v>
      </c>
      <c r="BB27">
        <v>113.2</v>
      </c>
      <c r="BC27">
        <f t="shared" si="25"/>
        <v>113.33333333333333</v>
      </c>
      <c r="BD27">
        <v>118.7</v>
      </c>
      <c r="BE27">
        <f t="shared" si="26"/>
        <v>118.53333333333335</v>
      </c>
    </row>
    <row r="28" spans="1:57" hidden="1">
      <c r="A28" t="s">
        <v>33</v>
      </c>
      <c r="B28">
        <v>2015</v>
      </c>
      <c r="C28" t="s">
        <v>36</v>
      </c>
      <c r="D28">
        <v>124</v>
      </c>
      <c r="E28">
        <f t="shared" si="0"/>
        <v>124.10000000000001</v>
      </c>
      <c r="F28">
        <v>126.7</v>
      </c>
      <c r="G28">
        <f t="shared" si="1"/>
        <v>126.23333333333333</v>
      </c>
      <c r="H28">
        <v>113.5</v>
      </c>
      <c r="I28">
        <f t="shared" si="2"/>
        <v>119.86666666666667</v>
      </c>
      <c r="J28">
        <v>125.9</v>
      </c>
      <c r="K28">
        <f t="shared" si="3"/>
        <v>125.56666666666668</v>
      </c>
      <c r="L28">
        <v>104.8</v>
      </c>
      <c r="M28">
        <f t="shared" si="4"/>
        <v>104.66666666666667</v>
      </c>
      <c r="N28">
        <v>123.8</v>
      </c>
      <c r="O28">
        <f t="shared" si="5"/>
        <v>122.23333333333333</v>
      </c>
      <c r="P28">
        <v>131.4</v>
      </c>
      <c r="Q28">
        <f t="shared" si="6"/>
        <v>132.53333333333333</v>
      </c>
      <c r="R28">
        <v>127.2</v>
      </c>
      <c r="S28">
        <f t="shared" si="7"/>
        <v>125.06666666666666</v>
      </c>
      <c r="T28">
        <v>93.2</v>
      </c>
      <c r="U28">
        <f t="shared" si="8"/>
        <v>94.766666666666666</v>
      </c>
      <c r="V28">
        <v>127.4</v>
      </c>
      <c r="W28">
        <f t="shared" si="9"/>
        <v>127.23333333333335</v>
      </c>
      <c r="X28">
        <v>117</v>
      </c>
      <c r="Y28">
        <f t="shared" si="10"/>
        <v>116.76666666666667</v>
      </c>
      <c r="Z28">
        <v>129.19999999999999</v>
      </c>
      <c r="AA28">
        <f t="shared" si="11"/>
        <v>128.6</v>
      </c>
      <c r="AB28">
        <v>123.9</v>
      </c>
      <c r="AC28">
        <f t="shared" si="12"/>
        <v>123.7</v>
      </c>
      <c r="AD28">
        <v>128.80000000000001</v>
      </c>
      <c r="AE28">
        <f t="shared" si="13"/>
        <v>128.1</v>
      </c>
      <c r="AF28">
        <v>121.7</v>
      </c>
      <c r="AG28">
        <f t="shared" si="14"/>
        <v>121.33333333333333</v>
      </c>
      <c r="AH28">
        <v>116.9</v>
      </c>
      <c r="AI28">
        <f t="shared" si="15"/>
        <v>116.5</v>
      </c>
      <c r="AJ28">
        <v>120.9</v>
      </c>
      <c r="AK28">
        <f t="shared" si="16"/>
        <v>120.56666666666668</v>
      </c>
      <c r="AL28">
        <v>118.6</v>
      </c>
      <c r="AM28">
        <f t="shared" si="17"/>
        <v>118</v>
      </c>
      <c r="AN28">
        <v>114.4</v>
      </c>
      <c r="AO28">
        <f t="shared" si="18"/>
        <v>113.93333333333334</v>
      </c>
      <c r="AP28">
        <v>118</v>
      </c>
      <c r="AQ28">
        <f t="shared" si="19"/>
        <v>117.63333333333333</v>
      </c>
      <c r="AR28">
        <v>114.3</v>
      </c>
      <c r="AS28">
        <f t="shared" si="20"/>
        <v>114.03333333333335</v>
      </c>
      <c r="AT28">
        <v>108.4</v>
      </c>
      <c r="AU28">
        <f t="shared" si="21"/>
        <v>107.7</v>
      </c>
      <c r="AV28">
        <v>115.4</v>
      </c>
      <c r="AW28">
        <f t="shared" si="22"/>
        <v>114.96666666666665</v>
      </c>
      <c r="AX28">
        <v>120.6</v>
      </c>
      <c r="AY28">
        <f t="shared" si="23"/>
        <v>120.59999999999998</v>
      </c>
      <c r="AZ28">
        <v>111.3</v>
      </c>
      <c r="BA28">
        <f t="shared" si="24"/>
        <v>111.46666666666668</v>
      </c>
      <c r="BB28">
        <v>113.8</v>
      </c>
      <c r="BC28">
        <f t="shared" si="25"/>
        <v>113.46666666666668</v>
      </c>
      <c r="BD28">
        <v>119.1</v>
      </c>
      <c r="BE28">
        <f t="shared" si="26"/>
        <v>118.76666666666665</v>
      </c>
    </row>
    <row r="29" spans="1:57" hidden="1">
      <c r="A29" t="s">
        <v>33</v>
      </c>
      <c r="B29">
        <v>2015</v>
      </c>
      <c r="C29" t="s">
        <v>37</v>
      </c>
      <c r="D29">
        <v>123.8</v>
      </c>
      <c r="E29">
        <f t="shared" si="0"/>
        <v>124.03333333333335</v>
      </c>
      <c r="F29">
        <v>128.19999999999999</v>
      </c>
      <c r="G29">
        <f t="shared" si="1"/>
        <v>127.13333333333333</v>
      </c>
      <c r="H29">
        <v>110</v>
      </c>
      <c r="I29">
        <f t="shared" si="2"/>
        <v>114.33333333333333</v>
      </c>
      <c r="J29">
        <v>126.3</v>
      </c>
      <c r="K29">
        <f t="shared" si="3"/>
        <v>125.93333333333334</v>
      </c>
      <c r="L29">
        <v>104.5</v>
      </c>
      <c r="M29">
        <f t="shared" si="4"/>
        <v>104.73333333333333</v>
      </c>
      <c r="N29">
        <v>130.6</v>
      </c>
      <c r="O29">
        <f t="shared" si="5"/>
        <v>125.33333333333333</v>
      </c>
      <c r="P29">
        <v>130.80000000000001</v>
      </c>
      <c r="Q29">
        <f t="shared" si="6"/>
        <v>131.33333333333334</v>
      </c>
      <c r="R29">
        <v>131.30000000000001</v>
      </c>
      <c r="S29">
        <f t="shared" si="7"/>
        <v>127.86666666666667</v>
      </c>
      <c r="T29">
        <v>91.6</v>
      </c>
      <c r="U29">
        <f t="shared" si="8"/>
        <v>93.266666666666652</v>
      </c>
      <c r="V29">
        <v>127.7</v>
      </c>
      <c r="W29">
        <f t="shared" si="9"/>
        <v>127.60000000000001</v>
      </c>
      <c r="X29">
        <v>117.2</v>
      </c>
      <c r="Y29">
        <f t="shared" si="10"/>
        <v>117</v>
      </c>
      <c r="Z29">
        <v>129.5</v>
      </c>
      <c r="AA29">
        <f t="shared" si="11"/>
        <v>129.1</v>
      </c>
      <c r="AB29">
        <v>124.6</v>
      </c>
      <c r="AC29">
        <f t="shared" si="12"/>
        <v>124.06666666666668</v>
      </c>
      <c r="AD29">
        <v>130.1</v>
      </c>
      <c r="AE29">
        <f t="shared" si="13"/>
        <v>129</v>
      </c>
      <c r="AF29">
        <v>122.1</v>
      </c>
      <c r="AG29">
        <f t="shared" si="14"/>
        <v>121.7</v>
      </c>
      <c r="AH29">
        <v>117.2</v>
      </c>
      <c r="AI29">
        <f t="shared" si="15"/>
        <v>116.86666666666667</v>
      </c>
      <c r="AJ29">
        <v>121.3</v>
      </c>
      <c r="AK29">
        <f t="shared" si="16"/>
        <v>120.93333333333334</v>
      </c>
      <c r="AL29">
        <v>119.2</v>
      </c>
      <c r="AM29">
        <f t="shared" si="17"/>
        <v>118.63333333333333</v>
      </c>
      <c r="AN29">
        <v>114.7</v>
      </c>
      <c r="AO29">
        <f t="shared" si="18"/>
        <v>114.36666666666667</v>
      </c>
      <c r="AP29">
        <v>118.4</v>
      </c>
      <c r="AQ29">
        <f t="shared" si="19"/>
        <v>118.03333333333335</v>
      </c>
      <c r="AR29">
        <v>114.6</v>
      </c>
      <c r="AS29">
        <f t="shared" si="20"/>
        <v>114.33333333333333</v>
      </c>
      <c r="AT29">
        <v>108.4</v>
      </c>
      <c r="AU29">
        <f t="shared" si="21"/>
        <v>107.86666666666667</v>
      </c>
      <c r="AV29">
        <v>115.6</v>
      </c>
      <c r="AW29">
        <f t="shared" si="22"/>
        <v>115.3</v>
      </c>
      <c r="AX29">
        <v>121.7</v>
      </c>
      <c r="AY29">
        <f t="shared" si="23"/>
        <v>120.89999999999999</v>
      </c>
      <c r="AZ29">
        <v>111.8</v>
      </c>
      <c r="BA29">
        <f t="shared" si="24"/>
        <v>111.60000000000001</v>
      </c>
      <c r="BB29">
        <v>114.2</v>
      </c>
      <c r="BC29">
        <f t="shared" si="25"/>
        <v>113.73333333333333</v>
      </c>
      <c r="BD29">
        <v>119.7</v>
      </c>
      <c r="BE29">
        <f t="shared" si="26"/>
        <v>119.16666666666667</v>
      </c>
    </row>
    <row r="30" spans="1:57" hidden="1">
      <c r="A30" t="s">
        <v>33</v>
      </c>
      <c r="B30">
        <v>2015</v>
      </c>
      <c r="C30" t="s">
        <v>38</v>
      </c>
      <c r="D30">
        <v>123.8</v>
      </c>
      <c r="E30">
        <f t="shared" si="0"/>
        <v>123.86666666666667</v>
      </c>
      <c r="F30">
        <v>129.69999999999999</v>
      </c>
      <c r="G30">
        <f t="shared" si="1"/>
        <v>128.19999999999999</v>
      </c>
      <c r="H30">
        <v>111.3</v>
      </c>
      <c r="I30">
        <f t="shared" si="2"/>
        <v>111.60000000000001</v>
      </c>
      <c r="J30">
        <v>126.6</v>
      </c>
      <c r="K30">
        <f t="shared" si="3"/>
        <v>126.26666666666665</v>
      </c>
      <c r="L30">
        <v>105.2</v>
      </c>
      <c r="M30">
        <f t="shared" si="4"/>
        <v>104.83333333333333</v>
      </c>
      <c r="N30">
        <v>130.80000000000001</v>
      </c>
      <c r="O30">
        <f t="shared" si="5"/>
        <v>128.4</v>
      </c>
      <c r="P30">
        <v>135.6</v>
      </c>
      <c r="Q30">
        <f t="shared" si="6"/>
        <v>132.60000000000002</v>
      </c>
      <c r="R30">
        <v>142.6</v>
      </c>
      <c r="S30">
        <f t="shared" si="7"/>
        <v>133.70000000000002</v>
      </c>
      <c r="T30">
        <v>90.8</v>
      </c>
      <c r="U30">
        <f t="shared" si="8"/>
        <v>91.866666666666674</v>
      </c>
      <c r="V30">
        <v>128.80000000000001</v>
      </c>
      <c r="W30">
        <f t="shared" si="9"/>
        <v>127.96666666666668</v>
      </c>
      <c r="X30">
        <v>117.7</v>
      </c>
      <c r="Y30">
        <f t="shared" si="10"/>
        <v>117.3</v>
      </c>
      <c r="Z30">
        <v>129.9</v>
      </c>
      <c r="AA30">
        <f t="shared" si="11"/>
        <v>129.53333333333333</v>
      </c>
      <c r="AB30">
        <v>126.1</v>
      </c>
      <c r="AC30">
        <f t="shared" si="12"/>
        <v>124.86666666666667</v>
      </c>
      <c r="AD30">
        <v>131.30000000000001</v>
      </c>
      <c r="AE30">
        <f t="shared" si="13"/>
        <v>130.06666666666666</v>
      </c>
      <c r="AF30">
        <v>122.4</v>
      </c>
      <c r="AG30">
        <f t="shared" si="14"/>
        <v>122.06666666666668</v>
      </c>
      <c r="AH30">
        <v>117.4</v>
      </c>
      <c r="AI30">
        <f t="shared" si="15"/>
        <v>117.16666666666667</v>
      </c>
      <c r="AJ30">
        <v>121.6</v>
      </c>
      <c r="AK30">
        <f t="shared" si="16"/>
        <v>121.26666666666665</v>
      </c>
      <c r="AL30">
        <v>119.6</v>
      </c>
      <c r="AM30">
        <f t="shared" si="17"/>
        <v>119.13333333333333</v>
      </c>
      <c r="AN30">
        <v>114.9</v>
      </c>
      <c r="AO30">
        <f t="shared" si="18"/>
        <v>114.66666666666667</v>
      </c>
      <c r="AP30">
        <v>118.7</v>
      </c>
      <c r="AQ30">
        <f t="shared" si="19"/>
        <v>118.36666666666667</v>
      </c>
      <c r="AR30">
        <v>114.9</v>
      </c>
      <c r="AS30">
        <f t="shared" si="20"/>
        <v>114.59999999999998</v>
      </c>
      <c r="AT30">
        <v>110.8</v>
      </c>
      <c r="AU30">
        <f t="shared" si="21"/>
        <v>109.2</v>
      </c>
      <c r="AV30">
        <v>116</v>
      </c>
      <c r="AW30">
        <f t="shared" si="22"/>
        <v>115.66666666666667</v>
      </c>
      <c r="AX30">
        <v>122</v>
      </c>
      <c r="AY30">
        <f t="shared" si="23"/>
        <v>121.43333333333334</v>
      </c>
      <c r="AZ30">
        <v>112.4</v>
      </c>
      <c r="BA30">
        <f t="shared" si="24"/>
        <v>111.83333333333333</v>
      </c>
      <c r="BB30">
        <v>115.2</v>
      </c>
      <c r="BC30">
        <f t="shared" si="25"/>
        <v>114.39999999999999</v>
      </c>
      <c r="BD30">
        <v>120.7</v>
      </c>
      <c r="BE30">
        <f t="shared" si="26"/>
        <v>119.83333333333333</v>
      </c>
    </row>
    <row r="31" spans="1:57" hidden="1">
      <c r="A31" t="s">
        <v>33</v>
      </c>
      <c r="B31">
        <v>2015</v>
      </c>
      <c r="C31" t="s">
        <v>39</v>
      </c>
      <c r="D31">
        <v>123.6</v>
      </c>
      <c r="E31">
        <f t="shared" si="0"/>
        <v>123.73333333333333</v>
      </c>
      <c r="F31">
        <v>134.4</v>
      </c>
      <c r="G31">
        <f t="shared" si="1"/>
        <v>130.76666666666665</v>
      </c>
      <c r="H31">
        <v>120.9</v>
      </c>
      <c r="I31">
        <f t="shared" si="2"/>
        <v>114.06666666666668</v>
      </c>
      <c r="J31">
        <v>127.3</v>
      </c>
      <c r="K31">
        <f t="shared" si="3"/>
        <v>126.73333333333333</v>
      </c>
      <c r="L31">
        <v>106</v>
      </c>
      <c r="M31">
        <f t="shared" si="4"/>
        <v>105.23333333333333</v>
      </c>
      <c r="N31">
        <v>132.30000000000001</v>
      </c>
      <c r="O31">
        <f t="shared" si="5"/>
        <v>131.23333333333332</v>
      </c>
      <c r="P31">
        <v>146.69999999999999</v>
      </c>
      <c r="Q31">
        <f t="shared" si="6"/>
        <v>137.69999999999999</v>
      </c>
      <c r="R31">
        <v>148.1</v>
      </c>
      <c r="S31">
        <f t="shared" si="7"/>
        <v>140.66666666666666</v>
      </c>
      <c r="T31">
        <v>89.8</v>
      </c>
      <c r="U31">
        <f t="shared" si="8"/>
        <v>90.733333333333334</v>
      </c>
      <c r="V31">
        <v>130.5</v>
      </c>
      <c r="W31">
        <f t="shared" si="9"/>
        <v>129</v>
      </c>
      <c r="X31">
        <v>118</v>
      </c>
      <c r="Y31">
        <f t="shared" si="10"/>
        <v>117.63333333333333</v>
      </c>
      <c r="Z31">
        <v>130.5</v>
      </c>
      <c r="AA31">
        <f t="shared" si="11"/>
        <v>129.96666666666667</v>
      </c>
      <c r="AB31">
        <v>128.5</v>
      </c>
      <c r="AC31">
        <f t="shared" si="12"/>
        <v>126.39999999999999</v>
      </c>
      <c r="AD31">
        <v>132.1</v>
      </c>
      <c r="AE31">
        <f t="shared" si="13"/>
        <v>131.16666666666666</v>
      </c>
      <c r="AF31">
        <v>123.2</v>
      </c>
      <c r="AG31">
        <f t="shared" si="14"/>
        <v>122.56666666666666</v>
      </c>
      <c r="AH31">
        <v>117.6</v>
      </c>
      <c r="AI31">
        <f t="shared" si="15"/>
        <v>117.40000000000002</v>
      </c>
      <c r="AJ31">
        <v>122.3</v>
      </c>
      <c r="AK31">
        <f t="shared" si="16"/>
        <v>121.73333333333333</v>
      </c>
      <c r="AL31">
        <v>119</v>
      </c>
      <c r="AM31">
        <f t="shared" si="17"/>
        <v>119.26666666666667</v>
      </c>
      <c r="AN31">
        <v>115.1</v>
      </c>
      <c r="AO31">
        <f t="shared" si="18"/>
        <v>114.90000000000002</v>
      </c>
      <c r="AP31">
        <v>119.2</v>
      </c>
      <c r="AQ31">
        <f t="shared" si="19"/>
        <v>118.76666666666667</v>
      </c>
      <c r="AR31">
        <v>115.4</v>
      </c>
      <c r="AS31">
        <f t="shared" si="20"/>
        <v>114.96666666666665</v>
      </c>
      <c r="AT31">
        <v>111.7</v>
      </c>
      <c r="AU31">
        <f t="shared" si="21"/>
        <v>110.3</v>
      </c>
      <c r="AV31">
        <v>116.2</v>
      </c>
      <c r="AW31">
        <f t="shared" si="22"/>
        <v>115.93333333333334</v>
      </c>
      <c r="AX31">
        <v>123.8</v>
      </c>
      <c r="AY31">
        <f t="shared" si="23"/>
        <v>122.5</v>
      </c>
      <c r="AZ31">
        <v>112.5</v>
      </c>
      <c r="BA31">
        <f t="shared" si="24"/>
        <v>112.23333333333333</v>
      </c>
      <c r="BB31">
        <v>116</v>
      </c>
      <c r="BC31">
        <f t="shared" si="25"/>
        <v>115.13333333333333</v>
      </c>
      <c r="BD31">
        <v>121.7</v>
      </c>
      <c r="BE31">
        <f t="shared" si="26"/>
        <v>120.7</v>
      </c>
    </row>
    <row r="32" spans="1:57" hidden="1">
      <c r="A32" t="s">
        <v>33</v>
      </c>
      <c r="B32">
        <v>2015</v>
      </c>
      <c r="C32" t="s">
        <v>40</v>
      </c>
      <c r="D32">
        <v>123.2</v>
      </c>
      <c r="E32">
        <f t="shared" si="0"/>
        <v>123.53333333333332</v>
      </c>
      <c r="F32">
        <v>134.30000000000001</v>
      </c>
      <c r="G32">
        <f t="shared" si="1"/>
        <v>132.80000000000001</v>
      </c>
      <c r="H32">
        <v>119.5</v>
      </c>
      <c r="I32">
        <f t="shared" si="2"/>
        <v>117.23333333333333</v>
      </c>
      <c r="J32">
        <v>127.7</v>
      </c>
      <c r="K32">
        <f t="shared" si="3"/>
        <v>127.19999999999999</v>
      </c>
      <c r="L32">
        <v>106.3</v>
      </c>
      <c r="M32">
        <f t="shared" si="4"/>
        <v>105.83333333333333</v>
      </c>
      <c r="N32">
        <v>132.80000000000001</v>
      </c>
      <c r="O32">
        <f t="shared" si="5"/>
        <v>131.96666666666667</v>
      </c>
      <c r="P32">
        <v>153.5</v>
      </c>
      <c r="Q32">
        <f t="shared" si="6"/>
        <v>145.26666666666665</v>
      </c>
      <c r="R32">
        <v>149.5</v>
      </c>
      <c r="S32">
        <f t="shared" si="7"/>
        <v>146.73333333333332</v>
      </c>
      <c r="T32">
        <v>85.7</v>
      </c>
      <c r="U32">
        <f t="shared" si="8"/>
        <v>88.766666666666666</v>
      </c>
      <c r="V32">
        <v>131.5</v>
      </c>
      <c r="W32">
        <f t="shared" si="9"/>
        <v>130.26666666666668</v>
      </c>
      <c r="X32">
        <v>118.3</v>
      </c>
      <c r="Y32">
        <f t="shared" si="10"/>
        <v>118</v>
      </c>
      <c r="Z32">
        <v>131.1</v>
      </c>
      <c r="AA32">
        <f t="shared" si="11"/>
        <v>130.5</v>
      </c>
      <c r="AB32">
        <v>129.5</v>
      </c>
      <c r="AC32">
        <f t="shared" si="12"/>
        <v>128.03333333333333</v>
      </c>
      <c r="AD32">
        <v>133.1</v>
      </c>
      <c r="AE32">
        <f t="shared" si="13"/>
        <v>132.16666666666666</v>
      </c>
      <c r="AF32">
        <v>123.5</v>
      </c>
      <c r="AG32">
        <f t="shared" si="14"/>
        <v>123.03333333333335</v>
      </c>
      <c r="AH32">
        <v>117.9</v>
      </c>
      <c r="AI32">
        <f t="shared" si="15"/>
        <v>117.63333333333333</v>
      </c>
      <c r="AJ32">
        <v>122.7</v>
      </c>
      <c r="AK32">
        <f t="shared" si="16"/>
        <v>122.19999999999999</v>
      </c>
      <c r="AL32">
        <v>119.9</v>
      </c>
      <c r="AM32">
        <f t="shared" si="17"/>
        <v>119.5</v>
      </c>
      <c r="AN32">
        <v>115.3</v>
      </c>
      <c r="AO32">
        <f t="shared" si="18"/>
        <v>115.10000000000001</v>
      </c>
      <c r="AP32">
        <v>119.5</v>
      </c>
      <c r="AQ32">
        <f t="shared" si="19"/>
        <v>119.13333333333333</v>
      </c>
      <c r="AR32">
        <v>116</v>
      </c>
      <c r="AS32">
        <f t="shared" si="20"/>
        <v>115.43333333333334</v>
      </c>
      <c r="AT32">
        <v>111.5</v>
      </c>
      <c r="AU32">
        <f t="shared" si="21"/>
        <v>111.33333333333333</v>
      </c>
      <c r="AV32">
        <v>116.6</v>
      </c>
      <c r="AW32">
        <f t="shared" si="22"/>
        <v>116.26666666666665</v>
      </c>
      <c r="AX32">
        <v>125.4</v>
      </c>
      <c r="AY32">
        <f t="shared" si="23"/>
        <v>123.73333333333335</v>
      </c>
      <c r="AZ32">
        <v>111.7</v>
      </c>
      <c r="BA32">
        <f t="shared" si="24"/>
        <v>112.2</v>
      </c>
      <c r="BB32">
        <v>116.3</v>
      </c>
      <c r="BC32">
        <f t="shared" si="25"/>
        <v>115.83333333333333</v>
      </c>
      <c r="BD32">
        <v>122.4</v>
      </c>
      <c r="BE32">
        <f t="shared" si="26"/>
        <v>121.60000000000001</v>
      </c>
    </row>
    <row r="33" spans="1:57" hidden="1">
      <c r="A33" t="s">
        <v>33</v>
      </c>
      <c r="B33">
        <v>2015</v>
      </c>
      <c r="C33" t="s">
        <v>41</v>
      </c>
      <c r="D33">
        <v>123.1</v>
      </c>
      <c r="E33">
        <f t="shared" si="0"/>
        <v>123.3</v>
      </c>
      <c r="F33">
        <v>131.69999999999999</v>
      </c>
      <c r="G33">
        <f t="shared" si="1"/>
        <v>133.46666666666667</v>
      </c>
      <c r="H33">
        <v>118.1</v>
      </c>
      <c r="I33">
        <f t="shared" si="2"/>
        <v>119.5</v>
      </c>
      <c r="J33">
        <v>128</v>
      </c>
      <c r="K33">
        <f t="shared" si="3"/>
        <v>127.66666666666667</v>
      </c>
      <c r="L33">
        <v>106.8</v>
      </c>
      <c r="M33">
        <f t="shared" si="4"/>
        <v>106.36666666666667</v>
      </c>
      <c r="N33">
        <v>130.1</v>
      </c>
      <c r="O33">
        <f t="shared" si="5"/>
        <v>131.73333333333335</v>
      </c>
      <c r="P33">
        <v>165.5</v>
      </c>
      <c r="Q33">
        <f t="shared" si="6"/>
        <v>155.23333333333332</v>
      </c>
      <c r="R33">
        <v>156</v>
      </c>
      <c r="S33">
        <f t="shared" si="7"/>
        <v>151.20000000000002</v>
      </c>
      <c r="T33">
        <v>85.3</v>
      </c>
      <c r="U33">
        <f t="shared" si="8"/>
        <v>86.933333333333337</v>
      </c>
      <c r="V33">
        <v>132.69999999999999</v>
      </c>
      <c r="W33">
        <f t="shared" si="9"/>
        <v>131.56666666666666</v>
      </c>
      <c r="X33">
        <v>118.8</v>
      </c>
      <c r="Y33">
        <f t="shared" si="10"/>
        <v>118.36666666666667</v>
      </c>
      <c r="Z33">
        <v>131.69999999999999</v>
      </c>
      <c r="AA33">
        <f t="shared" si="11"/>
        <v>131.1</v>
      </c>
      <c r="AB33">
        <v>131.1</v>
      </c>
      <c r="AC33">
        <f t="shared" si="12"/>
        <v>129.70000000000002</v>
      </c>
      <c r="AD33">
        <v>134.19999999999999</v>
      </c>
      <c r="AE33">
        <f t="shared" si="13"/>
        <v>133.13333333333333</v>
      </c>
      <c r="AF33">
        <v>123.7</v>
      </c>
      <c r="AG33">
        <f t="shared" si="14"/>
        <v>123.46666666666665</v>
      </c>
      <c r="AH33">
        <v>118.2</v>
      </c>
      <c r="AI33">
        <f t="shared" si="15"/>
        <v>117.89999999999999</v>
      </c>
      <c r="AJ33">
        <v>122.9</v>
      </c>
      <c r="AK33">
        <f t="shared" si="16"/>
        <v>122.63333333333333</v>
      </c>
      <c r="AL33">
        <v>120.9</v>
      </c>
      <c r="AM33">
        <f t="shared" si="17"/>
        <v>119.93333333333334</v>
      </c>
      <c r="AN33">
        <v>115.3</v>
      </c>
      <c r="AO33">
        <f t="shared" si="18"/>
        <v>115.23333333333333</v>
      </c>
      <c r="AP33">
        <v>120</v>
      </c>
      <c r="AQ33">
        <f t="shared" si="19"/>
        <v>119.56666666666666</v>
      </c>
      <c r="AR33">
        <v>116.6</v>
      </c>
      <c r="AS33">
        <f t="shared" si="20"/>
        <v>116</v>
      </c>
      <c r="AT33">
        <v>109.9</v>
      </c>
      <c r="AU33">
        <f t="shared" si="21"/>
        <v>111.03333333333335</v>
      </c>
      <c r="AV33">
        <v>117.2</v>
      </c>
      <c r="AW33">
        <f t="shared" si="22"/>
        <v>116.66666666666667</v>
      </c>
      <c r="AX33">
        <v>126.2</v>
      </c>
      <c r="AY33">
        <f t="shared" si="23"/>
        <v>125.13333333333333</v>
      </c>
      <c r="AZ33">
        <v>112</v>
      </c>
      <c r="BA33">
        <f t="shared" si="24"/>
        <v>112.06666666666666</v>
      </c>
      <c r="BB33">
        <v>116.2</v>
      </c>
      <c r="BC33">
        <f t="shared" si="25"/>
        <v>116.16666666666667</v>
      </c>
      <c r="BD33">
        <v>123.2</v>
      </c>
      <c r="BE33">
        <f t="shared" si="26"/>
        <v>122.43333333333334</v>
      </c>
    </row>
    <row r="34" spans="1:57" hidden="1">
      <c r="A34" t="s">
        <v>33</v>
      </c>
      <c r="B34">
        <v>2015</v>
      </c>
      <c r="C34" t="s">
        <v>42</v>
      </c>
      <c r="D34">
        <v>123.4</v>
      </c>
      <c r="E34">
        <f t="shared" si="0"/>
        <v>123.23333333333335</v>
      </c>
      <c r="F34">
        <v>129</v>
      </c>
      <c r="G34">
        <f t="shared" si="1"/>
        <v>131.66666666666666</v>
      </c>
      <c r="H34">
        <v>115.6</v>
      </c>
      <c r="I34">
        <f t="shared" si="2"/>
        <v>117.73333333333333</v>
      </c>
      <c r="J34">
        <v>128.30000000000001</v>
      </c>
      <c r="K34">
        <f t="shared" si="3"/>
        <v>128</v>
      </c>
      <c r="L34">
        <v>107</v>
      </c>
      <c r="M34">
        <f t="shared" si="4"/>
        <v>106.7</v>
      </c>
      <c r="N34">
        <v>124</v>
      </c>
      <c r="O34">
        <f t="shared" si="5"/>
        <v>128.96666666666667</v>
      </c>
      <c r="P34">
        <v>168.5</v>
      </c>
      <c r="Q34">
        <f t="shared" si="6"/>
        <v>162.5</v>
      </c>
      <c r="R34">
        <v>165.4</v>
      </c>
      <c r="S34">
        <f t="shared" si="7"/>
        <v>156.96666666666667</v>
      </c>
      <c r="T34">
        <v>86.3</v>
      </c>
      <c r="U34">
        <f t="shared" si="8"/>
        <v>85.766666666666666</v>
      </c>
      <c r="V34">
        <v>134.4</v>
      </c>
      <c r="W34">
        <f t="shared" si="9"/>
        <v>132.86666666666667</v>
      </c>
      <c r="X34">
        <v>119.1</v>
      </c>
      <c r="Y34">
        <f t="shared" si="10"/>
        <v>118.73333333333333</v>
      </c>
      <c r="Z34">
        <v>132.30000000000001</v>
      </c>
      <c r="AA34">
        <f t="shared" si="11"/>
        <v>131.69999999999999</v>
      </c>
      <c r="AB34">
        <v>131.5</v>
      </c>
      <c r="AC34">
        <f t="shared" si="12"/>
        <v>130.70000000000002</v>
      </c>
      <c r="AD34">
        <v>134.69999999999999</v>
      </c>
      <c r="AE34">
        <f t="shared" si="13"/>
        <v>133.99999999999997</v>
      </c>
      <c r="AF34">
        <v>124</v>
      </c>
      <c r="AG34">
        <f t="shared" si="14"/>
        <v>123.73333333333333</v>
      </c>
      <c r="AH34">
        <v>118.6</v>
      </c>
      <c r="AI34">
        <f t="shared" si="15"/>
        <v>118.23333333333335</v>
      </c>
      <c r="AJ34">
        <v>123.2</v>
      </c>
      <c r="AK34">
        <f t="shared" si="16"/>
        <v>122.93333333333334</v>
      </c>
      <c r="AL34">
        <v>121.6</v>
      </c>
      <c r="AM34">
        <f t="shared" si="17"/>
        <v>120.8</v>
      </c>
      <c r="AN34">
        <v>115.1</v>
      </c>
      <c r="AO34">
        <f t="shared" si="18"/>
        <v>115.23333333333333</v>
      </c>
      <c r="AP34">
        <v>120.4</v>
      </c>
      <c r="AQ34">
        <f t="shared" si="19"/>
        <v>119.96666666666665</v>
      </c>
      <c r="AR34">
        <v>117.1</v>
      </c>
      <c r="AS34">
        <f t="shared" si="20"/>
        <v>116.56666666666666</v>
      </c>
      <c r="AT34">
        <v>109.1</v>
      </c>
      <c r="AU34">
        <f t="shared" si="21"/>
        <v>110.16666666666667</v>
      </c>
      <c r="AV34">
        <v>117.3</v>
      </c>
      <c r="AW34">
        <f t="shared" si="22"/>
        <v>117.03333333333335</v>
      </c>
      <c r="AX34">
        <v>126.5</v>
      </c>
      <c r="AY34">
        <f t="shared" si="23"/>
        <v>126.03333333333335</v>
      </c>
      <c r="AZ34">
        <v>112.9</v>
      </c>
      <c r="BA34">
        <f t="shared" si="24"/>
        <v>112.2</v>
      </c>
      <c r="BB34">
        <v>116.2</v>
      </c>
      <c r="BC34">
        <f t="shared" si="25"/>
        <v>116.23333333333333</v>
      </c>
      <c r="BD34">
        <v>123.5</v>
      </c>
      <c r="BE34">
        <f t="shared" si="26"/>
        <v>123.03333333333335</v>
      </c>
    </row>
    <row r="35" spans="1:57" hidden="1">
      <c r="A35" t="s">
        <v>33</v>
      </c>
      <c r="B35">
        <v>2015</v>
      </c>
      <c r="C35" t="s">
        <v>43</v>
      </c>
      <c r="D35">
        <v>123.6</v>
      </c>
      <c r="E35">
        <f t="shared" si="0"/>
        <v>123.36666666666667</v>
      </c>
      <c r="F35">
        <v>128.6</v>
      </c>
      <c r="G35">
        <f t="shared" si="1"/>
        <v>129.76666666666665</v>
      </c>
      <c r="H35">
        <v>115.9</v>
      </c>
      <c r="I35">
        <f t="shared" si="2"/>
        <v>116.53333333333335</v>
      </c>
      <c r="J35">
        <v>128.5</v>
      </c>
      <c r="K35">
        <f t="shared" si="3"/>
        <v>128.26666666666668</v>
      </c>
      <c r="L35">
        <v>109</v>
      </c>
      <c r="M35">
        <f t="shared" si="4"/>
        <v>107.60000000000001</v>
      </c>
      <c r="N35">
        <v>124.1</v>
      </c>
      <c r="O35">
        <f t="shared" si="5"/>
        <v>126.06666666666666</v>
      </c>
      <c r="P35">
        <v>165.8</v>
      </c>
      <c r="Q35">
        <f t="shared" si="6"/>
        <v>166.6</v>
      </c>
      <c r="R35">
        <v>187.2</v>
      </c>
      <c r="S35">
        <f t="shared" si="7"/>
        <v>169.53333333333333</v>
      </c>
      <c r="T35">
        <v>89.4</v>
      </c>
      <c r="U35">
        <f t="shared" si="8"/>
        <v>87</v>
      </c>
      <c r="V35">
        <v>135.80000000000001</v>
      </c>
      <c r="W35">
        <f t="shared" si="9"/>
        <v>134.30000000000001</v>
      </c>
      <c r="X35">
        <v>119.4</v>
      </c>
      <c r="Y35">
        <f t="shared" si="10"/>
        <v>119.09999999999998</v>
      </c>
      <c r="Z35">
        <v>132.9</v>
      </c>
      <c r="AA35">
        <f t="shared" si="11"/>
        <v>132.29999999999998</v>
      </c>
      <c r="AB35">
        <v>132.6</v>
      </c>
      <c r="AC35">
        <f t="shared" si="12"/>
        <v>131.73333333333335</v>
      </c>
      <c r="AD35">
        <v>135.30000000000001</v>
      </c>
      <c r="AE35">
        <f t="shared" si="13"/>
        <v>134.73333333333332</v>
      </c>
      <c r="AF35">
        <v>124.4</v>
      </c>
      <c r="AG35">
        <f t="shared" si="14"/>
        <v>124.03333333333335</v>
      </c>
      <c r="AH35">
        <v>118.8</v>
      </c>
      <c r="AI35">
        <f t="shared" si="15"/>
        <v>118.53333333333335</v>
      </c>
      <c r="AJ35">
        <v>123.6</v>
      </c>
      <c r="AK35">
        <f t="shared" si="16"/>
        <v>123.23333333333335</v>
      </c>
      <c r="AL35">
        <v>122.4</v>
      </c>
      <c r="AM35">
        <f t="shared" si="17"/>
        <v>121.63333333333333</v>
      </c>
      <c r="AN35">
        <v>114.9</v>
      </c>
      <c r="AO35">
        <f t="shared" si="18"/>
        <v>115.09999999999998</v>
      </c>
      <c r="AP35">
        <v>120.7</v>
      </c>
      <c r="AQ35">
        <f t="shared" si="19"/>
        <v>120.36666666666667</v>
      </c>
      <c r="AR35">
        <v>117.7</v>
      </c>
      <c r="AS35">
        <f t="shared" si="20"/>
        <v>117.13333333333333</v>
      </c>
      <c r="AT35">
        <v>109.3</v>
      </c>
      <c r="AU35">
        <f t="shared" si="21"/>
        <v>109.43333333333334</v>
      </c>
      <c r="AV35">
        <v>117.7</v>
      </c>
      <c r="AW35">
        <f t="shared" si="22"/>
        <v>117.39999999999999</v>
      </c>
      <c r="AX35">
        <v>126.5</v>
      </c>
      <c r="AY35">
        <f t="shared" si="23"/>
        <v>126.39999999999999</v>
      </c>
      <c r="AZ35">
        <v>113.5</v>
      </c>
      <c r="BA35">
        <f t="shared" si="24"/>
        <v>112.8</v>
      </c>
      <c r="BB35">
        <v>116.5</v>
      </c>
      <c r="BC35">
        <f t="shared" si="25"/>
        <v>116.3</v>
      </c>
      <c r="BD35">
        <v>124.2</v>
      </c>
      <c r="BE35">
        <f t="shared" si="26"/>
        <v>123.63333333333333</v>
      </c>
    </row>
    <row r="36" spans="1:57" hidden="1">
      <c r="A36" t="s">
        <v>33</v>
      </c>
      <c r="B36">
        <v>2015</v>
      </c>
      <c r="C36" t="s">
        <v>45</v>
      </c>
      <c r="D36">
        <v>124</v>
      </c>
      <c r="E36">
        <f t="shared" si="0"/>
        <v>123.66666666666667</v>
      </c>
      <c r="F36">
        <v>129.80000000000001</v>
      </c>
      <c r="G36">
        <f t="shared" si="1"/>
        <v>129.13333333333335</v>
      </c>
      <c r="H36">
        <v>121.5</v>
      </c>
      <c r="I36">
        <f t="shared" si="2"/>
        <v>117.66666666666667</v>
      </c>
      <c r="J36">
        <v>128.6</v>
      </c>
      <c r="K36">
        <f t="shared" si="3"/>
        <v>128.46666666666667</v>
      </c>
      <c r="L36">
        <v>110</v>
      </c>
      <c r="M36">
        <f t="shared" si="4"/>
        <v>108.66666666666667</v>
      </c>
      <c r="N36">
        <v>123.7</v>
      </c>
      <c r="O36">
        <f t="shared" si="5"/>
        <v>123.93333333333334</v>
      </c>
      <c r="P36">
        <v>164.6</v>
      </c>
      <c r="Q36">
        <f t="shared" si="6"/>
        <v>166.29999999999998</v>
      </c>
      <c r="R36">
        <v>191.6</v>
      </c>
      <c r="S36">
        <f t="shared" si="7"/>
        <v>181.4</v>
      </c>
      <c r="T36">
        <v>90.8</v>
      </c>
      <c r="U36">
        <f t="shared" si="8"/>
        <v>88.833333333333329</v>
      </c>
      <c r="V36">
        <v>137.1</v>
      </c>
      <c r="W36">
        <f t="shared" si="9"/>
        <v>135.76666666666668</v>
      </c>
      <c r="X36">
        <v>119.8</v>
      </c>
      <c r="Y36">
        <f t="shared" si="10"/>
        <v>119.43333333333334</v>
      </c>
      <c r="Z36">
        <v>133.69999999999999</v>
      </c>
      <c r="AA36">
        <f t="shared" si="11"/>
        <v>132.96666666666667</v>
      </c>
      <c r="AB36">
        <v>133.30000000000001</v>
      </c>
      <c r="AC36">
        <f t="shared" si="12"/>
        <v>132.46666666666667</v>
      </c>
      <c r="AD36">
        <v>137.6</v>
      </c>
      <c r="AE36">
        <f t="shared" si="13"/>
        <v>135.86666666666667</v>
      </c>
      <c r="AF36">
        <v>125</v>
      </c>
      <c r="AG36">
        <f t="shared" si="14"/>
        <v>124.46666666666665</v>
      </c>
      <c r="AH36">
        <v>119.3</v>
      </c>
      <c r="AI36">
        <f t="shared" si="15"/>
        <v>118.89999999999999</v>
      </c>
      <c r="AJ36">
        <v>124.2</v>
      </c>
      <c r="AK36">
        <f t="shared" si="16"/>
        <v>123.66666666666667</v>
      </c>
      <c r="AL36">
        <v>122.9</v>
      </c>
      <c r="AM36">
        <f t="shared" si="17"/>
        <v>122.3</v>
      </c>
      <c r="AN36">
        <v>115.1</v>
      </c>
      <c r="AO36">
        <f t="shared" si="18"/>
        <v>115.03333333333335</v>
      </c>
      <c r="AP36">
        <v>121</v>
      </c>
      <c r="AQ36">
        <f t="shared" si="19"/>
        <v>120.7</v>
      </c>
      <c r="AR36">
        <v>118.1</v>
      </c>
      <c r="AS36">
        <f t="shared" si="20"/>
        <v>117.63333333333333</v>
      </c>
      <c r="AT36">
        <v>109.3</v>
      </c>
      <c r="AU36">
        <f t="shared" si="21"/>
        <v>109.23333333333333</v>
      </c>
      <c r="AV36">
        <v>117.9</v>
      </c>
      <c r="AW36">
        <f t="shared" si="22"/>
        <v>117.63333333333333</v>
      </c>
      <c r="AX36">
        <v>126.6</v>
      </c>
      <c r="AY36">
        <f t="shared" si="23"/>
        <v>126.53333333333335</v>
      </c>
      <c r="AZ36">
        <v>113.3</v>
      </c>
      <c r="BA36">
        <f t="shared" si="24"/>
        <v>113.23333333333333</v>
      </c>
      <c r="BB36">
        <v>116.6</v>
      </c>
      <c r="BC36">
        <f t="shared" si="25"/>
        <v>116.43333333333332</v>
      </c>
      <c r="BD36">
        <v>124.6</v>
      </c>
      <c r="BE36">
        <f t="shared" si="26"/>
        <v>124.09999999999998</v>
      </c>
    </row>
    <row r="37" spans="1:57" hidden="1">
      <c r="A37" t="s">
        <v>33</v>
      </c>
      <c r="B37">
        <v>2015</v>
      </c>
      <c r="C37" t="s">
        <v>46</v>
      </c>
      <c r="D37">
        <v>124.3</v>
      </c>
      <c r="E37">
        <f t="shared" si="0"/>
        <v>123.96666666666665</v>
      </c>
      <c r="F37">
        <v>131.69999999999999</v>
      </c>
      <c r="G37">
        <f t="shared" si="1"/>
        <v>130.03333333333333</v>
      </c>
      <c r="H37">
        <v>127.1</v>
      </c>
      <c r="I37">
        <f t="shared" si="2"/>
        <v>121.5</v>
      </c>
      <c r="J37">
        <v>128.6</v>
      </c>
      <c r="K37">
        <f t="shared" si="3"/>
        <v>128.56666666666669</v>
      </c>
      <c r="L37">
        <v>110</v>
      </c>
      <c r="M37">
        <f t="shared" si="4"/>
        <v>109.66666666666667</v>
      </c>
      <c r="N37">
        <v>120.8</v>
      </c>
      <c r="O37">
        <f t="shared" si="5"/>
        <v>122.86666666666667</v>
      </c>
      <c r="P37">
        <v>149</v>
      </c>
      <c r="Q37">
        <f t="shared" si="6"/>
        <v>159.79999999999998</v>
      </c>
      <c r="R37">
        <v>190.1</v>
      </c>
      <c r="S37">
        <f t="shared" si="7"/>
        <v>189.63333333333333</v>
      </c>
      <c r="T37">
        <v>92.7</v>
      </c>
      <c r="U37">
        <f t="shared" si="8"/>
        <v>90.966666666666654</v>
      </c>
      <c r="V37">
        <v>138.6</v>
      </c>
      <c r="W37">
        <f t="shared" si="9"/>
        <v>137.16666666666666</v>
      </c>
      <c r="X37">
        <v>120.2</v>
      </c>
      <c r="Y37">
        <f t="shared" si="10"/>
        <v>119.8</v>
      </c>
      <c r="Z37">
        <v>134.19999999999999</v>
      </c>
      <c r="AA37">
        <f t="shared" si="11"/>
        <v>133.6</v>
      </c>
      <c r="AB37">
        <v>131.5</v>
      </c>
      <c r="AC37">
        <f t="shared" si="12"/>
        <v>132.46666666666667</v>
      </c>
      <c r="AD37">
        <v>138.19999999999999</v>
      </c>
      <c r="AE37">
        <f t="shared" si="13"/>
        <v>137.03333333333333</v>
      </c>
      <c r="AF37">
        <v>125.4</v>
      </c>
      <c r="AG37">
        <f t="shared" si="14"/>
        <v>124.93333333333334</v>
      </c>
      <c r="AH37">
        <v>119.5</v>
      </c>
      <c r="AI37">
        <f t="shared" si="15"/>
        <v>119.2</v>
      </c>
      <c r="AJ37">
        <v>124.5</v>
      </c>
      <c r="AK37">
        <f t="shared" si="16"/>
        <v>124.10000000000001</v>
      </c>
      <c r="AL37">
        <v>122.4</v>
      </c>
      <c r="AM37">
        <f t="shared" si="17"/>
        <v>122.56666666666668</v>
      </c>
      <c r="AN37">
        <v>116</v>
      </c>
      <c r="AO37">
        <f t="shared" si="18"/>
        <v>115.33333333333333</v>
      </c>
      <c r="AP37">
        <v>121</v>
      </c>
      <c r="AQ37">
        <f t="shared" si="19"/>
        <v>120.89999999999999</v>
      </c>
      <c r="AR37">
        <v>118.6</v>
      </c>
      <c r="AS37">
        <f t="shared" si="20"/>
        <v>118.13333333333333</v>
      </c>
      <c r="AT37">
        <v>109.3</v>
      </c>
      <c r="AU37">
        <f t="shared" si="21"/>
        <v>109.3</v>
      </c>
      <c r="AV37">
        <v>118.1</v>
      </c>
      <c r="AW37">
        <f t="shared" si="22"/>
        <v>117.90000000000002</v>
      </c>
      <c r="AX37">
        <v>126.6</v>
      </c>
      <c r="AY37">
        <f t="shared" si="23"/>
        <v>126.56666666666666</v>
      </c>
      <c r="AZ37">
        <v>113.2</v>
      </c>
      <c r="BA37">
        <f t="shared" si="24"/>
        <v>113.33333333333333</v>
      </c>
      <c r="BB37">
        <v>116.7</v>
      </c>
      <c r="BC37">
        <f t="shared" si="25"/>
        <v>116.60000000000001</v>
      </c>
      <c r="BD37">
        <v>124</v>
      </c>
      <c r="BE37">
        <f t="shared" si="26"/>
        <v>124.26666666666667</v>
      </c>
    </row>
    <row r="38" spans="1:57" hidden="1">
      <c r="A38" t="s">
        <v>33</v>
      </c>
      <c r="B38">
        <v>2016</v>
      </c>
      <c r="C38" t="s">
        <v>31</v>
      </c>
      <c r="D38">
        <v>124.7</v>
      </c>
      <c r="E38">
        <f t="shared" si="0"/>
        <v>124.33333333333333</v>
      </c>
      <c r="F38">
        <v>135.9</v>
      </c>
      <c r="G38">
        <f t="shared" si="1"/>
        <v>132.46666666666667</v>
      </c>
      <c r="H38">
        <v>132</v>
      </c>
      <c r="I38">
        <f t="shared" si="2"/>
        <v>126.86666666666667</v>
      </c>
      <c r="J38">
        <v>129.19999999999999</v>
      </c>
      <c r="K38">
        <f t="shared" si="3"/>
        <v>128.79999999999998</v>
      </c>
      <c r="L38">
        <v>109.7</v>
      </c>
      <c r="M38">
        <f t="shared" si="4"/>
        <v>109.89999999999999</v>
      </c>
      <c r="N38">
        <v>119</v>
      </c>
      <c r="O38">
        <f t="shared" si="5"/>
        <v>121.16666666666667</v>
      </c>
      <c r="P38">
        <v>144.1</v>
      </c>
      <c r="Q38">
        <f t="shared" si="6"/>
        <v>152.56666666666669</v>
      </c>
      <c r="R38">
        <v>184.2</v>
      </c>
      <c r="S38">
        <f t="shared" si="7"/>
        <v>188.63333333333333</v>
      </c>
      <c r="T38">
        <v>96.7</v>
      </c>
      <c r="U38">
        <f t="shared" si="8"/>
        <v>93.399999999999991</v>
      </c>
      <c r="V38">
        <v>139.5</v>
      </c>
      <c r="W38">
        <f t="shared" si="9"/>
        <v>138.4</v>
      </c>
      <c r="X38">
        <v>120.5</v>
      </c>
      <c r="Y38">
        <f t="shared" si="10"/>
        <v>120.16666666666667</v>
      </c>
      <c r="Z38">
        <v>134.69999999999999</v>
      </c>
      <c r="AA38">
        <f t="shared" si="11"/>
        <v>134.19999999999999</v>
      </c>
      <c r="AB38">
        <v>131.19999999999999</v>
      </c>
      <c r="AC38">
        <f t="shared" si="12"/>
        <v>132</v>
      </c>
      <c r="AD38">
        <v>139.5</v>
      </c>
      <c r="AE38">
        <f t="shared" si="13"/>
        <v>138.43333333333331</v>
      </c>
      <c r="AF38">
        <v>125.8</v>
      </c>
      <c r="AG38">
        <f t="shared" si="14"/>
        <v>125.39999999999999</v>
      </c>
      <c r="AH38">
        <v>119.8</v>
      </c>
      <c r="AI38">
        <f t="shared" si="15"/>
        <v>119.53333333333335</v>
      </c>
      <c r="AJ38">
        <v>124.9</v>
      </c>
      <c r="AK38">
        <f t="shared" si="16"/>
        <v>124.53333333333335</v>
      </c>
      <c r="AL38">
        <v>123.4</v>
      </c>
      <c r="AM38">
        <f t="shared" si="17"/>
        <v>122.90000000000002</v>
      </c>
      <c r="AN38">
        <v>116.9</v>
      </c>
      <c r="AO38">
        <f t="shared" si="18"/>
        <v>116</v>
      </c>
      <c r="AP38">
        <v>121.6</v>
      </c>
      <c r="AQ38">
        <f t="shared" si="19"/>
        <v>121.2</v>
      </c>
      <c r="AR38">
        <v>119.1</v>
      </c>
      <c r="AS38">
        <f t="shared" si="20"/>
        <v>118.59999999999998</v>
      </c>
      <c r="AT38">
        <v>108.9</v>
      </c>
      <c r="AU38">
        <f t="shared" si="21"/>
        <v>109.16666666666667</v>
      </c>
      <c r="AV38">
        <v>118.5</v>
      </c>
      <c r="AW38">
        <f t="shared" si="22"/>
        <v>118.16666666666667</v>
      </c>
      <c r="AX38">
        <v>126.4</v>
      </c>
      <c r="AY38">
        <f t="shared" si="23"/>
        <v>126.53333333333335</v>
      </c>
      <c r="AZ38">
        <v>114</v>
      </c>
      <c r="BA38">
        <f t="shared" si="24"/>
        <v>113.5</v>
      </c>
      <c r="BB38">
        <v>116.8</v>
      </c>
      <c r="BC38">
        <f t="shared" si="25"/>
        <v>116.7</v>
      </c>
      <c r="BD38">
        <v>124.2</v>
      </c>
      <c r="BE38">
        <f t="shared" si="26"/>
        <v>124.26666666666667</v>
      </c>
    </row>
    <row r="39" spans="1:57" hidden="1">
      <c r="A39" t="s">
        <v>33</v>
      </c>
      <c r="B39">
        <v>2016</v>
      </c>
      <c r="C39" t="s">
        <v>35</v>
      </c>
      <c r="D39">
        <v>124.8</v>
      </c>
      <c r="E39">
        <f t="shared" si="0"/>
        <v>124.60000000000001</v>
      </c>
      <c r="F39">
        <v>135.1</v>
      </c>
      <c r="G39">
        <f t="shared" si="1"/>
        <v>134.23333333333335</v>
      </c>
      <c r="H39">
        <v>130.30000000000001</v>
      </c>
      <c r="I39">
        <f t="shared" si="2"/>
        <v>129.80000000000001</v>
      </c>
      <c r="J39">
        <v>129.6</v>
      </c>
      <c r="K39">
        <f t="shared" si="3"/>
        <v>129.13333333333333</v>
      </c>
      <c r="L39">
        <v>108.4</v>
      </c>
      <c r="M39">
        <f t="shared" si="4"/>
        <v>109.36666666666667</v>
      </c>
      <c r="N39">
        <v>118.6</v>
      </c>
      <c r="O39">
        <f t="shared" si="5"/>
        <v>119.46666666666665</v>
      </c>
      <c r="P39">
        <v>129.19999999999999</v>
      </c>
      <c r="Q39">
        <f t="shared" si="6"/>
        <v>140.76666666666668</v>
      </c>
      <c r="R39">
        <v>176.4</v>
      </c>
      <c r="S39">
        <f t="shared" si="7"/>
        <v>183.56666666666663</v>
      </c>
      <c r="T39">
        <v>99.1</v>
      </c>
      <c r="U39">
        <f t="shared" si="8"/>
        <v>96.166666666666671</v>
      </c>
      <c r="V39">
        <v>139.69999999999999</v>
      </c>
      <c r="W39">
        <f t="shared" si="9"/>
        <v>139.26666666666668</v>
      </c>
      <c r="X39">
        <v>120.6</v>
      </c>
      <c r="Y39">
        <f t="shared" si="10"/>
        <v>120.43333333333332</v>
      </c>
      <c r="Z39">
        <v>135.19999999999999</v>
      </c>
      <c r="AA39">
        <f t="shared" si="11"/>
        <v>134.69999999999999</v>
      </c>
      <c r="AB39">
        <v>129.1</v>
      </c>
      <c r="AC39">
        <f t="shared" si="12"/>
        <v>130.6</v>
      </c>
      <c r="AD39">
        <v>140</v>
      </c>
      <c r="AE39">
        <f t="shared" si="13"/>
        <v>139.23333333333332</v>
      </c>
      <c r="AF39">
        <v>126.2</v>
      </c>
      <c r="AG39">
        <f t="shared" si="14"/>
        <v>125.8</v>
      </c>
      <c r="AH39">
        <v>120.1</v>
      </c>
      <c r="AI39">
        <f t="shared" si="15"/>
        <v>119.8</v>
      </c>
      <c r="AJ39">
        <v>125.3</v>
      </c>
      <c r="AK39">
        <f t="shared" si="16"/>
        <v>124.89999999999999</v>
      </c>
      <c r="AL39">
        <v>124.4</v>
      </c>
      <c r="AM39">
        <f t="shared" si="17"/>
        <v>123.40000000000002</v>
      </c>
      <c r="AN39">
        <v>116</v>
      </c>
      <c r="AO39">
        <f t="shared" si="18"/>
        <v>116.3</v>
      </c>
      <c r="AP39">
        <v>121.8</v>
      </c>
      <c r="AQ39">
        <f t="shared" si="19"/>
        <v>121.46666666666665</v>
      </c>
      <c r="AR39">
        <v>119.5</v>
      </c>
      <c r="AS39">
        <f t="shared" si="20"/>
        <v>119.06666666666666</v>
      </c>
      <c r="AT39">
        <v>109.1</v>
      </c>
      <c r="AU39">
        <f t="shared" si="21"/>
        <v>109.09999999999998</v>
      </c>
      <c r="AV39">
        <v>118.8</v>
      </c>
      <c r="AW39">
        <f t="shared" si="22"/>
        <v>118.46666666666665</v>
      </c>
      <c r="AX39">
        <v>126.3</v>
      </c>
      <c r="AY39">
        <f t="shared" si="23"/>
        <v>126.43333333333334</v>
      </c>
      <c r="AZ39">
        <v>116.2</v>
      </c>
      <c r="BA39">
        <f t="shared" si="24"/>
        <v>114.46666666666665</v>
      </c>
      <c r="BB39">
        <v>117.2</v>
      </c>
      <c r="BC39">
        <f t="shared" si="25"/>
        <v>116.89999999999999</v>
      </c>
      <c r="BD39">
        <v>123.8</v>
      </c>
      <c r="BE39">
        <f t="shared" si="26"/>
        <v>124</v>
      </c>
    </row>
    <row r="40" spans="1:57" hidden="1">
      <c r="A40" t="s">
        <v>33</v>
      </c>
      <c r="B40">
        <v>2016</v>
      </c>
      <c r="C40" t="s">
        <v>36</v>
      </c>
      <c r="D40">
        <v>124.8</v>
      </c>
      <c r="E40">
        <f t="shared" si="0"/>
        <v>124.76666666666667</v>
      </c>
      <c r="F40">
        <v>136.30000000000001</v>
      </c>
      <c r="G40">
        <f t="shared" si="1"/>
        <v>135.76666666666668</v>
      </c>
      <c r="H40">
        <v>123.7</v>
      </c>
      <c r="I40">
        <f t="shared" si="2"/>
        <v>128.66666666666666</v>
      </c>
      <c r="J40">
        <v>129.69999999999999</v>
      </c>
      <c r="K40">
        <f t="shared" si="3"/>
        <v>129.49999999999997</v>
      </c>
      <c r="L40">
        <v>107.9</v>
      </c>
      <c r="M40">
        <f t="shared" si="4"/>
        <v>108.66666666666667</v>
      </c>
      <c r="N40">
        <v>119.9</v>
      </c>
      <c r="O40">
        <f t="shared" si="5"/>
        <v>119.16666666666667</v>
      </c>
      <c r="P40">
        <v>128.1</v>
      </c>
      <c r="Q40">
        <f t="shared" si="6"/>
        <v>133.79999999999998</v>
      </c>
      <c r="R40">
        <v>170.3</v>
      </c>
      <c r="S40">
        <f t="shared" si="7"/>
        <v>176.9666666666667</v>
      </c>
      <c r="T40">
        <v>101.8</v>
      </c>
      <c r="U40">
        <f t="shared" si="8"/>
        <v>99.2</v>
      </c>
      <c r="V40">
        <v>140.1</v>
      </c>
      <c r="W40">
        <f t="shared" si="9"/>
        <v>139.76666666666665</v>
      </c>
      <c r="X40">
        <v>120.7</v>
      </c>
      <c r="Y40">
        <f t="shared" si="10"/>
        <v>120.60000000000001</v>
      </c>
      <c r="Z40">
        <v>135.4</v>
      </c>
      <c r="AA40">
        <f t="shared" si="11"/>
        <v>135.1</v>
      </c>
      <c r="AB40">
        <v>128.9</v>
      </c>
      <c r="AC40">
        <f t="shared" si="12"/>
        <v>129.73333333333332</v>
      </c>
      <c r="AD40">
        <v>140.6</v>
      </c>
      <c r="AE40">
        <f t="shared" si="13"/>
        <v>140.03333333333333</v>
      </c>
      <c r="AF40">
        <v>126.4</v>
      </c>
      <c r="AG40">
        <f t="shared" si="14"/>
        <v>126.13333333333333</v>
      </c>
      <c r="AH40">
        <v>120.3</v>
      </c>
      <c r="AI40">
        <f t="shared" si="15"/>
        <v>120.06666666666666</v>
      </c>
      <c r="AJ40">
        <v>125.5</v>
      </c>
      <c r="AK40">
        <f t="shared" si="16"/>
        <v>125.23333333333333</v>
      </c>
      <c r="AL40">
        <v>124.9</v>
      </c>
      <c r="AM40">
        <f t="shared" si="17"/>
        <v>124.23333333333335</v>
      </c>
      <c r="AN40">
        <v>114.8</v>
      </c>
      <c r="AO40">
        <f t="shared" si="18"/>
        <v>115.89999999999999</v>
      </c>
      <c r="AP40">
        <v>122.3</v>
      </c>
      <c r="AQ40">
        <f t="shared" si="19"/>
        <v>121.89999999999999</v>
      </c>
      <c r="AR40">
        <v>119.7</v>
      </c>
      <c r="AS40">
        <f t="shared" si="20"/>
        <v>119.43333333333334</v>
      </c>
      <c r="AT40">
        <v>108.5</v>
      </c>
      <c r="AU40">
        <f t="shared" si="21"/>
        <v>108.83333333333333</v>
      </c>
      <c r="AV40">
        <v>119.1</v>
      </c>
      <c r="AW40">
        <f t="shared" si="22"/>
        <v>118.8</v>
      </c>
      <c r="AX40">
        <v>126.4</v>
      </c>
      <c r="AY40">
        <f t="shared" si="23"/>
        <v>126.36666666666667</v>
      </c>
      <c r="AZ40">
        <v>117.1</v>
      </c>
      <c r="BA40">
        <f t="shared" si="24"/>
        <v>115.76666666666665</v>
      </c>
      <c r="BB40">
        <v>117.3</v>
      </c>
      <c r="BC40">
        <f t="shared" si="25"/>
        <v>117.10000000000001</v>
      </c>
      <c r="BD40">
        <v>123.8</v>
      </c>
      <c r="BE40">
        <f t="shared" si="26"/>
        <v>123.93333333333334</v>
      </c>
    </row>
    <row r="41" spans="1:57" hidden="1">
      <c r="A41" t="s">
        <v>33</v>
      </c>
      <c r="B41">
        <v>2016</v>
      </c>
      <c r="C41" t="s">
        <v>37</v>
      </c>
      <c r="D41">
        <v>124.9</v>
      </c>
      <c r="E41">
        <f t="shared" si="0"/>
        <v>124.83333333333333</v>
      </c>
      <c r="F41">
        <v>139.30000000000001</v>
      </c>
      <c r="G41">
        <f t="shared" si="1"/>
        <v>136.9</v>
      </c>
      <c r="H41">
        <v>119.9</v>
      </c>
      <c r="I41">
        <f t="shared" si="2"/>
        <v>124.63333333333333</v>
      </c>
      <c r="J41">
        <v>130.19999999999999</v>
      </c>
      <c r="K41">
        <f t="shared" si="3"/>
        <v>129.83333333333331</v>
      </c>
      <c r="L41">
        <v>108.9</v>
      </c>
      <c r="M41">
        <f t="shared" si="4"/>
        <v>108.40000000000002</v>
      </c>
      <c r="N41">
        <v>131.1</v>
      </c>
      <c r="O41">
        <f t="shared" si="5"/>
        <v>123.2</v>
      </c>
      <c r="P41">
        <v>136.80000000000001</v>
      </c>
      <c r="Q41">
        <f t="shared" si="6"/>
        <v>131.36666666666665</v>
      </c>
      <c r="R41">
        <v>176.9</v>
      </c>
      <c r="S41">
        <f t="shared" si="7"/>
        <v>174.53333333333333</v>
      </c>
      <c r="T41">
        <v>109.1</v>
      </c>
      <c r="U41">
        <f t="shared" si="8"/>
        <v>103.33333333333333</v>
      </c>
      <c r="V41">
        <v>140.4</v>
      </c>
      <c r="W41">
        <f t="shared" si="9"/>
        <v>140.06666666666663</v>
      </c>
      <c r="X41">
        <v>121.1</v>
      </c>
      <c r="Y41">
        <f t="shared" si="10"/>
        <v>120.8</v>
      </c>
      <c r="Z41">
        <v>135.9</v>
      </c>
      <c r="AA41">
        <f t="shared" si="11"/>
        <v>135.5</v>
      </c>
      <c r="AB41">
        <v>131.80000000000001</v>
      </c>
      <c r="AC41">
        <f t="shared" si="12"/>
        <v>129.93333333333334</v>
      </c>
      <c r="AD41">
        <v>141.5</v>
      </c>
      <c r="AE41">
        <f t="shared" si="13"/>
        <v>140.70000000000002</v>
      </c>
      <c r="AF41">
        <v>126.8</v>
      </c>
      <c r="AG41">
        <f t="shared" si="14"/>
        <v>126.46666666666668</v>
      </c>
      <c r="AH41">
        <v>120.5</v>
      </c>
      <c r="AI41">
        <f t="shared" si="15"/>
        <v>120.3</v>
      </c>
      <c r="AJ41">
        <v>125.8</v>
      </c>
      <c r="AK41">
        <f t="shared" si="16"/>
        <v>125.53333333333335</v>
      </c>
      <c r="AL41">
        <v>125.6</v>
      </c>
      <c r="AM41">
        <f t="shared" si="17"/>
        <v>124.96666666666665</v>
      </c>
      <c r="AN41">
        <v>114.6</v>
      </c>
      <c r="AO41">
        <f t="shared" si="18"/>
        <v>115.13333333333333</v>
      </c>
      <c r="AP41">
        <v>122.8</v>
      </c>
      <c r="AQ41">
        <f t="shared" si="19"/>
        <v>122.3</v>
      </c>
      <c r="AR41">
        <v>120</v>
      </c>
      <c r="AS41">
        <f t="shared" si="20"/>
        <v>119.73333333333333</v>
      </c>
      <c r="AT41">
        <v>110</v>
      </c>
      <c r="AU41">
        <f t="shared" si="21"/>
        <v>109.2</v>
      </c>
      <c r="AV41">
        <v>119.5</v>
      </c>
      <c r="AW41">
        <f t="shared" si="22"/>
        <v>119.13333333333333</v>
      </c>
      <c r="AX41">
        <v>127.6</v>
      </c>
      <c r="AY41">
        <f t="shared" si="23"/>
        <v>126.76666666666665</v>
      </c>
      <c r="AZ41">
        <v>117.6</v>
      </c>
      <c r="BA41">
        <f t="shared" si="24"/>
        <v>116.96666666666665</v>
      </c>
      <c r="BB41">
        <v>118.2</v>
      </c>
      <c r="BC41">
        <f t="shared" si="25"/>
        <v>117.56666666666666</v>
      </c>
      <c r="BD41">
        <v>125.3</v>
      </c>
      <c r="BE41">
        <f t="shared" si="26"/>
        <v>124.3</v>
      </c>
    </row>
    <row r="42" spans="1:57" hidden="1">
      <c r="A42" t="s">
        <v>33</v>
      </c>
      <c r="B42">
        <v>2016</v>
      </c>
      <c r="C42" t="s">
        <v>38</v>
      </c>
      <c r="D42">
        <v>125</v>
      </c>
      <c r="E42">
        <f t="shared" si="0"/>
        <v>124.89999999999999</v>
      </c>
      <c r="F42">
        <v>142.1</v>
      </c>
      <c r="G42">
        <f t="shared" si="1"/>
        <v>139.23333333333335</v>
      </c>
      <c r="H42">
        <v>127</v>
      </c>
      <c r="I42">
        <f t="shared" si="2"/>
        <v>123.53333333333335</v>
      </c>
      <c r="J42">
        <v>130.4</v>
      </c>
      <c r="K42">
        <f t="shared" si="3"/>
        <v>130.1</v>
      </c>
      <c r="L42">
        <v>109.6</v>
      </c>
      <c r="M42">
        <f t="shared" si="4"/>
        <v>108.8</v>
      </c>
      <c r="N42">
        <v>133.5</v>
      </c>
      <c r="O42">
        <f t="shared" si="5"/>
        <v>128.16666666666666</v>
      </c>
      <c r="P42">
        <v>151.4</v>
      </c>
      <c r="Q42">
        <f t="shared" si="6"/>
        <v>138.76666666666665</v>
      </c>
      <c r="R42">
        <v>182.8</v>
      </c>
      <c r="S42">
        <f t="shared" si="7"/>
        <v>176.66666666666666</v>
      </c>
      <c r="T42">
        <v>111.1</v>
      </c>
      <c r="U42">
        <f t="shared" si="8"/>
        <v>107.33333333333333</v>
      </c>
      <c r="V42">
        <v>141.5</v>
      </c>
      <c r="W42">
        <f t="shared" si="9"/>
        <v>140.66666666666666</v>
      </c>
      <c r="X42">
        <v>121.5</v>
      </c>
      <c r="Y42">
        <f t="shared" si="10"/>
        <v>121.10000000000001</v>
      </c>
      <c r="Z42">
        <v>136.30000000000001</v>
      </c>
      <c r="AA42">
        <f t="shared" si="11"/>
        <v>135.86666666666667</v>
      </c>
      <c r="AB42">
        <v>134.6</v>
      </c>
      <c r="AC42">
        <f t="shared" si="12"/>
        <v>131.76666666666668</v>
      </c>
      <c r="AD42">
        <v>142.19999999999999</v>
      </c>
      <c r="AE42">
        <f t="shared" si="13"/>
        <v>141.43333333333334</v>
      </c>
      <c r="AF42">
        <v>127.2</v>
      </c>
      <c r="AG42">
        <f t="shared" si="14"/>
        <v>126.8</v>
      </c>
      <c r="AH42">
        <v>120.7</v>
      </c>
      <c r="AI42">
        <f t="shared" si="15"/>
        <v>120.5</v>
      </c>
      <c r="AJ42">
        <v>126.2</v>
      </c>
      <c r="AK42">
        <f t="shared" si="16"/>
        <v>125.83333333333333</v>
      </c>
      <c r="AL42">
        <v>126</v>
      </c>
      <c r="AM42">
        <f t="shared" si="17"/>
        <v>125.5</v>
      </c>
      <c r="AN42">
        <v>115</v>
      </c>
      <c r="AO42">
        <f t="shared" si="18"/>
        <v>114.8</v>
      </c>
      <c r="AP42">
        <v>123.2</v>
      </c>
      <c r="AQ42">
        <f t="shared" si="19"/>
        <v>122.76666666666667</v>
      </c>
      <c r="AR42">
        <v>120.3</v>
      </c>
      <c r="AS42">
        <f t="shared" si="20"/>
        <v>120</v>
      </c>
      <c r="AT42">
        <v>110.7</v>
      </c>
      <c r="AU42">
        <f t="shared" si="21"/>
        <v>109.73333333333333</v>
      </c>
      <c r="AV42">
        <v>119.8</v>
      </c>
      <c r="AW42">
        <f t="shared" si="22"/>
        <v>119.46666666666665</v>
      </c>
      <c r="AX42">
        <v>128</v>
      </c>
      <c r="AY42">
        <f t="shared" si="23"/>
        <v>127.33333333333333</v>
      </c>
      <c r="AZ42">
        <v>118.5</v>
      </c>
      <c r="BA42">
        <f t="shared" si="24"/>
        <v>117.73333333333333</v>
      </c>
      <c r="BB42">
        <v>118.7</v>
      </c>
      <c r="BC42">
        <f t="shared" si="25"/>
        <v>118.06666666666666</v>
      </c>
      <c r="BD42">
        <v>126.6</v>
      </c>
      <c r="BE42">
        <f t="shared" si="26"/>
        <v>125.23333333333333</v>
      </c>
    </row>
    <row r="43" spans="1:57" hidden="1">
      <c r="A43" t="s">
        <v>33</v>
      </c>
      <c r="B43">
        <v>2016</v>
      </c>
      <c r="C43" t="s">
        <v>39</v>
      </c>
      <c r="D43">
        <v>125.9</v>
      </c>
      <c r="E43">
        <f t="shared" si="0"/>
        <v>125.26666666666667</v>
      </c>
      <c r="F43">
        <v>143.9</v>
      </c>
      <c r="G43">
        <f t="shared" si="1"/>
        <v>141.76666666666665</v>
      </c>
      <c r="H43">
        <v>130.9</v>
      </c>
      <c r="I43">
        <f t="shared" si="2"/>
        <v>125.93333333333334</v>
      </c>
      <c r="J43">
        <v>131</v>
      </c>
      <c r="K43">
        <f t="shared" si="3"/>
        <v>130.53333333333333</v>
      </c>
      <c r="L43">
        <v>110.2</v>
      </c>
      <c r="M43">
        <f t="shared" si="4"/>
        <v>109.56666666666666</v>
      </c>
      <c r="N43">
        <v>135.5</v>
      </c>
      <c r="O43">
        <f t="shared" si="5"/>
        <v>133.36666666666667</v>
      </c>
      <c r="P43">
        <v>173.7</v>
      </c>
      <c r="Q43">
        <f t="shared" si="6"/>
        <v>153.96666666666667</v>
      </c>
      <c r="R43">
        <v>184.4</v>
      </c>
      <c r="S43">
        <f t="shared" si="7"/>
        <v>181.36666666666667</v>
      </c>
      <c r="T43">
        <v>112</v>
      </c>
      <c r="U43">
        <f t="shared" si="8"/>
        <v>110.73333333333333</v>
      </c>
      <c r="V43">
        <v>142.80000000000001</v>
      </c>
      <c r="W43">
        <f t="shared" si="9"/>
        <v>141.56666666666666</v>
      </c>
      <c r="X43">
        <v>121.6</v>
      </c>
      <c r="Y43">
        <f t="shared" si="10"/>
        <v>121.39999999999999</v>
      </c>
      <c r="Z43">
        <v>136.9</v>
      </c>
      <c r="AA43">
        <f t="shared" si="11"/>
        <v>136.36666666666667</v>
      </c>
      <c r="AB43">
        <v>138.19999999999999</v>
      </c>
      <c r="AC43">
        <f t="shared" si="12"/>
        <v>134.86666666666665</v>
      </c>
      <c r="AD43">
        <v>142.69999999999999</v>
      </c>
      <c r="AE43">
        <f t="shared" si="13"/>
        <v>142.13333333333333</v>
      </c>
      <c r="AF43">
        <v>127.6</v>
      </c>
      <c r="AG43">
        <f t="shared" si="14"/>
        <v>127.2</v>
      </c>
      <c r="AH43">
        <v>121.1</v>
      </c>
      <c r="AI43">
        <f t="shared" si="15"/>
        <v>120.76666666666665</v>
      </c>
      <c r="AJ43">
        <v>126.6</v>
      </c>
      <c r="AK43">
        <f t="shared" si="16"/>
        <v>126.2</v>
      </c>
      <c r="AL43">
        <v>125.5</v>
      </c>
      <c r="AM43">
        <f t="shared" si="17"/>
        <v>125.7</v>
      </c>
      <c r="AN43">
        <v>115.5</v>
      </c>
      <c r="AO43">
        <f t="shared" si="18"/>
        <v>115.03333333333335</v>
      </c>
      <c r="AP43">
        <v>123.2</v>
      </c>
      <c r="AQ43">
        <f t="shared" si="19"/>
        <v>123.06666666666666</v>
      </c>
      <c r="AR43">
        <v>120.6</v>
      </c>
      <c r="AS43">
        <f t="shared" si="20"/>
        <v>120.3</v>
      </c>
      <c r="AT43">
        <v>112.3</v>
      </c>
      <c r="AU43">
        <f t="shared" si="21"/>
        <v>111</v>
      </c>
      <c r="AV43">
        <v>119.9</v>
      </c>
      <c r="AW43">
        <f t="shared" si="22"/>
        <v>119.73333333333335</v>
      </c>
      <c r="AX43">
        <v>129.30000000000001</v>
      </c>
      <c r="AY43">
        <f t="shared" si="23"/>
        <v>128.29999999999998</v>
      </c>
      <c r="AZ43">
        <v>118.8</v>
      </c>
      <c r="BA43">
        <f t="shared" si="24"/>
        <v>118.3</v>
      </c>
      <c r="BB43">
        <v>119.6</v>
      </c>
      <c r="BC43">
        <f t="shared" si="25"/>
        <v>118.83333333333333</v>
      </c>
      <c r="BD43">
        <v>128.1</v>
      </c>
      <c r="BE43">
        <f t="shared" si="26"/>
        <v>126.66666666666667</v>
      </c>
    </row>
    <row r="44" spans="1:57" hidden="1">
      <c r="A44" t="s">
        <v>33</v>
      </c>
      <c r="B44">
        <v>2016</v>
      </c>
      <c r="C44" t="s">
        <v>40</v>
      </c>
      <c r="D44">
        <v>126.8</v>
      </c>
      <c r="E44">
        <f t="shared" si="0"/>
        <v>125.89999999999999</v>
      </c>
      <c r="F44">
        <v>144.19999999999999</v>
      </c>
      <c r="G44">
        <f t="shared" si="1"/>
        <v>143.4</v>
      </c>
      <c r="H44">
        <v>136.6</v>
      </c>
      <c r="I44">
        <f t="shared" si="2"/>
        <v>131.5</v>
      </c>
      <c r="J44">
        <v>131.80000000000001</v>
      </c>
      <c r="K44">
        <f t="shared" si="3"/>
        <v>131.06666666666666</v>
      </c>
      <c r="L44">
        <v>111</v>
      </c>
      <c r="M44">
        <f t="shared" si="4"/>
        <v>110.26666666666667</v>
      </c>
      <c r="N44">
        <v>137</v>
      </c>
      <c r="O44">
        <f t="shared" si="5"/>
        <v>135.33333333333334</v>
      </c>
      <c r="P44">
        <v>179.5</v>
      </c>
      <c r="Q44">
        <f t="shared" si="6"/>
        <v>168.20000000000002</v>
      </c>
      <c r="R44">
        <v>188.4</v>
      </c>
      <c r="S44">
        <f t="shared" si="7"/>
        <v>185.20000000000002</v>
      </c>
      <c r="T44">
        <v>113.3</v>
      </c>
      <c r="U44">
        <f t="shared" si="8"/>
        <v>112.13333333333333</v>
      </c>
      <c r="V44">
        <v>143.9</v>
      </c>
      <c r="W44">
        <f t="shared" si="9"/>
        <v>142.73333333333335</v>
      </c>
      <c r="X44">
        <v>121.7</v>
      </c>
      <c r="Y44">
        <f t="shared" si="10"/>
        <v>121.60000000000001</v>
      </c>
      <c r="Z44">
        <v>137.5</v>
      </c>
      <c r="AA44">
        <f t="shared" si="11"/>
        <v>136.9</v>
      </c>
      <c r="AB44">
        <v>139.80000000000001</v>
      </c>
      <c r="AC44">
        <f t="shared" si="12"/>
        <v>137.53333333333333</v>
      </c>
      <c r="AD44">
        <v>142.9</v>
      </c>
      <c r="AE44">
        <f t="shared" si="13"/>
        <v>142.6</v>
      </c>
      <c r="AF44">
        <v>127.9</v>
      </c>
      <c r="AG44">
        <f t="shared" si="14"/>
        <v>127.56666666666668</v>
      </c>
      <c r="AH44">
        <v>121.1</v>
      </c>
      <c r="AI44">
        <f t="shared" si="15"/>
        <v>120.96666666666665</v>
      </c>
      <c r="AJ44">
        <v>126.9</v>
      </c>
      <c r="AK44">
        <f t="shared" si="16"/>
        <v>126.56666666666668</v>
      </c>
      <c r="AL44">
        <v>126.4</v>
      </c>
      <c r="AM44">
        <f t="shared" si="17"/>
        <v>125.96666666666665</v>
      </c>
      <c r="AN44">
        <v>115.5</v>
      </c>
      <c r="AO44">
        <f t="shared" si="18"/>
        <v>115.33333333333333</v>
      </c>
      <c r="AP44">
        <v>123.5</v>
      </c>
      <c r="AQ44">
        <f t="shared" si="19"/>
        <v>123.3</v>
      </c>
      <c r="AR44">
        <v>120.9</v>
      </c>
      <c r="AS44">
        <f t="shared" si="20"/>
        <v>120.59999999999998</v>
      </c>
      <c r="AT44">
        <v>111.7</v>
      </c>
      <c r="AU44">
        <f t="shared" si="21"/>
        <v>111.56666666666666</v>
      </c>
      <c r="AV44">
        <v>120.3</v>
      </c>
      <c r="AW44">
        <f t="shared" si="22"/>
        <v>120</v>
      </c>
      <c r="AX44">
        <v>130.80000000000001</v>
      </c>
      <c r="AY44">
        <f t="shared" si="23"/>
        <v>129.36666666666667</v>
      </c>
      <c r="AZ44">
        <v>120</v>
      </c>
      <c r="BA44">
        <f t="shared" si="24"/>
        <v>119.10000000000001</v>
      </c>
      <c r="BB44">
        <v>119.9</v>
      </c>
      <c r="BC44">
        <f t="shared" si="25"/>
        <v>119.40000000000002</v>
      </c>
      <c r="BD44">
        <v>129</v>
      </c>
      <c r="BE44">
        <f t="shared" si="26"/>
        <v>127.89999999999999</v>
      </c>
    </row>
    <row r="45" spans="1:57" hidden="1">
      <c r="A45" t="s">
        <v>33</v>
      </c>
      <c r="B45">
        <v>2016</v>
      </c>
      <c r="C45" t="s">
        <v>41</v>
      </c>
      <c r="D45">
        <v>127.6</v>
      </c>
      <c r="E45">
        <f t="shared" si="0"/>
        <v>126.76666666666665</v>
      </c>
      <c r="F45">
        <v>140.30000000000001</v>
      </c>
      <c r="G45">
        <f t="shared" si="1"/>
        <v>142.80000000000001</v>
      </c>
      <c r="H45">
        <v>133.69999999999999</v>
      </c>
      <c r="I45">
        <f t="shared" si="2"/>
        <v>133.73333333333332</v>
      </c>
      <c r="J45">
        <v>132.19999999999999</v>
      </c>
      <c r="K45">
        <f t="shared" si="3"/>
        <v>131.66666666666666</v>
      </c>
      <c r="L45">
        <v>111.8</v>
      </c>
      <c r="M45">
        <f t="shared" si="4"/>
        <v>111</v>
      </c>
      <c r="N45">
        <v>135.80000000000001</v>
      </c>
      <c r="O45">
        <f t="shared" si="5"/>
        <v>136.1</v>
      </c>
      <c r="P45">
        <v>163.5</v>
      </c>
      <c r="Q45">
        <f t="shared" si="6"/>
        <v>172.23333333333335</v>
      </c>
      <c r="R45">
        <v>182.3</v>
      </c>
      <c r="S45">
        <f t="shared" si="7"/>
        <v>185.03333333333333</v>
      </c>
      <c r="T45">
        <v>114.6</v>
      </c>
      <c r="U45">
        <f t="shared" si="8"/>
        <v>113.3</v>
      </c>
      <c r="V45">
        <v>144.6</v>
      </c>
      <c r="W45">
        <f t="shared" si="9"/>
        <v>143.76666666666668</v>
      </c>
      <c r="X45">
        <v>121.9</v>
      </c>
      <c r="Y45">
        <f t="shared" si="10"/>
        <v>121.73333333333335</v>
      </c>
      <c r="Z45">
        <v>138.1</v>
      </c>
      <c r="AA45">
        <f t="shared" si="11"/>
        <v>137.5</v>
      </c>
      <c r="AB45">
        <v>137.6</v>
      </c>
      <c r="AC45">
        <f t="shared" si="12"/>
        <v>138.53333333333333</v>
      </c>
      <c r="AD45">
        <v>143.6</v>
      </c>
      <c r="AE45">
        <f t="shared" si="13"/>
        <v>143.06666666666669</v>
      </c>
      <c r="AF45">
        <v>128.30000000000001</v>
      </c>
      <c r="AG45">
        <f t="shared" si="14"/>
        <v>127.93333333333334</v>
      </c>
      <c r="AH45">
        <v>121.4</v>
      </c>
      <c r="AI45">
        <f t="shared" si="15"/>
        <v>121.2</v>
      </c>
      <c r="AJ45">
        <v>127.3</v>
      </c>
      <c r="AK45">
        <f t="shared" si="16"/>
        <v>126.93333333333334</v>
      </c>
      <c r="AL45">
        <v>127.3</v>
      </c>
      <c r="AM45">
        <f t="shared" si="17"/>
        <v>126.39999999999999</v>
      </c>
      <c r="AN45">
        <v>114.7</v>
      </c>
      <c r="AO45">
        <f t="shared" si="18"/>
        <v>115.23333333333333</v>
      </c>
      <c r="AP45">
        <v>123.9</v>
      </c>
      <c r="AQ45">
        <f t="shared" si="19"/>
        <v>123.53333333333335</v>
      </c>
      <c r="AR45">
        <v>121.2</v>
      </c>
      <c r="AS45">
        <f t="shared" si="20"/>
        <v>120.89999999999999</v>
      </c>
      <c r="AT45">
        <v>110.4</v>
      </c>
      <c r="AU45">
        <f t="shared" si="21"/>
        <v>111.46666666666665</v>
      </c>
      <c r="AV45">
        <v>120.6</v>
      </c>
      <c r="AW45">
        <f t="shared" si="22"/>
        <v>120.26666666666665</v>
      </c>
      <c r="AX45">
        <v>131.5</v>
      </c>
      <c r="AY45">
        <f t="shared" si="23"/>
        <v>130.53333333333333</v>
      </c>
      <c r="AZ45">
        <v>120.9</v>
      </c>
      <c r="BA45">
        <f t="shared" si="24"/>
        <v>119.90000000000002</v>
      </c>
      <c r="BB45">
        <v>119.9</v>
      </c>
      <c r="BC45">
        <f t="shared" si="25"/>
        <v>119.8</v>
      </c>
      <c r="BD45">
        <v>128.4</v>
      </c>
      <c r="BE45">
        <f t="shared" si="26"/>
        <v>128.5</v>
      </c>
    </row>
    <row r="46" spans="1:57" hidden="1">
      <c r="A46" t="s">
        <v>33</v>
      </c>
      <c r="B46">
        <v>2016</v>
      </c>
      <c r="C46" t="s">
        <v>42</v>
      </c>
      <c r="D46">
        <v>128.1</v>
      </c>
      <c r="E46">
        <f t="shared" si="0"/>
        <v>127.5</v>
      </c>
      <c r="F46">
        <v>137.69999999999999</v>
      </c>
      <c r="G46">
        <f t="shared" si="1"/>
        <v>140.73333333333332</v>
      </c>
      <c r="H46">
        <v>130.6</v>
      </c>
      <c r="I46">
        <f t="shared" si="2"/>
        <v>133.63333333333333</v>
      </c>
      <c r="J46">
        <v>132.6</v>
      </c>
      <c r="K46">
        <f t="shared" si="3"/>
        <v>132.20000000000002</v>
      </c>
      <c r="L46">
        <v>111.9</v>
      </c>
      <c r="M46">
        <f t="shared" si="4"/>
        <v>111.56666666666668</v>
      </c>
      <c r="N46">
        <v>132.5</v>
      </c>
      <c r="O46">
        <f t="shared" si="5"/>
        <v>135.1</v>
      </c>
      <c r="P46">
        <v>152.9</v>
      </c>
      <c r="Q46">
        <f t="shared" si="6"/>
        <v>165.29999999999998</v>
      </c>
      <c r="R46">
        <v>173.6</v>
      </c>
      <c r="S46">
        <f t="shared" si="7"/>
        <v>181.43333333333337</v>
      </c>
      <c r="T46">
        <v>115.1</v>
      </c>
      <c r="U46">
        <f t="shared" si="8"/>
        <v>114.33333333333333</v>
      </c>
      <c r="V46">
        <v>144.80000000000001</v>
      </c>
      <c r="W46">
        <f t="shared" si="9"/>
        <v>144.43333333333334</v>
      </c>
      <c r="X46">
        <v>122.1</v>
      </c>
      <c r="Y46">
        <f t="shared" si="10"/>
        <v>121.90000000000002</v>
      </c>
      <c r="Z46">
        <v>138.80000000000001</v>
      </c>
      <c r="AA46">
        <f t="shared" si="11"/>
        <v>138.13333333333335</v>
      </c>
      <c r="AB46">
        <v>135.69999999999999</v>
      </c>
      <c r="AC46">
        <f t="shared" si="12"/>
        <v>137.69999999999999</v>
      </c>
      <c r="AD46">
        <v>143.9</v>
      </c>
      <c r="AE46">
        <f t="shared" si="13"/>
        <v>143.46666666666667</v>
      </c>
      <c r="AF46">
        <v>128.69999999999999</v>
      </c>
      <c r="AG46">
        <f t="shared" si="14"/>
        <v>128.30000000000001</v>
      </c>
      <c r="AH46">
        <v>121.6</v>
      </c>
      <c r="AI46">
        <f t="shared" si="15"/>
        <v>121.36666666666667</v>
      </c>
      <c r="AJ46">
        <v>127.7</v>
      </c>
      <c r="AK46">
        <f t="shared" si="16"/>
        <v>127.3</v>
      </c>
      <c r="AL46">
        <v>127.9</v>
      </c>
      <c r="AM46">
        <f t="shared" si="17"/>
        <v>127.2</v>
      </c>
      <c r="AN46">
        <v>114.8</v>
      </c>
      <c r="AO46">
        <f t="shared" si="18"/>
        <v>115</v>
      </c>
      <c r="AP46">
        <v>124.3</v>
      </c>
      <c r="AQ46">
        <f t="shared" si="19"/>
        <v>123.89999999999999</v>
      </c>
      <c r="AR46">
        <v>121.4</v>
      </c>
      <c r="AS46">
        <f t="shared" si="20"/>
        <v>121.16666666666667</v>
      </c>
      <c r="AT46">
        <v>111.8</v>
      </c>
      <c r="AU46">
        <f t="shared" si="21"/>
        <v>111.30000000000001</v>
      </c>
      <c r="AV46">
        <v>120.8</v>
      </c>
      <c r="AW46">
        <f t="shared" si="22"/>
        <v>120.56666666666666</v>
      </c>
      <c r="AX46">
        <v>131.6</v>
      </c>
      <c r="AY46">
        <f t="shared" si="23"/>
        <v>131.29999999999998</v>
      </c>
      <c r="AZ46">
        <v>121.2</v>
      </c>
      <c r="BA46">
        <f t="shared" si="24"/>
        <v>120.7</v>
      </c>
      <c r="BB46">
        <v>120.5</v>
      </c>
      <c r="BC46">
        <f t="shared" si="25"/>
        <v>120.10000000000001</v>
      </c>
      <c r="BD46">
        <v>128</v>
      </c>
      <c r="BE46">
        <f t="shared" si="26"/>
        <v>128.46666666666667</v>
      </c>
    </row>
    <row r="47" spans="1:57" hidden="1">
      <c r="A47" t="s">
        <v>33</v>
      </c>
      <c r="B47">
        <v>2016</v>
      </c>
      <c r="C47" t="s">
        <v>43</v>
      </c>
      <c r="D47">
        <v>128.69999999999999</v>
      </c>
      <c r="E47">
        <f t="shared" si="0"/>
        <v>128.13333333333333</v>
      </c>
      <c r="F47">
        <v>138.4</v>
      </c>
      <c r="G47">
        <f t="shared" si="1"/>
        <v>138.79999999999998</v>
      </c>
      <c r="H47">
        <v>130.30000000000001</v>
      </c>
      <c r="I47">
        <f t="shared" si="2"/>
        <v>131.53333333333333</v>
      </c>
      <c r="J47">
        <v>132.69999999999999</v>
      </c>
      <c r="K47">
        <f t="shared" si="3"/>
        <v>132.49999999999997</v>
      </c>
      <c r="L47">
        <v>112.5</v>
      </c>
      <c r="M47">
        <f t="shared" si="4"/>
        <v>112.06666666666666</v>
      </c>
      <c r="N47">
        <v>130.4</v>
      </c>
      <c r="O47">
        <f t="shared" si="5"/>
        <v>132.9</v>
      </c>
      <c r="P47">
        <v>155.1</v>
      </c>
      <c r="Q47">
        <f t="shared" si="6"/>
        <v>157.16666666666666</v>
      </c>
      <c r="R47">
        <v>175.7</v>
      </c>
      <c r="S47">
        <f t="shared" si="7"/>
        <v>177.19999999999996</v>
      </c>
      <c r="T47">
        <v>115.4</v>
      </c>
      <c r="U47">
        <f t="shared" si="8"/>
        <v>115.03333333333335</v>
      </c>
      <c r="V47">
        <v>145.30000000000001</v>
      </c>
      <c r="W47">
        <f t="shared" si="9"/>
        <v>144.9</v>
      </c>
      <c r="X47">
        <v>122.5</v>
      </c>
      <c r="Y47">
        <f t="shared" si="10"/>
        <v>122.16666666666667</v>
      </c>
      <c r="Z47">
        <v>139.6</v>
      </c>
      <c r="AA47">
        <f t="shared" si="11"/>
        <v>138.83333333333334</v>
      </c>
      <c r="AB47">
        <v>136.30000000000001</v>
      </c>
      <c r="AC47">
        <f t="shared" si="12"/>
        <v>136.53333333333333</v>
      </c>
      <c r="AD47">
        <v>144.30000000000001</v>
      </c>
      <c r="AE47">
        <f t="shared" si="13"/>
        <v>143.93333333333334</v>
      </c>
      <c r="AF47">
        <v>129.1</v>
      </c>
      <c r="AG47">
        <f t="shared" si="14"/>
        <v>128.70000000000002</v>
      </c>
      <c r="AH47">
        <v>121.9</v>
      </c>
      <c r="AI47">
        <f t="shared" si="15"/>
        <v>121.63333333333333</v>
      </c>
      <c r="AJ47">
        <v>128</v>
      </c>
      <c r="AK47">
        <f t="shared" si="16"/>
        <v>127.66666666666667</v>
      </c>
      <c r="AL47">
        <v>128.69999999999999</v>
      </c>
      <c r="AM47">
        <f t="shared" si="17"/>
        <v>127.96666666666665</v>
      </c>
      <c r="AN47">
        <v>115.2</v>
      </c>
      <c r="AO47">
        <f t="shared" si="18"/>
        <v>114.89999999999999</v>
      </c>
      <c r="AP47">
        <v>124.5</v>
      </c>
      <c r="AQ47">
        <f t="shared" si="19"/>
        <v>124.23333333333333</v>
      </c>
      <c r="AR47">
        <v>121.8</v>
      </c>
      <c r="AS47">
        <f t="shared" si="20"/>
        <v>121.46666666666668</v>
      </c>
      <c r="AT47">
        <v>112.8</v>
      </c>
      <c r="AU47">
        <f t="shared" si="21"/>
        <v>111.66666666666667</v>
      </c>
      <c r="AV47">
        <v>121.2</v>
      </c>
      <c r="AW47">
        <f t="shared" si="22"/>
        <v>120.86666666666666</v>
      </c>
      <c r="AX47">
        <v>131.9</v>
      </c>
      <c r="AY47">
        <f t="shared" si="23"/>
        <v>131.66666666666666</v>
      </c>
      <c r="AZ47">
        <v>120.8</v>
      </c>
      <c r="BA47">
        <f t="shared" si="24"/>
        <v>120.96666666666668</v>
      </c>
      <c r="BB47">
        <v>120.9</v>
      </c>
      <c r="BC47">
        <f t="shared" si="25"/>
        <v>120.43333333333334</v>
      </c>
      <c r="BD47">
        <v>128.6</v>
      </c>
      <c r="BE47">
        <f t="shared" si="26"/>
        <v>128.33333333333334</v>
      </c>
    </row>
    <row r="48" spans="1:57" hidden="1">
      <c r="A48" t="s">
        <v>33</v>
      </c>
      <c r="B48">
        <v>2016</v>
      </c>
      <c r="C48" t="s">
        <v>45</v>
      </c>
      <c r="D48">
        <v>130.19999999999999</v>
      </c>
      <c r="E48">
        <f t="shared" si="0"/>
        <v>128.99999999999997</v>
      </c>
      <c r="F48">
        <v>138.5</v>
      </c>
      <c r="G48">
        <f t="shared" si="1"/>
        <v>138.20000000000002</v>
      </c>
      <c r="H48">
        <v>134.1</v>
      </c>
      <c r="I48">
        <f t="shared" si="2"/>
        <v>131.66666666666666</v>
      </c>
      <c r="J48">
        <v>132.9</v>
      </c>
      <c r="K48">
        <f t="shared" si="3"/>
        <v>132.73333333333332</v>
      </c>
      <c r="L48">
        <v>112.6</v>
      </c>
      <c r="M48">
        <f t="shared" si="4"/>
        <v>112.33333333333333</v>
      </c>
      <c r="N48">
        <v>130.80000000000001</v>
      </c>
      <c r="O48">
        <f t="shared" si="5"/>
        <v>131.23333333333332</v>
      </c>
      <c r="P48">
        <v>142</v>
      </c>
      <c r="Q48">
        <f t="shared" si="6"/>
        <v>150</v>
      </c>
      <c r="R48">
        <v>174.9</v>
      </c>
      <c r="S48">
        <f t="shared" si="7"/>
        <v>174.73333333333332</v>
      </c>
      <c r="T48">
        <v>115.6</v>
      </c>
      <c r="U48">
        <f t="shared" si="8"/>
        <v>115.36666666666667</v>
      </c>
      <c r="V48">
        <v>145.4</v>
      </c>
      <c r="W48">
        <f t="shared" si="9"/>
        <v>145.16666666666666</v>
      </c>
      <c r="X48">
        <v>122.7</v>
      </c>
      <c r="Y48">
        <f t="shared" si="10"/>
        <v>122.43333333333334</v>
      </c>
      <c r="Z48">
        <v>140.30000000000001</v>
      </c>
      <c r="AA48">
        <f t="shared" si="11"/>
        <v>139.56666666666666</v>
      </c>
      <c r="AB48">
        <v>135.19999999999999</v>
      </c>
      <c r="AC48">
        <f t="shared" si="12"/>
        <v>135.73333333333332</v>
      </c>
      <c r="AD48">
        <v>144.30000000000001</v>
      </c>
      <c r="AE48">
        <f t="shared" si="13"/>
        <v>144.16666666666669</v>
      </c>
      <c r="AF48">
        <v>129.6</v>
      </c>
      <c r="AG48">
        <f t="shared" si="14"/>
        <v>129.13333333333333</v>
      </c>
      <c r="AH48">
        <v>122.1</v>
      </c>
      <c r="AI48">
        <f t="shared" si="15"/>
        <v>121.86666666666667</v>
      </c>
      <c r="AJ48">
        <v>128.5</v>
      </c>
      <c r="AK48">
        <f t="shared" si="16"/>
        <v>128.06666666666666</v>
      </c>
      <c r="AL48">
        <v>129.1</v>
      </c>
      <c r="AM48">
        <f t="shared" si="17"/>
        <v>128.56666666666669</v>
      </c>
      <c r="AN48">
        <v>116.2</v>
      </c>
      <c r="AO48">
        <f t="shared" si="18"/>
        <v>115.39999999999999</v>
      </c>
      <c r="AP48">
        <v>124.7</v>
      </c>
      <c r="AQ48">
        <f t="shared" si="19"/>
        <v>124.5</v>
      </c>
      <c r="AR48">
        <v>122.1</v>
      </c>
      <c r="AS48">
        <f t="shared" si="20"/>
        <v>121.76666666666665</v>
      </c>
      <c r="AT48">
        <v>113.4</v>
      </c>
      <c r="AU48">
        <f t="shared" si="21"/>
        <v>112.66666666666667</v>
      </c>
      <c r="AV48">
        <v>121.7</v>
      </c>
      <c r="AW48">
        <f t="shared" si="22"/>
        <v>121.23333333333333</v>
      </c>
      <c r="AX48">
        <v>132.1</v>
      </c>
      <c r="AY48">
        <f t="shared" si="23"/>
        <v>131.86666666666667</v>
      </c>
      <c r="AZ48">
        <v>121.3</v>
      </c>
      <c r="BA48">
        <f t="shared" si="24"/>
        <v>121.10000000000001</v>
      </c>
      <c r="BB48">
        <v>121.3</v>
      </c>
      <c r="BC48">
        <f t="shared" si="25"/>
        <v>120.89999999999999</v>
      </c>
      <c r="BD48">
        <v>128.5</v>
      </c>
      <c r="BE48">
        <f t="shared" si="26"/>
        <v>128.36666666666667</v>
      </c>
    </row>
    <row r="49" spans="1:57" hidden="1">
      <c r="A49" t="s">
        <v>33</v>
      </c>
      <c r="B49">
        <v>2016</v>
      </c>
      <c r="C49" t="s">
        <v>46</v>
      </c>
      <c r="D49">
        <v>131.6</v>
      </c>
      <c r="E49">
        <f t="shared" si="0"/>
        <v>130.16666666666666</v>
      </c>
      <c r="F49">
        <v>138.19999999999999</v>
      </c>
      <c r="G49">
        <f t="shared" si="1"/>
        <v>138.36666666666665</v>
      </c>
      <c r="H49">
        <v>134.9</v>
      </c>
      <c r="I49">
        <f t="shared" si="2"/>
        <v>133.1</v>
      </c>
      <c r="J49">
        <v>133.1</v>
      </c>
      <c r="K49">
        <f t="shared" si="3"/>
        <v>132.9</v>
      </c>
      <c r="L49">
        <v>113.5</v>
      </c>
      <c r="M49">
        <f t="shared" si="4"/>
        <v>112.86666666666667</v>
      </c>
      <c r="N49">
        <v>129.30000000000001</v>
      </c>
      <c r="O49">
        <f t="shared" si="5"/>
        <v>130.16666666666669</v>
      </c>
      <c r="P49">
        <v>121.1</v>
      </c>
      <c r="Q49">
        <f t="shared" si="6"/>
        <v>139.4</v>
      </c>
      <c r="R49">
        <v>170.3</v>
      </c>
      <c r="S49">
        <f t="shared" si="7"/>
        <v>173.63333333333335</v>
      </c>
      <c r="T49">
        <v>115.5</v>
      </c>
      <c r="U49">
        <f t="shared" si="8"/>
        <v>115.5</v>
      </c>
      <c r="V49">
        <v>145.5</v>
      </c>
      <c r="W49">
        <f t="shared" si="9"/>
        <v>145.4</v>
      </c>
      <c r="X49">
        <v>123.1</v>
      </c>
      <c r="Y49">
        <f t="shared" si="10"/>
        <v>122.76666666666665</v>
      </c>
      <c r="Z49">
        <v>140.9</v>
      </c>
      <c r="AA49">
        <f t="shared" si="11"/>
        <v>140.26666666666665</v>
      </c>
      <c r="AB49">
        <v>132.80000000000001</v>
      </c>
      <c r="AC49">
        <f t="shared" si="12"/>
        <v>134.76666666666668</v>
      </c>
      <c r="AD49">
        <v>145</v>
      </c>
      <c r="AE49">
        <f t="shared" si="13"/>
        <v>144.53333333333333</v>
      </c>
      <c r="AF49">
        <v>130</v>
      </c>
      <c r="AG49">
        <f t="shared" si="14"/>
        <v>129.56666666666666</v>
      </c>
      <c r="AH49">
        <v>122.2</v>
      </c>
      <c r="AI49">
        <f t="shared" si="15"/>
        <v>122.06666666666666</v>
      </c>
      <c r="AJ49">
        <v>128.80000000000001</v>
      </c>
      <c r="AK49">
        <f t="shared" si="16"/>
        <v>128.43333333333334</v>
      </c>
      <c r="AL49">
        <v>128.5</v>
      </c>
      <c r="AM49">
        <f t="shared" si="17"/>
        <v>128.76666666666665</v>
      </c>
      <c r="AN49">
        <v>117.8</v>
      </c>
      <c r="AO49">
        <f t="shared" si="18"/>
        <v>116.39999999999999</v>
      </c>
      <c r="AP49">
        <v>125</v>
      </c>
      <c r="AQ49">
        <f t="shared" si="19"/>
        <v>124.73333333333333</v>
      </c>
      <c r="AR49">
        <v>122.3</v>
      </c>
      <c r="AS49">
        <f t="shared" si="20"/>
        <v>122.06666666666666</v>
      </c>
      <c r="AT49">
        <v>113.7</v>
      </c>
      <c r="AU49">
        <f t="shared" si="21"/>
        <v>113.3</v>
      </c>
      <c r="AV49">
        <v>121.8</v>
      </c>
      <c r="AW49">
        <f t="shared" si="22"/>
        <v>121.56666666666666</v>
      </c>
      <c r="AX49">
        <v>132.30000000000001</v>
      </c>
      <c r="AY49">
        <f t="shared" si="23"/>
        <v>132.1</v>
      </c>
      <c r="AZ49">
        <v>119.9</v>
      </c>
      <c r="BA49">
        <f t="shared" si="24"/>
        <v>120.66666666666667</v>
      </c>
      <c r="BB49">
        <v>121.4</v>
      </c>
      <c r="BC49">
        <f t="shared" si="25"/>
        <v>121.2</v>
      </c>
      <c r="BD49">
        <v>127.6</v>
      </c>
      <c r="BE49">
        <f t="shared" si="26"/>
        <v>128.23333333333335</v>
      </c>
    </row>
    <row r="50" spans="1:57" hidden="1">
      <c r="A50" t="s">
        <v>33</v>
      </c>
      <c r="B50">
        <v>2017</v>
      </c>
      <c r="C50" t="s">
        <v>31</v>
      </c>
      <c r="D50">
        <v>132.19999999999999</v>
      </c>
      <c r="E50">
        <f t="shared" si="0"/>
        <v>131.33333333333331</v>
      </c>
      <c r="F50">
        <v>138.9</v>
      </c>
      <c r="G50">
        <f t="shared" si="1"/>
        <v>138.53333333333333</v>
      </c>
      <c r="H50">
        <v>132.6</v>
      </c>
      <c r="I50">
        <f t="shared" si="2"/>
        <v>133.86666666666667</v>
      </c>
      <c r="J50">
        <v>133.1</v>
      </c>
      <c r="K50">
        <f t="shared" si="3"/>
        <v>133.03333333333333</v>
      </c>
      <c r="L50">
        <v>114</v>
      </c>
      <c r="M50">
        <f t="shared" si="4"/>
        <v>113.36666666666667</v>
      </c>
      <c r="N50">
        <v>129.6</v>
      </c>
      <c r="O50">
        <f t="shared" si="5"/>
        <v>129.9</v>
      </c>
      <c r="P50">
        <v>118.7</v>
      </c>
      <c r="Q50">
        <f t="shared" si="6"/>
        <v>127.26666666666667</v>
      </c>
      <c r="R50">
        <v>155.1</v>
      </c>
      <c r="S50">
        <f t="shared" si="7"/>
        <v>166.76666666666668</v>
      </c>
      <c r="T50">
        <v>117.3</v>
      </c>
      <c r="U50">
        <f t="shared" si="8"/>
        <v>116.13333333333333</v>
      </c>
      <c r="V50">
        <v>144.9</v>
      </c>
      <c r="W50">
        <f t="shared" si="9"/>
        <v>145.26666666666665</v>
      </c>
      <c r="X50">
        <v>123.2</v>
      </c>
      <c r="Y50">
        <f t="shared" si="10"/>
        <v>123</v>
      </c>
      <c r="Z50">
        <v>141.6</v>
      </c>
      <c r="AA50">
        <f t="shared" si="11"/>
        <v>140.93333333333337</v>
      </c>
      <c r="AB50">
        <v>132</v>
      </c>
      <c r="AC50">
        <f t="shared" si="12"/>
        <v>133.33333333333334</v>
      </c>
      <c r="AD50">
        <v>145.6</v>
      </c>
      <c r="AE50">
        <f t="shared" si="13"/>
        <v>144.96666666666667</v>
      </c>
      <c r="AF50">
        <v>130.19999999999999</v>
      </c>
      <c r="AG50">
        <f t="shared" si="14"/>
        <v>129.93333333333334</v>
      </c>
      <c r="AH50">
        <v>122.3</v>
      </c>
      <c r="AI50">
        <f t="shared" si="15"/>
        <v>122.2</v>
      </c>
      <c r="AJ50">
        <v>129</v>
      </c>
      <c r="AK50">
        <f t="shared" si="16"/>
        <v>128.76666666666668</v>
      </c>
      <c r="AL50">
        <v>129.6</v>
      </c>
      <c r="AM50">
        <f t="shared" si="17"/>
        <v>129.06666666666669</v>
      </c>
      <c r="AN50">
        <v>118</v>
      </c>
      <c r="AO50">
        <f t="shared" si="18"/>
        <v>117.33333333333333</v>
      </c>
      <c r="AP50">
        <v>125.1</v>
      </c>
      <c r="AQ50">
        <f t="shared" si="19"/>
        <v>124.93333333333332</v>
      </c>
      <c r="AR50">
        <v>122.6</v>
      </c>
      <c r="AS50">
        <f t="shared" si="20"/>
        <v>122.33333333333333</v>
      </c>
      <c r="AT50">
        <v>115.2</v>
      </c>
      <c r="AU50">
        <f t="shared" si="21"/>
        <v>114.10000000000001</v>
      </c>
      <c r="AV50">
        <v>122</v>
      </c>
      <c r="AW50">
        <f t="shared" si="22"/>
        <v>121.83333333333333</v>
      </c>
      <c r="AX50">
        <v>132.4</v>
      </c>
      <c r="AY50">
        <f t="shared" si="23"/>
        <v>132.26666666666665</v>
      </c>
      <c r="AZ50">
        <v>120.9</v>
      </c>
      <c r="BA50">
        <f t="shared" si="24"/>
        <v>120.7</v>
      </c>
      <c r="BB50">
        <v>122.1</v>
      </c>
      <c r="BC50">
        <f t="shared" si="25"/>
        <v>121.59999999999998</v>
      </c>
      <c r="BD50">
        <v>127.8</v>
      </c>
      <c r="BE50">
        <f t="shared" si="26"/>
        <v>127.96666666666668</v>
      </c>
    </row>
    <row r="51" spans="1:57" hidden="1">
      <c r="A51" t="s">
        <v>33</v>
      </c>
      <c r="B51">
        <v>2017</v>
      </c>
      <c r="C51" t="s">
        <v>35</v>
      </c>
      <c r="D51">
        <v>132.80000000000001</v>
      </c>
      <c r="E51">
        <f t="shared" si="0"/>
        <v>132.19999999999999</v>
      </c>
      <c r="F51">
        <v>139.80000000000001</v>
      </c>
      <c r="G51">
        <f t="shared" si="1"/>
        <v>138.96666666666667</v>
      </c>
      <c r="H51">
        <v>129.30000000000001</v>
      </c>
      <c r="I51">
        <f t="shared" si="2"/>
        <v>132.26666666666668</v>
      </c>
      <c r="J51">
        <v>133.5</v>
      </c>
      <c r="K51">
        <f t="shared" si="3"/>
        <v>133.23333333333332</v>
      </c>
      <c r="L51">
        <v>114.3</v>
      </c>
      <c r="M51">
        <f t="shared" si="4"/>
        <v>113.93333333333334</v>
      </c>
      <c r="N51">
        <v>131.4</v>
      </c>
      <c r="O51">
        <f t="shared" si="5"/>
        <v>130.1</v>
      </c>
      <c r="P51">
        <v>120.2</v>
      </c>
      <c r="Q51">
        <f t="shared" si="6"/>
        <v>120</v>
      </c>
      <c r="R51">
        <v>143.1</v>
      </c>
      <c r="S51">
        <f t="shared" si="7"/>
        <v>156.16666666666666</v>
      </c>
      <c r="T51">
        <v>119.5</v>
      </c>
      <c r="U51">
        <f t="shared" si="8"/>
        <v>117.43333333333334</v>
      </c>
      <c r="V51">
        <v>144</v>
      </c>
      <c r="W51">
        <f t="shared" si="9"/>
        <v>144.79999999999998</v>
      </c>
      <c r="X51">
        <v>123.4</v>
      </c>
      <c r="Y51">
        <f t="shared" si="10"/>
        <v>123.23333333333335</v>
      </c>
      <c r="Z51">
        <v>141.9</v>
      </c>
      <c r="AA51">
        <f t="shared" si="11"/>
        <v>141.46666666666667</v>
      </c>
      <c r="AB51">
        <v>132.1</v>
      </c>
      <c r="AC51">
        <f t="shared" si="12"/>
        <v>132.29999999999998</v>
      </c>
      <c r="AD51">
        <v>146.30000000000001</v>
      </c>
      <c r="AE51">
        <f t="shared" si="13"/>
        <v>145.63333333333335</v>
      </c>
      <c r="AF51">
        <v>130.5</v>
      </c>
      <c r="AG51">
        <f t="shared" si="14"/>
        <v>130.23333333333332</v>
      </c>
      <c r="AH51">
        <v>122.5</v>
      </c>
      <c r="AI51">
        <f t="shared" si="15"/>
        <v>122.33333333333333</v>
      </c>
      <c r="AJ51">
        <v>129.30000000000001</v>
      </c>
      <c r="AK51">
        <f t="shared" si="16"/>
        <v>129.03333333333333</v>
      </c>
      <c r="AL51">
        <v>130.5</v>
      </c>
      <c r="AM51">
        <f t="shared" si="17"/>
        <v>129.53333333333333</v>
      </c>
      <c r="AN51">
        <v>119.2</v>
      </c>
      <c r="AO51">
        <f t="shared" si="18"/>
        <v>118.33333333333333</v>
      </c>
      <c r="AP51">
        <v>125.3</v>
      </c>
      <c r="AQ51">
        <f t="shared" si="19"/>
        <v>125.13333333333333</v>
      </c>
      <c r="AR51">
        <v>122.9</v>
      </c>
      <c r="AS51">
        <f t="shared" si="20"/>
        <v>122.59999999999998</v>
      </c>
      <c r="AT51">
        <v>115.5</v>
      </c>
      <c r="AU51">
        <f t="shared" si="21"/>
        <v>114.8</v>
      </c>
      <c r="AV51">
        <v>122.2</v>
      </c>
      <c r="AW51">
        <f t="shared" si="22"/>
        <v>122</v>
      </c>
      <c r="AX51">
        <v>132.4</v>
      </c>
      <c r="AY51">
        <f t="shared" si="23"/>
        <v>132.36666666666667</v>
      </c>
      <c r="AZ51">
        <v>121.7</v>
      </c>
      <c r="BA51">
        <f t="shared" si="24"/>
        <v>120.83333333333333</v>
      </c>
      <c r="BB51">
        <v>122.4</v>
      </c>
      <c r="BC51">
        <f t="shared" si="25"/>
        <v>121.96666666666665</v>
      </c>
      <c r="BD51">
        <v>128.19999999999999</v>
      </c>
      <c r="BE51">
        <f t="shared" si="26"/>
        <v>127.86666666666666</v>
      </c>
    </row>
    <row r="52" spans="1:57" hidden="1">
      <c r="A52" t="s">
        <v>33</v>
      </c>
      <c r="B52">
        <v>2017</v>
      </c>
      <c r="C52" t="s">
        <v>36</v>
      </c>
      <c r="D52">
        <v>132.69999999999999</v>
      </c>
      <c r="E52">
        <f t="shared" si="0"/>
        <v>132.56666666666666</v>
      </c>
      <c r="F52">
        <v>139.4</v>
      </c>
      <c r="G52">
        <f t="shared" si="1"/>
        <v>139.36666666666667</v>
      </c>
      <c r="H52">
        <v>128.4</v>
      </c>
      <c r="I52">
        <f t="shared" si="2"/>
        <v>130.1</v>
      </c>
      <c r="J52">
        <v>134.9</v>
      </c>
      <c r="K52">
        <f t="shared" si="3"/>
        <v>133.83333333333334</v>
      </c>
      <c r="L52">
        <v>114</v>
      </c>
      <c r="M52">
        <f t="shared" si="4"/>
        <v>114.10000000000001</v>
      </c>
      <c r="N52">
        <v>136.80000000000001</v>
      </c>
      <c r="O52">
        <f t="shared" si="5"/>
        <v>132.6</v>
      </c>
      <c r="P52">
        <v>122.2</v>
      </c>
      <c r="Q52">
        <f t="shared" si="6"/>
        <v>120.36666666666667</v>
      </c>
      <c r="R52">
        <v>135.80000000000001</v>
      </c>
      <c r="S52">
        <f t="shared" si="7"/>
        <v>144.66666666666666</v>
      </c>
      <c r="T52">
        <v>120.3</v>
      </c>
      <c r="U52">
        <f t="shared" si="8"/>
        <v>119.03333333333335</v>
      </c>
      <c r="V52">
        <v>142.6</v>
      </c>
      <c r="W52">
        <f t="shared" si="9"/>
        <v>143.83333333333334</v>
      </c>
      <c r="X52">
        <v>123.6</v>
      </c>
      <c r="Y52">
        <f t="shared" si="10"/>
        <v>123.40000000000002</v>
      </c>
      <c r="Z52">
        <v>142.4</v>
      </c>
      <c r="AA52">
        <f t="shared" si="11"/>
        <v>141.96666666666667</v>
      </c>
      <c r="AB52">
        <v>132.6</v>
      </c>
      <c r="AC52">
        <f t="shared" si="12"/>
        <v>132.23333333333335</v>
      </c>
      <c r="AD52">
        <v>147.5</v>
      </c>
      <c r="AE52">
        <f t="shared" si="13"/>
        <v>146.46666666666667</v>
      </c>
      <c r="AF52">
        <v>130.80000000000001</v>
      </c>
      <c r="AG52">
        <f t="shared" si="14"/>
        <v>130.5</v>
      </c>
      <c r="AH52">
        <v>122.8</v>
      </c>
      <c r="AI52">
        <f t="shared" si="15"/>
        <v>122.53333333333335</v>
      </c>
      <c r="AJ52">
        <v>129.6</v>
      </c>
      <c r="AK52">
        <f t="shared" si="16"/>
        <v>129.29999999999998</v>
      </c>
      <c r="AL52">
        <v>131.1</v>
      </c>
      <c r="AM52">
        <f t="shared" si="17"/>
        <v>130.4</v>
      </c>
      <c r="AN52">
        <v>120.8</v>
      </c>
      <c r="AO52">
        <f t="shared" si="18"/>
        <v>119.33333333333333</v>
      </c>
      <c r="AP52">
        <v>125.6</v>
      </c>
      <c r="AQ52">
        <f t="shared" si="19"/>
        <v>125.33333333333333</v>
      </c>
      <c r="AR52">
        <v>123.1</v>
      </c>
      <c r="AS52">
        <f t="shared" si="20"/>
        <v>122.86666666666667</v>
      </c>
      <c r="AT52">
        <v>115.6</v>
      </c>
      <c r="AU52">
        <f t="shared" si="21"/>
        <v>115.43333333333332</v>
      </c>
      <c r="AV52">
        <v>122.4</v>
      </c>
      <c r="AW52">
        <f t="shared" si="22"/>
        <v>122.2</v>
      </c>
      <c r="AX52">
        <v>132.80000000000001</v>
      </c>
      <c r="AY52">
        <f t="shared" si="23"/>
        <v>132.53333333333333</v>
      </c>
      <c r="AZ52">
        <v>121.7</v>
      </c>
      <c r="BA52">
        <f t="shared" si="24"/>
        <v>121.43333333333334</v>
      </c>
      <c r="BB52">
        <v>122.6</v>
      </c>
      <c r="BC52">
        <f t="shared" si="25"/>
        <v>122.36666666666667</v>
      </c>
      <c r="BD52">
        <v>128.69999999999999</v>
      </c>
      <c r="BE52">
        <f t="shared" si="26"/>
        <v>128.23333333333332</v>
      </c>
    </row>
    <row r="53" spans="1:57" hidden="1">
      <c r="A53" t="s">
        <v>33</v>
      </c>
      <c r="B53">
        <v>2017</v>
      </c>
      <c r="C53" t="s">
        <v>37</v>
      </c>
      <c r="D53">
        <v>132.69999999999999</v>
      </c>
      <c r="E53">
        <f t="shared" si="0"/>
        <v>132.73333333333332</v>
      </c>
      <c r="F53">
        <v>140.6</v>
      </c>
      <c r="G53">
        <f t="shared" si="1"/>
        <v>139.93333333333337</v>
      </c>
      <c r="H53">
        <v>124.5</v>
      </c>
      <c r="I53">
        <f t="shared" si="2"/>
        <v>127.40000000000002</v>
      </c>
      <c r="J53">
        <v>136.30000000000001</v>
      </c>
      <c r="K53">
        <f t="shared" si="3"/>
        <v>134.9</v>
      </c>
      <c r="L53">
        <v>113.5</v>
      </c>
      <c r="M53">
        <f t="shared" si="4"/>
        <v>113.93333333333334</v>
      </c>
      <c r="N53">
        <v>137.69999999999999</v>
      </c>
      <c r="O53">
        <f t="shared" si="5"/>
        <v>135.30000000000001</v>
      </c>
      <c r="P53">
        <v>127.1</v>
      </c>
      <c r="Q53">
        <f t="shared" si="6"/>
        <v>123.16666666666667</v>
      </c>
      <c r="R53">
        <v>133.80000000000001</v>
      </c>
      <c r="S53">
        <f t="shared" si="7"/>
        <v>137.56666666666666</v>
      </c>
      <c r="T53">
        <v>120.8</v>
      </c>
      <c r="U53">
        <f t="shared" si="8"/>
        <v>120.2</v>
      </c>
      <c r="V53">
        <v>141.30000000000001</v>
      </c>
      <c r="W53">
        <f t="shared" si="9"/>
        <v>142.63333333333335</v>
      </c>
      <c r="X53">
        <v>123.8</v>
      </c>
      <c r="Y53">
        <f t="shared" si="10"/>
        <v>123.60000000000001</v>
      </c>
      <c r="Z53">
        <v>142.6</v>
      </c>
      <c r="AA53">
        <f t="shared" si="11"/>
        <v>142.29999999999998</v>
      </c>
      <c r="AB53">
        <v>133.4</v>
      </c>
      <c r="AC53">
        <f t="shared" si="12"/>
        <v>132.70000000000002</v>
      </c>
      <c r="AD53">
        <v>148</v>
      </c>
      <c r="AE53">
        <f t="shared" si="13"/>
        <v>147.26666666666668</v>
      </c>
      <c r="AF53">
        <v>131.19999999999999</v>
      </c>
      <c r="AG53">
        <f t="shared" si="14"/>
        <v>130.83333333333334</v>
      </c>
      <c r="AH53">
        <v>123</v>
      </c>
      <c r="AI53">
        <f t="shared" si="15"/>
        <v>122.76666666666667</v>
      </c>
      <c r="AJ53">
        <v>130</v>
      </c>
      <c r="AK53">
        <f t="shared" si="16"/>
        <v>129.63333333333333</v>
      </c>
      <c r="AL53">
        <v>131.69999999999999</v>
      </c>
      <c r="AM53">
        <f t="shared" si="17"/>
        <v>131.1</v>
      </c>
      <c r="AN53">
        <v>121.4</v>
      </c>
      <c r="AO53">
        <f t="shared" si="18"/>
        <v>120.46666666666665</v>
      </c>
      <c r="AP53">
        <v>126</v>
      </c>
      <c r="AQ53">
        <f t="shared" si="19"/>
        <v>125.63333333333333</v>
      </c>
      <c r="AR53">
        <v>123.4</v>
      </c>
      <c r="AS53">
        <f t="shared" si="20"/>
        <v>123.13333333333333</v>
      </c>
      <c r="AT53">
        <v>114.3</v>
      </c>
      <c r="AU53">
        <f t="shared" si="21"/>
        <v>115.13333333333333</v>
      </c>
      <c r="AV53">
        <v>122.6</v>
      </c>
      <c r="AW53">
        <f t="shared" si="22"/>
        <v>122.40000000000002</v>
      </c>
      <c r="AX53">
        <v>133.6</v>
      </c>
      <c r="AY53">
        <f t="shared" si="23"/>
        <v>132.93333333333337</v>
      </c>
      <c r="AZ53">
        <v>122.2</v>
      </c>
      <c r="BA53">
        <f t="shared" si="24"/>
        <v>121.86666666666667</v>
      </c>
      <c r="BB53">
        <v>122.5</v>
      </c>
      <c r="BC53">
        <f t="shared" si="25"/>
        <v>122.5</v>
      </c>
      <c r="BD53">
        <v>129.1</v>
      </c>
      <c r="BE53">
        <f t="shared" si="26"/>
        <v>128.66666666666666</v>
      </c>
    </row>
    <row r="54" spans="1:57" hidden="1">
      <c r="A54" t="s">
        <v>33</v>
      </c>
      <c r="B54">
        <v>2017</v>
      </c>
      <c r="C54" t="s">
        <v>38</v>
      </c>
      <c r="D54">
        <v>132.6</v>
      </c>
      <c r="E54">
        <f t="shared" si="0"/>
        <v>132.66666666666666</v>
      </c>
      <c r="F54">
        <v>144.1</v>
      </c>
      <c r="G54">
        <f t="shared" si="1"/>
        <v>141.36666666666667</v>
      </c>
      <c r="H54">
        <v>125.6</v>
      </c>
      <c r="I54">
        <f t="shared" si="2"/>
        <v>126.16666666666667</v>
      </c>
      <c r="J54">
        <v>136.80000000000001</v>
      </c>
      <c r="K54">
        <f t="shared" si="3"/>
        <v>136.00000000000003</v>
      </c>
      <c r="L54">
        <v>113.4</v>
      </c>
      <c r="M54">
        <f t="shared" si="4"/>
        <v>113.63333333333333</v>
      </c>
      <c r="N54">
        <v>135.19999999999999</v>
      </c>
      <c r="O54">
        <f t="shared" si="5"/>
        <v>136.56666666666666</v>
      </c>
      <c r="P54">
        <v>129.19999999999999</v>
      </c>
      <c r="Q54">
        <f t="shared" si="6"/>
        <v>126.16666666666667</v>
      </c>
      <c r="R54">
        <v>131.5</v>
      </c>
      <c r="S54">
        <f t="shared" si="7"/>
        <v>133.70000000000002</v>
      </c>
      <c r="T54">
        <v>121</v>
      </c>
      <c r="U54">
        <f t="shared" si="8"/>
        <v>120.7</v>
      </c>
      <c r="V54">
        <v>139.9</v>
      </c>
      <c r="W54">
        <f t="shared" si="9"/>
        <v>141.26666666666665</v>
      </c>
      <c r="X54">
        <v>123.8</v>
      </c>
      <c r="Y54">
        <f t="shared" si="10"/>
        <v>123.73333333333333</v>
      </c>
      <c r="Z54">
        <v>142.9</v>
      </c>
      <c r="AA54">
        <f t="shared" si="11"/>
        <v>142.63333333333333</v>
      </c>
      <c r="AB54">
        <v>133.6</v>
      </c>
      <c r="AC54">
        <f t="shared" si="12"/>
        <v>133.20000000000002</v>
      </c>
      <c r="AD54">
        <v>148.30000000000001</v>
      </c>
      <c r="AE54">
        <f t="shared" si="13"/>
        <v>147.93333333333334</v>
      </c>
      <c r="AF54">
        <v>131.5</v>
      </c>
      <c r="AG54">
        <f t="shared" si="14"/>
        <v>131.16666666666666</v>
      </c>
      <c r="AH54">
        <v>123.2</v>
      </c>
      <c r="AI54">
        <f t="shared" si="15"/>
        <v>123</v>
      </c>
      <c r="AJ54">
        <v>130.19999999999999</v>
      </c>
      <c r="AK54">
        <f t="shared" si="16"/>
        <v>129.93333333333334</v>
      </c>
      <c r="AL54">
        <v>132.1</v>
      </c>
      <c r="AM54">
        <f t="shared" si="17"/>
        <v>131.63333333333333</v>
      </c>
      <c r="AN54">
        <v>120.1</v>
      </c>
      <c r="AO54">
        <f t="shared" si="18"/>
        <v>120.76666666666665</v>
      </c>
      <c r="AP54">
        <v>126.5</v>
      </c>
      <c r="AQ54">
        <f t="shared" si="19"/>
        <v>126.03333333333335</v>
      </c>
      <c r="AR54">
        <v>123.6</v>
      </c>
      <c r="AS54">
        <f t="shared" si="20"/>
        <v>123.36666666666667</v>
      </c>
      <c r="AT54">
        <v>114.3</v>
      </c>
      <c r="AU54">
        <f t="shared" si="21"/>
        <v>114.73333333333333</v>
      </c>
      <c r="AV54">
        <v>122.8</v>
      </c>
      <c r="AW54">
        <f t="shared" si="22"/>
        <v>122.60000000000001</v>
      </c>
      <c r="AX54">
        <v>133.80000000000001</v>
      </c>
      <c r="AY54">
        <f t="shared" si="23"/>
        <v>133.4</v>
      </c>
      <c r="AZ54">
        <v>122</v>
      </c>
      <c r="BA54">
        <f t="shared" si="24"/>
        <v>121.96666666666665</v>
      </c>
      <c r="BB54">
        <v>122.6</v>
      </c>
      <c r="BC54">
        <f t="shared" si="25"/>
        <v>122.56666666666666</v>
      </c>
      <c r="BD54">
        <v>129.30000000000001</v>
      </c>
      <c r="BE54">
        <f t="shared" si="26"/>
        <v>129.03333333333333</v>
      </c>
    </row>
    <row r="55" spans="1:57" hidden="1">
      <c r="A55" t="s">
        <v>33</v>
      </c>
      <c r="B55">
        <v>2017</v>
      </c>
      <c r="C55" t="s">
        <v>39</v>
      </c>
      <c r="D55">
        <v>132.9</v>
      </c>
      <c r="E55">
        <f t="shared" si="0"/>
        <v>132.73333333333332</v>
      </c>
      <c r="F55">
        <v>148.69999999999999</v>
      </c>
      <c r="G55">
        <f t="shared" si="1"/>
        <v>144.46666666666667</v>
      </c>
      <c r="H55">
        <v>128.30000000000001</v>
      </c>
      <c r="I55">
        <f t="shared" si="2"/>
        <v>126.13333333333333</v>
      </c>
      <c r="J55">
        <v>137.30000000000001</v>
      </c>
      <c r="K55">
        <f t="shared" si="3"/>
        <v>136.80000000000001</v>
      </c>
      <c r="L55">
        <v>113.5</v>
      </c>
      <c r="M55">
        <f t="shared" si="4"/>
        <v>113.46666666666665</v>
      </c>
      <c r="N55">
        <v>137.19999999999999</v>
      </c>
      <c r="O55">
        <f t="shared" si="5"/>
        <v>136.69999999999999</v>
      </c>
      <c r="P55">
        <v>142.19999999999999</v>
      </c>
      <c r="Q55">
        <f t="shared" si="6"/>
        <v>132.83333333333331</v>
      </c>
      <c r="R55">
        <v>128.19999999999999</v>
      </c>
      <c r="S55">
        <f t="shared" si="7"/>
        <v>131.16666666666666</v>
      </c>
      <c r="T55">
        <v>120.9</v>
      </c>
      <c r="U55">
        <f t="shared" si="8"/>
        <v>120.90000000000002</v>
      </c>
      <c r="V55">
        <v>138.80000000000001</v>
      </c>
      <c r="W55">
        <f t="shared" si="9"/>
        <v>140.00000000000003</v>
      </c>
      <c r="X55">
        <v>124.2</v>
      </c>
      <c r="Y55">
        <f t="shared" si="10"/>
        <v>123.93333333333334</v>
      </c>
      <c r="Z55">
        <v>143.1</v>
      </c>
      <c r="AA55">
        <f t="shared" si="11"/>
        <v>142.86666666666667</v>
      </c>
      <c r="AB55">
        <v>135.69999999999999</v>
      </c>
      <c r="AC55">
        <f t="shared" si="12"/>
        <v>134.23333333333332</v>
      </c>
      <c r="AD55">
        <v>148.6</v>
      </c>
      <c r="AE55">
        <f t="shared" si="13"/>
        <v>148.29999999999998</v>
      </c>
      <c r="AF55">
        <v>131.5</v>
      </c>
      <c r="AG55">
        <f t="shared" si="14"/>
        <v>131.4</v>
      </c>
      <c r="AH55">
        <v>123.2</v>
      </c>
      <c r="AI55">
        <f t="shared" si="15"/>
        <v>123.13333333333333</v>
      </c>
      <c r="AJ55">
        <v>130.19999999999999</v>
      </c>
      <c r="AK55">
        <f t="shared" si="16"/>
        <v>130.13333333333333</v>
      </c>
      <c r="AL55">
        <v>131.4</v>
      </c>
      <c r="AM55">
        <f t="shared" si="17"/>
        <v>131.73333333333332</v>
      </c>
      <c r="AN55">
        <v>119</v>
      </c>
      <c r="AO55">
        <f t="shared" si="18"/>
        <v>120.16666666666667</v>
      </c>
      <c r="AP55">
        <v>126.8</v>
      </c>
      <c r="AQ55">
        <f t="shared" si="19"/>
        <v>126.43333333333334</v>
      </c>
      <c r="AR55">
        <v>123.8</v>
      </c>
      <c r="AS55">
        <f t="shared" si="20"/>
        <v>123.60000000000001</v>
      </c>
      <c r="AT55">
        <v>113.9</v>
      </c>
      <c r="AU55">
        <f t="shared" si="21"/>
        <v>114.16666666666667</v>
      </c>
      <c r="AV55">
        <v>122.9</v>
      </c>
      <c r="AW55">
        <f t="shared" si="22"/>
        <v>122.76666666666665</v>
      </c>
      <c r="AX55">
        <v>134.30000000000001</v>
      </c>
      <c r="AY55">
        <f t="shared" si="23"/>
        <v>133.9</v>
      </c>
      <c r="AZ55">
        <v>122.5</v>
      </c>
      <c r="BA55">
        <f t="shared" si="24"/>
        <v>122.23333333333333</v>
      </c>
      <c r="BB55">
        <v>122.7</v>
      </c>
      <c r="BC55">
        <f t="shared" si="25"/>
        <v>122.60000000000001</v>
      </c>
      <c r="BD55">
        <v>129.9</v>
      </c>
      <c r="BE55">
        <f t="shared" si="26"/>
        <v>129.43333333333331</v>
      </c>
    </row>
    <row r="56" spans="1:57" hidden="1">
      <c r="A56" t="s">
        <v>33</v>
      </c>
      <c r="B56">
        <v>2017</v>
      </c>
      <c r="C56" t="s">
        <v>40</v>
      </c>
      <c r="D56">
        <v>132.80000000000001</v>
      </c>
      <c r="E56">
        <f t="shared" si="0"/>
        <v>132.76666666666668</v>
      </c>
      <c r="F56">
        <v>148.4</v>
      </c>
      <c r="G56">
        <f t="shared" si="1"/>
        <v>147.06666666666663</v>
      </c>
      <c r="H56">
        <v>129.4</v>
      </c>
      <c r="I56">
        <f t="shared" si="2"/>
        <v>127.76666666666667</v>
      </c>
      <c r="J56">
        <v>137.69999999999999</v>
      </c>
      <c r="K56">
        <f t="shared" si="3"/>
        <v>137.26666666666668</v>
      </c>
      <c r="L56">
        <v>113.4</v>
      </c>
      <c r="M56">
        <f t="shared" si="4"/>
        <v>113.43333333333334</v>
      </c>
      <c r="N56">
        <v>139.4</v>
      </c>
      <c r="O56">
        <f t="shared" si="5"/>
        <v>137.26666666666665</v>
      </c>
      <c r="P56">
        <v>175.1</v>
      </c>
      <c r="Q56">
        <f t="shared" si="6"/>
        <v>148.83333333333334</v>
      </c>
      <c r="R56">
        <v>124.7</v>
      </c>
      <c r="S56">
        <f t="shared" si="7"/>
        <v>128.13333333333333</v>
      </c>
      <c r="T56">
        <v>121.5</v>
      </c>
      <c r="U56">
        <f t="shared" si="8"/>
        <v>121.13333333333333</v>
      </c>
      <c r="V56">
        <v>137.80000000000001</v>
      </c>
      <c r="W56">
        <f t="shared" si="9"/>
        <v>138.83333333333334</v>
      </c>
      <c r="X56">
        <v>124.4</v>
      </c>
      <c r="Y56">
        <f t="shared" si="10"/>
        <v>124.13333333333333</v>
      </c>
      <c r="Z56">
        <v>143.69999999999999</v>
      </c>
      <c r="AA56">
        <f t="shared" si="11"/>
        <v>143.23333333333332</v>
      </c>
      <c r="AB56">
        <v>139.80000000000001</v>
      </c>
      <c r="AC56">
        <f t="shared" si="12"/>
        <v>136.36666666666665</v>
      </c>
      <c r="AD56">
        <v>150.5</v>
      </c>
      <c r="AE56">
        <f t="shared" si="13"/>
        <v>149.13333333333333</v>
      </c>
      <c r="AF56">
        <v>131.6</v>
      </c>
      <c r="AG56">
        <f t="shared" si="14"/>
        <v>131.53333333333333</v>
      </c>
      <c r="AH56">
        <v>123.7</v>
      </c>
      <c r="AI56">
        <f t="shared" si="15"/>
        <v>123.36666666666667</v>
      </c>
      <c r="AJ56">
        <v>130.4</v>
      </c>
      <c r="AK56">
        <f t="shared" si="16"/>
        <v>130.26666666666665</v>
      </c>
      <c r="AL56">
        <v>132.6</v>
      </c>
      <c r="AM56">
        <f t="shared" si="17"/>
        <v>132.03333333333333</v>
      </c>
      <c r="AN56">
        <v>119.7</v>
      </c>
      <c r="AO56">
        <f t="shared" si="18"/>
        <v>119.60000000000001</v>
      </c>
      <c r="AP56">
        <v>127.2</v>
      </c>
      <c r="AQ56">
        <f t="shared" si="19"/>
        <v>126.83333333333333</v>
      </c>
      <c r="AR56">
        <v>125</v>
      </c>
      <c r="AS56">
        <f t="shared" si="20"/>
        <v>124.13333333333333</v>
      </c>
      <c r="AT56">
        <v>113.2</v>
      </c>
      <c r="AU56">
        <f t="shared" si="21"/>
        <v>113.8</v>
      </c>
      <c r="AV56">
        <v>123.5</v>
      </c>
      <c r="AW56">
        <f t="shared" si="22"/>
        <v>123.06666666666666</v>
      </c>
      <c r="AX56">
        <v>135.5</v>
      </c>
      <c r="AY56">
        <f t="shared" si="23"/>
        <v>134.53333333333333</v>
      </c>
      <c r="AZ56">
        <v>122.4</v>
      </c>
      <c r="BA56">
        <f t="shared" si="24"/>
        <v>122.3</v>
      </c>
      <c r="BB56">
        <v>123</v>
      </c>
      <c r="BC56">
        <f t="shared" si="25"/>
        <v>122.76666666666667</v>
      </c>
      <c r="BD56">
        <v>131.80000000000001</v>
      </c>
      <c r="BE56">
        <f t="shared" si="26"/>
        <v>130.33333333333334</v>
      </c>
    </row>
    <row r="57" spans="1:57" hidden="1">
      <c r="A57" t="s">
        <v>33</v>
      </c>
      <c r="B57">
        <v>2017</v>
      </c>
      <c r="C57" t="s">
        <v>41</v>
      </c>
      <c r="D57">
        <v>133.19999999999999</v>
      </c>
      <c r="E57">
        <f t="shared" si="0"/>
        <v>132.96666666666667</v>
      </c>
      <c r="F57">
        <v>143.9</v>
      </c>
      <c r="G57">
        <f t="shared" si="1"/>
        <v>147</v>
      </c>
      <c r="H57">
        <v>128.30000000000001</v>
      </c>
      <c r="I57">
        <f t="shared" si="2"/>
        <v>128.66666666666669</v>
      </c>
      <c r="J57">
        <v>138.30000000000001</v>
      </c>
      <c r="K57">
        <f t="shared" si="3"/>
        <v>137.76666666666668</v>
      </c>
      <c r="L57">
        <v>114.1</v>
      </c>
      <c r="M57">
        <f t="shared" si="4"/>
        <v>113.66666666666667</v>
      </c>
      <c r="N57">
        <v>142.69999999999999</v>
      </c>
      <c r="O57">
        <f t="shared" si="5"/>
        <v>139.76666666666668</v>
      </c>
      <c r="P57">
        <v>179.8</v>
      </c>
      <c r="Q57">
        <f t="shared" si="6"/>
        <v>165.7</v>
      </c>
      <c r="R57">
        <v>123.5</v>
      </c>
      <c r="S57">
        <f t="shared" si="7"/>
        <v>125.46666666666665</v>
      </c>
      <c r="T57">
        <v>122.1</v>
      </c>
      <c r="U57">
        <f t="shared" si="8"/>
        <v>121.5</v>
      </c>
      <c r="V57">
        <v>137.5</v>
      </c>
      <c r="W57">
        <f t="shared" si="9"/>
        <v>138.03333333333333</v>
      </c>
      <c r="X57">
        <v>124.6</v>
      </c>
      <c r="Y57">
        <f t="shared" si="10"/>
        <v>124.40000000000002</v>
      </c>
      <c r="Z57">
        <v>144.5</v>
      </c>
      <c r="AA57">
        <f t="shared" si="11"/>
        <v>143.76666666666665</v>
      </c>
      <c r="AB57">
        <v>140.5</v>
      </c>
      <c r="AC57">
        <f t="shared" si="12"/>
        <v>138.66666666666666</v>
      </c>
      <c r="AD57">
        <v>152.1</v>
      </c>
      <c r="AE57">
        <f t="shared" si="13"/>
        <v>150.4</v>
      </c>
      <c r="AF57">
        <v>132.69999999999999</v>
      </c>
      <c r="AG57">
        <f t="shared" si="14"/>
        <v>131.93333333333334</v>
      </c>
      <c r="AH57">
        <v>124.3</v>
      </c>
      <c r="AI57">
        <f t="shared" si="15"/>
        <v>123.73333333333333</v>
      </c>
      <c r="AJ57">
        <v>131.4</v>
      </c>
      <c r="AK57">
        <f t="shared" si="16"/>
        <v>130.66666666666666</v>
      </c>
      <c r="AL57">
        <v>134.4</v>
      </c>
      <c r="AM57">
        <f t="shared" si="17"/>
        <v>132.79999999999998</v>
      </c>
      <c r="AN57">
        <v>118.9</v>
      </c>
      <c r="AO57">
        <f t="shared" si="18"/>
        <v>119.2</v>
      </c>
      <c r="AP57">
        <v>127.7</v>
      </c>
      <c r="AQ57">
        <f t="shared" si="19"/>
        <v>127.23333333333333</v>
      </c>
      <c r="AR57">
        <v>125.7</v>
      </c>
      <c r="AS57">
        <f t="shared" si="20"/>
        <v>124.83333333333333</v>
      </c>
      <c r="AT57">
        <v>114.6</v>
      </c>
      <c r="AU57">
        <f t="shared" si="21"/>
        <v>113.90000000000002</v>
      </c>
      <c r="AV57">
        <v>124.1</v>
      </c>
      <c r="AW57">
        <f t="shared" si="22"/>
        <v>123.5</v>
      </c>
      <c r="AX57">
        <v>135.69999999999999</v>
      </c>
      <c r="AY57">
        <f t="shared" si="23"/>
        <v>135.16666666666666</v>
      </c>
      <c r="AZ57">
        <v>123.3</v>
      </c>
      <c r="BA57">
        <f t="shared" si="24"/>
        <v>122.73333333333333</v>
      </c>
      <c r="BB57">
        <v>123.8</v>
      </c>
      <c r="BC57">
        <f t="shared" si="25"/>
        <v>123.16666666666667</v>
      </c>
      <c r="BD57">
        <v>132.69999999999999</v>
      </c>
      <c r="BE57">
        <f t="shared" si="26"/>
        <v>131.46666666666667</v>
      </c>
    </row>
    <row r="58" spans="1:57" hidden="1">
      <c r="A58" t="s">
        <v>33</v>
      </c>
      <c r="B58">
        <v>2017</v>
      </c>
      <c r="C58" t="s">
        <v>42</v>
      </c>
      <c r="D58">
        <v>133.6</v>
      </c>
      <c r="E58">
        <f t="shared" si="0"/>
        <v>133.20000000000002</v>
      </c>
      <c r="F58">
        <v>143</v>
      </c>
      <c r="G58">
        <f t="shared" si="1"/>
        <v>145.1</v>
      </c>
      <c r="H58">
        <v>129.69999999999999</v>
      </c>
      <c r="I58">
        <f t="shared" si="2"/>
        <v>129.13333333333335</v>
      </c>
      <c r="J58">
        <v>138.69999999999999</v>
      </c>
      <c r="K58">
        <f t="shared" si="3"/>
        <v>138.23333333333332</v>
      </c>
      <c r="L58">
        <v>114.5</v>
      </c>
      <c r="M58">
        <f t="shared" si="4"/>
        <v>114</v>
      </c>
      <c r="N58">
        <v>137.5</v>
      </c>
      <c r="O58">
        <f t="shared" si="5"/>
        <v>139.86666666666667</v>
      </c>
      <c r="P58">
        <v>160.69999999999999</v>
      </c>
      <c r="Q58">
        <f t="shared" si="6"/>
        <v>171.86666666666665</v>
      </c>
      <c r="R58">
        <v>124.5</v>
      </c>
      <c r="S58">
        <f t="shared" si="7"/>
        <v>124.23333333333333</v>
      </c>
      <c r="T58">
        <v>122.4</v>
      </c>
      <c r="U58">
        <f t="shared" si="8"/>
        <v>122</v>
      </c>
      <c r="V58">
        <v>137.30000000000001</v>
      </c>
      <c r="W58">
        <f t="shared" si="9"/>
        <v>137.53333333333333</v>
      </c>
      <c r="X58">
        <v>124.8</v>
      </c>
      <c r="Y58">
        <f t="shared" si="10"/>
        <v>124.60000000000001</v>
      </c>
      <c r="Z58">
        <v>145</v>
      </c>
      <c r="AA58">
        <f t="shared" si="11"/>
        <v>144.4</v>
      </c>
      <c r="AB58">
        <v>138</v>
      </c>
      <c r="AC58">
        <f t="shared" si="12"/>
        <v>139.43333333333334</v>
      </c>
      <c r="AD58">
        <v>153.6</v>
      </c>
      <c r="AE58">
        <f t="shared" si="13"/>
        <v>152.06666666666669</v>
      </c>
      <c r="AF58">
        <v>133.30000000000001</v>
      </c>
      <c r="AG58">
        <f t="shared" si="14"/>
        <v>132.53333333333333</v>
      </c>
      <c r="AH58">
        <v>124.6</v>
      </c>
      <c r="AI58">
        <f t="shared" si="15"/>
        <v>124.2</v>
      </c>
      <c r="AJ58">
        <v>132</v>
      </c>
      <c r="AK58">
        <f t="shared" si="16"/>
        <v>131.26666666666668</v>
      </c>
      <c r="AL58">
        <v>135.69999999999999</v>
      </c>
      <c r="AM58">
        <f t="shared" si="17"/>
        <v>134.23333333333332</v>
      </c>
      <c r="AN58">
        <v>120.6</v>
      </c>
      <c r="AO58">
        <f t="shared" si="18"/>
        <v>119.73333333333335</v>
      </c>
      <c r="AP58">
        <v>128.1</v>
      </c>
      <c r="AQ58">
        <f t="shared" si="19"/>
        <v>127.66666666666667</v>
      </c>
      <c r="AR58">
        <v>126.1</v>
      </c>
      <c r="AS58">
        <f t="shared" si="20"/>
        <v>125.59999999999998</v>
      </c>
      <c r="AT58">
        <v>115.7</v>
      </c>
      <c r="AU58">
        <f t="shared" si="21"/>
        <v>114.5</v>
      </c>
      <c r="AV58">
        <v>124.5</v>
      </c>
      <c r="AW58">
        <f t="shared" si="22"/>
        <v>124.03333333333335</v>
      </c>
      <c r="AX58">
        <v>135.9</v>
      </c>
      <c r="AY58">
        <f t="shared" si="23"/>
        <v>135.70000000000002</v>
      </c>
      <c r="AZ58">
        <v>124.4</v>
      </c>
      <c r="BA58">
        <f t="shared" si="24"/>
        <v>123.36666666666667</v>
      </c>
      <c r="BB58">
        <v>124.5</v>
      </c>
      <c r="BC58">
        <f t="shared" si="25"/>
        <v>123.76666666666667</v>
      </c>
      <c r="BD58">
        <v>132.4</v>
      </c>
      <c r="BE58">
        <f t="shared" si="26"/>
        <v>132.29999999999998</v>
      </c>
    </row>
    <row r="59" spans="1:57" hidden="1">
      <c r="A59" t="s">
        <v>33</v>
      </c>
      <c r="B59">
        <v>2017</v>
      </c>
      <c r="C59" t="s">
        <v>43</v>
      </c>
      <c r="D59">
        <v>133.9</v>
      </c>
      <c r="E59">
        <f t="shared" si="0"/>
        <v>133.56666666666663</v>
      </c>
      <c r="F59">
        <v>142.80000000000001</v>
      </c>
      <c r="G59">
        <f t="shared" si="1"/>
        <v>143.23333333333332</v>
      </c>
      <c r="H59">
        <v>131.4</v>
      </c>
      <c r="I59">
        <f t="shared" si="2"/>
        <v>129.79999999999998</v>
      </c>
      <c r="J59">
        <v>139.1</v>
      </c>
      <c r="K59">
        <f t="shared" si="3"/>
        <v>138.70000000000002</v>
      </c>
      <c r="L59">
        <v>114.9</v>
      </c>
      <c r="M59">
        <f t="shared" si="4"/>
        <v>114.5</v>
      </c>
      <c r="N59">
        <v>135.6</v>
      </c>
      <c r="O59">
        <f t="shared" si="5"/>
        <v>138.6</v>
      </c>
      <c r="P59">
        <v>173.2</v>
      </c>
      <c r="Q59">
        <f t="shared" si="6"/>
        <v>171.23333333333335</v>
      </c>
      <c r="R59">
        <v>124.1</v>
      </c>
      <c r="S59">
        <f t="shared" si="7"/>
        <v>124.03333333333335</v>
      </c>
      <c r="T59">
        <v>122.6</v>
      </c>
      <c r="U59">
        <f t="shared" si="8"/>
        <v>122.36666666666667</v>
      </c>
      <c r="V59">
        <v>137.80000000000001</v>
      </c>
      <c r="W59">
        <f t="shared" si="9"/>
        <v>137.53333333333333</v>
      </c>
      <c r="X59">
        <v>125.1</v>
      </c>
      <c r="Y59">
        <f t="shared" si="10"/>
        <v>124.83333333333333</v>
      </c>
      <c r="Z59">
        <v>145.5</v>
      </c>
      <c r="AA59">
        <f t="shared" si="11"/>
        <v>145</v>
      </c>
      <c r="AB59">
        <v>139.69999999999999</v>
      </c>
      <c r="AC59">
        <f t="shared" si="12"/>
        <v>139.4</v>
      </c>
      <c r="AD59">
        <v>154.6</v>
      </c>
      <c r="AE59">
        <f t="shared" si="13"/>
        <v>153.43333333333331</v>
      </c>
      <c r="AF59">
        <v>134</v>
      </c>
      <c r="AG59">
        <f t="shared" si="14"/>
        <v>133.33333333333334</v>
      </c>
      <c r="AH59">
        <v>124.9</v>
      </c>
      <c r="AI59">
        <f t="shared" si="15"/>
        <v>124.59999999999998</v>
      </c>
      <c r="AJ59">
        <v>132.6</v>
      </c>
      <c r="AK59">
        <f t="shared" si="16"/>
        <v>132</v>
      </c>
      <c r="AL59">
        <v>137.30000000000001</v>
      </c>
      <c r="AM59">
        <f t="shared" si="17"/>
        <v>135.80000000000001</v>
      </c>
      <c r="AN59">
        <v>122.6</v>
      </c>
      <c r="AO59">
        <f t="shared" si="18"/>
        <v>120.7</v>
      </c>
      <c r="AP59">
        <v>128.30000000000001</v>
      </c>
      <c r="AQ59">
        <f t="shared" si="19"/>
        <v>128.03333333333333</v>
      </c>
      <c r="AR59">
        <v>126.6</v>
      </c>
      <c r="AS59">
        <f t="shared" si="20"/>
        <v>126.13333333333333</v>
      </c>
      <c r="AT59">
        <v>115</v>
      </c>
      <c r="AU59">
        <f t="shared" si="21"/>
        <v>115.10000000000001</v>
      </c>
      <c r="AV59">
        <v>124.8</v>
      </c>
      <c r="AW59">
        <f t="shared" si="22"/>
        <v>124.46666666666665</v>
      </c>
      <c r="AX59">
        <v>136.30000000000001</v>
      </c>
      <c r="AY59">
        <f t="shared" si="23"/>
        <v>135.96666666666667</v>
      </c>
      <c r="AZ59">
        <v>124.6</v>
      </c>
      <c r="BA59">
        <f t="shared" si="24"/>
        <v>124.09999999999998</v>
      </c>
      <c r="BB59">
        <v>124.5</v>
      </c>
      <c r="BC59">
        <f t="shared" si="25"/>
        <v>124.26666666666667</v>
      </c>
      <c r="BD59">
        <v>133.5</v>
      </c>
      <c r="BE59">
        <f t="shared" si="26"/>
        <v>132.86666666666667</v>
      </c>
    </row>
    <row r="60" spans="1:57" hidden="1">
      <c r="A60" t="s">
        <v>33</v>
      </c>
      <c r="B60">
        <v>2017</v>
      </c>
      <c r="C60" t="s">
        <v>45</v>
      </c>
      <c r="D60">
        <v>134.30000000000001</v>
      </c>
      <c r="E60">
        <f t="shared" si="0"/>
        <v>133.93333333333334</v>
      </c>
      <c r="F60">
        <v>142.1</v>
      </c>
      <c r="G60">
        <f t="shared" si="1"/>
        <v>142.63333333333333</v>
      </c>
      <c r="H60">
        <v>146.69999999999999</v>
      </c>
      <c r="I60">
        <f t="shared" si="2"/>
        <v>135.93333333333334</v>
      </c>
      <c r="J60">
        <v>139.5</v>
      </c>
      <c r="K60">
        <f t="shared" si="3"/>
        <v>139.1</v>
      </c>
      <c r="L60">
        <v>115.2</v>
      </c>
      <c r="M60">
        <f t="shared" si="4"/>
        <v>114.86666666666667</v>
      </c>
      <c r="N60">
        <v>136.4</v>
      </c>
      <c r="O60">
        <f t="shared" si="5"/>
        <v>136.5</v>
      </c>
      <c r="P60">
        <v>185.2</v>
      </c>
      <c r="Q60">
        <f t="shared" si="6"/>
        <v>173.0333333333333</v>
      </c>
      <c r="R60">
        <v>122.2</v>
      </c>
      <c r="S60">
        <f t="shared" si="7"/>
        <v>123.60000000000001</v>
      </c>
      <c r="T60">
        <v>123.9</v>
      </c>
      <c r="U60">
        <f t="shared" si="8"/>
        <v>122.96666666666665</v>
      </c>
      <c r="V60">
        <v>138.30000000000001</v>
      </c>
      <c r="W60">
        <f t="shared" si="9"/>
        <v>137.80000000000001</v>
      </c>
      <c r="X60">
        <v>125.4</v>
      </c>
      <c r="Y60">
        <f t="shared" si="10"/>
        <v>125.09999999999998</v>
      </c>
      <c r="Z60">
        <v>146</v>
      </c>
      <c r="AA60">
        <f t="shared" si="11"/>
        <v>145.5</v>
      </c>
      <c r="AB60">
        <v>141.5</v>
      </c>
      <c r="AC60">
        <f t="shared" si="12"/>
        <v>139.73333333333332</v>
      </c>
      <c r="AD60">
        <v>156.19999999999999</v>
      </c>
      <c r="AE60">
        <f t="shared" si="13"/>
        <v>154.79999999999998</v>
      </c>
      <c r="AF60">
        <v>135</v>
      </c>
      <c r="AG60">
        <f t="shared" si="14"/>
        <v>134.1</v>
      </c>
      <c r="AH60">
        <v>125.4</v>
      </c>
      <c r="AI60">
        <f t="shared" si="15"/>
        <v>124.96666666666665</v>
      </c>
      <c r="AJ60">
        <v>133.5</v>
      </c>
      <c r="AK60">
        <f t="shared" si="16"/>
        <v>132.70000000000002</v>
      </c>
      <c r="AL60">
        <v>138.6</v>
      </c>
      <c r="AM60">
        <f t="shared" si="17"/>
        <v>137.20000000000002</v>
      </c>
      <c r="AN60">
        <v>125.7</v>
      </c>
      <c r="AO60">
        <f t="shared" si="18"/>
        <v>122.96666666666665</v>
      </c>
      <c r="AP60">
        <v>128.80000000000001</v>
      </c>
      <c r="AQ60">
        <f t="shared" si="19"/>
        <v>128.4</v>
      </c>
      <c r="AR60">
        <v>127.4</v>
      </c>
      <c r="AS60">
        <f t="shared" si="20"/>
        <v>126.7</v>
      </c>
      <c r="AT60">
        <v>115.3</v>
      </c>
      <c r="AU60">
        <f t="shared" si="21"/>
        <v>115.33333333333333</v>
      </c>
      <c r="AV60">
        <v>125.1</v>
      </c>
      <c r="AW60">
        <f t="shared" si="22"/>
        <v>124.8</v>
      </c>
      <c r="AX60">
        <v>136.6</v>
      </c>
      <c r="AY60">
        <f t="shared" si="23"/>
        <v>136.26666666666668</v>
      </c>
      <c r="AZ60">
        <v>124.9</v>
      </c>
      <c r="BA60">
        <f t="shared" si="24"/>
        <v>124.63333333333333</v>
      </c>
      <c r="BB60">
        <v>124.9</v>
      </c>
      <c r="BC60">
        <f t="shared" si="25"/>
        <v>124.63333333333333</v>
      </c>
      <c r="BD60">
        <v>134.80000000000001</v>
      </c>
      <c r="BE60">
        <f t="shared" si="26"/>
        <v>133.56666666666666</v>
      </c>
    </row>
    <row r="61" spans="1:57" hidden="1">
      <c r="A61" t="s">
        <v>33</v>
      </c>
      <c r="B61">
        <v>2017</v>
      </c>
      <c r="C61" t="s">
        <v>46</v>
      </c>
      <c r="D61">
        <v>134.4</v>
      </c>
      <c r="E61">
        <f t="shared" si="0"/>
        <v>134.20000000000002</v>
      </c>
      <c r="F61">
        <v>142.6</v>
      </c>
      <c r="G61">
        <f t="shared" si="1"/>
        <v>142.5</v>
      </c>
      <c r="H61">
        <v>145.9</v>
      </c>
      <c r="I61">
        <f t="shared" si="2"/>
        <v>141.33333333333334</v>
      </c>
      <c r="J61">
        <v>139.5</v>
      </c>
      <c r="K61">
        <f t="shared" si="3"/>
        <v>139.36666666666667</v>
      </c>
      <c r="L61">
        <v>115.9</v>
      </c>
      <c r="M61">
        <f t="shared" si="4"/>
        <v>115.33333333333333</v>
      </c>
      <c r="N61">
        <v>135</v>
      </c>
      <c r="O61">
        <f t="shared" si="5"/>
        <v>135.66666666666666</v>
      </c>
      <c r="P61">
        <v>163.19999999999999</v>
      </c>
      <c r="Q61">
        <f t="shared" si="6"/>
        <v>173.86666666666665</v>
      </c>
      <c r="R61">
        <v>119.8</v>
      </c>
      <c r="S61">
        <f t="shared" si="7"/>
        <v>122.03333333333335</v>
      </c>
      <c r="T61">
        <v>120.7</v>
      </c>
      <c r="U61">
        <f t="shared" si="8"/>
        <v>122.39999999999999</v>
      </c>
      <c r="V61">
        <v>139.69999999999999</v>
      </c>
      <c r="W61">
        <f t="shared" si="9"/>
        <v>138.6</v>
      </c>
      <c r="X61">
        <v>125.7</v>
      </c>
      <c r="Y61">
        <f t="shared" si="10"/>
        <v>125.39999999999999</v>
      </c>
      <c r="Z61">
        <v>146.30000000000001</v>
      </c>
      <c r="AA61">
        <f t="shared" si="11"/>
        <v>145.93333333333334</v>
      </c>
      <c r="AB61">
        <v>138.80000000000001</v>
      </c>
      <c r="AC61">
        <f t="shared" si="12"/>
        <v>140</v>
      </c>
      <c r="AD61">
        <v>157</v>
      </c>
      <c r="AE61">
        <f t="shared" si="13"/>
        <v>155.93333333333331</v>
      </c>
      <c r="AF61">
        <v>135.6</v>
      </c>
      <c r="AG61">
        <f t="shared" si="14"/>
        <v>134.86666666666667</v>
      </c>
      <c r="AH61">
        <v>125.6</v>
      </c>
      <c r="AI61">
        <f t="shared" si="15"/>
        <v>125.3</v>
      </c>
      <c r="AJ61">
        <v>134</v>
      </c>
      <c r="AK61">
        <f t="shared" si="16"/>
        <v>133.36666666666667</v>
      </c>
      <c r="AL61">
        <v>139.1</v>
      </c>
      <c r="AM61">
        <f t="shared" si="17"/>
        <v>138.33333333333334</v>
      </c>
      <c r="AN61">
        <v>126.8</v>
      </c>
      <c r="AO61">
        <f t="shared" si="18"/>
        <v>125.03333333333335</v>
      </c>
      <c r="AP61">
        <v>129.30000000000001</v>
      </c>
      <c r="AQ61">
        <f t="shared" si="19"/>
        <v>128.80000000000001</v>
      </c>
      <c r="AR61">
        <v>128.19999999999999</v>
      </c>
      <c r="AS61">
        <f t="shared" si="20"/>
        <v>127.39999999999999</v>
      </c>
      <c r="AT61">
        <v>115.3</v>
      </c>
      <c r="AU61">
        <f t="shared" si="21"/>
        <v>115.2</v>
      </c>
      <c r="AV61">
        <v>125.6</v>
      </c>
      <c r="AW61">
        <f t="shared" si="22"/>
        <v>125.16666666666667</v>
      </c>
      <c r="AX61">
        <v>136.69999999999999</v>
      </c>
      <c r="AY61">
        <f t="shared" si="23"/>
        <v>136.53333333333333</v>
      </c>
      <c r="AZ61">
        <v>124.6</v>
      </c>
      <c r="BA61">
        <f t="shared" si="24"/>
        <v>124.7</v>
      </c>
      <c r="BB61">
        <v>125.1</v>
      </c>
      <c r="BC61">
        <f t="shared" si="25"/>
        <v>124.83333333333333</v>
      </c>
      <c r="BD61">
        <v>134.1</v>
      </c>
      <c r="BE61">
        <f t="shared" si="26"/>
        <v>134.13333333333333</v>
      </c>
    </row>
    <row r="62" spans="1:57" hidden="1">
      <c r="A62" t="s">
        <v>33</v>
      </c>
      <c r="B62">
        <v>2018</v>
      </c>
      <c r="C62" t="s">
        <v>31</v>
      </c>
      <c r="D62">
        <v>134.6</v>
      </c>
      <c r="E62">
        <f t="shared" si="0"/>
        <v>134.43333333333337</v>
      </c>
      <c r="F62">
        <v>143.69999999999999</v>
      </c>
      <c r="G62">
        <f t="shared" si="1"/>
        <v>142.79999999999998</v>
      </c>
      <c r="H62">
        <v>143.6</v>
      </c>
      <c r="I62">
        <f t="shared" si="2"/>
        <v>145.4</v>
      </c>
      <c r="J62">
        <v>139.6</v>
      </c>
      <c r="K62">
        <f t="shared" si="3"/>
        <v>139.53333333333333</v>
      </c>
      <c r="L62">
        <v>116.4</v>
      </c>
      <c r="M62">
        <f t="shared" si="4"/>
        <v>115.83333333333333</v>
      </c>
      <c r="N62">
        <v>133.80000000000001</v>
      </c>
      <c r="O62">
        <f t="shared" si="5"/>
        <v>135.06666666666666</v>
      </c>
      <c r="P62">
        <v>150.5</v>
      </c>
      <c r="Q62">
        <f t="shared" si="6"/>
        <v>166.29999999999998</v>
      </c>
      <c r="R62">
        <v>118.4</v>
      </c>
      <c r="S62">
        <f t="shared" si="7"/>
        <v>120.13333333333333</v>
      </c>
      <c r="T62">
        <v>117.3</v>
      </c>
      <c r="U62">
        <f t="shared" si="8"/>
        <v>120.63333333333334</v>
      </c>
      <c r="V62">
        <v>140.5</v>
      </c>
      <c r="W62">
        <f t="shared" si="9"/>
        <v>139.5</v>
      </c>
      <c r="X62">
        <v>125.9</v>
      </c>
      <c r="Y62">
        <f t="shared" si="10"/>
        <v>125.66666666666667</v>
      </c>
      <c r="Z62">
        <v>146.80000000000001</v>
      </c>
      <c r="AA62">
        <f t="shared" si="11"/>
        <v>146.36666666666667</v>
      </c>
      <c r="AB62">
        <v>137.19999999999999</v>
      </c>
      <c r="AC62">
        <f t="shared" si="12"/>
        <v>139.16666666666666</v>
      </c>
      <c r="AD62">
        <v>157.69999999999999</v>
      </c>
      <c r="AE62">
        <f t="shared" si="13"/>
        <v>156.96666666666667</v>
      </c>
      <c r="AF62">
        <v>136</v>
      </c>
      <c r="AG62">
        <f t="shared" si="14"/>
        <v>135.53333333333333</v>
      </c>
      <c r="AH62">
        <v>125.9</v>
      </c>
      <c r="AI62">
        <f t="shared" si="15"/>
        <v>125.63333333333333</v>
      </c>
      <c r="AJ62">
        <v>134.4</v>
      </c>
      <c r="AK62">
        <f t="shared" si="16"/>
        <v>133.96666666666667</v>
      </c>
      <c r="AL62">
        <v>140.4</v>
      </c>
      <c r="AM62">
        <f t="shared" si="17"/>
        <v>139.36666666666667</v>
      </c>
      <c r="AN62">
        <v>127.3</v>
      </c>
      <c r="AO62">
        <f t="shared" si="18"/>
        <v>126.60000000000001</v>
      </c>
      <c r="AP62">
        <v>129.5</v>
      </c>
      <c r="AQ62">
        <f t="shared" si="19"/>
        <v>129.20000000000002</v>
      </c>
      <c r="AR62">
        <v>129</v>
      </c>
      <c r="AS62">
        <f t="shared" si="20"/>
        <v>128.20000000000002</v>
      </c>
      <c r="AT62">
        <v>116.3</v>
      </c>
      <c r="AU62">
        <f t="shared" si="21"/>
        <v>115.63333333333333</v>
      </c>
      <c r="AV62">
        <v>126.2</v>
      </c>
      <c r="AW62">
        <f t="shared" si="22"/>
        <v>125.63333333333333</v>
      </c>
      <c r="AX62">
        <v>137.1</v>
      </c>
      <c r="AY62">
        <f t="shared" si="23"/>
        <v>136.79999999999998</v>
      </c>
      <c r="AZ62">
        <v>125.5</v>
      </c>
      <c r="BA62">
        <f t="shared" si="24"/>
        <v>125</v>
      </c>
      <c r="BB62">
        <v>125.8</v>
      </c>
      <c r="BC62">
        <f t="shared" si="25"/>
        <v>125.26666666666667</v>
      </c>
      <c r="BD62">
        <v>134.1</v>
      </c>
      <c r="BE62">
        <f t="shared" si="26"/>
        <v>134.33333333333334</v>
      </c>
    </row>
    <row r="63" spans="1:57" hidden="1">
      <c r="A63" t="s">
        <v>33</v>
      </c>
      <c r="B63">
        <v>2018</v>
      </c>
      <c r="C63" t="s">
        <v>35</v>
      </c>
      <c r="D63">
        <v>134.80000000000001</v>
      </c>
      <c r="E63">
        <f t="shared" si="0"/>
        <v>134.6</v>
      </c>
      <c r="F63">
        <v>143</v>
      </c>
      <c r="G63">
        <f t="shared" si="1"/>
        <v>143.1</v>
      </c>
      <c r="H63">
        <v>139.9</v>
      </c>
      <c r="I63">
        <f t="shared" si="2"/>
        <v>143.13333333333333</v>
      </c>
      <c r="J63">
        <v>139.9</v>
      </c>
      <c r="K63">
        <f t="shared" si="3"/>
        <v>139.66666666666666</v>
      </c>
      <c r="L63">
        <v>116.2</v>
      </c>
      <c r="M63">
        <f t="shared" si="4"/>
        <v>116.16666666666667</v>
      </c>
      <c r="N63">
        <v>135.5</v>
      </c>
      <c r="O63">
        <f t="shared" si="5"/>
        <v>134.76666666666668</v>
      </c>
      <c r="P63">
        <v>136.9</v>
      </c>
      <c r="Q63">
        <f t="shared" si="6"/>
        <v>150.20000000000002</v>
      </c>
      <c r="R63">
        <v>117</v>
      </c>
      <c r="S63">
        <f t="shared" si="7"/>
        <v>118.39999999999999</v>
      </c>
      <c r="T63">
        <v>115.4</v>
      </c>
      <c r="U63">
        <f t="shared" si="8"/>
        <v>117.8</v>
      </c>
      <c r="V63">
        <v>140.69999999999999</v>
      </c>
      <c r="W63">
        <f t="shared" si="9"/>
        <v>140.29999999999998</v>
      </c>
      <c r="X63">
        <v>125.9</v>
      </c>
      <c r="Y63">
        <f t="shared" si="10"/>
        <v>125.83333333333333</v>
      </c>
      <c r="Z63">
        <v>147.1</v>
      </c>
      <c r="AA63">
        <f t="shared" si="11"/>
        <v>146.73333333333335</v>
      </c>
      <c r="AB63">
        <v>135.6</v>
      </c>
      <c r="AC63">
        <f t="shared" si="12"/>
        <v>137.20000000000002</v>
      </c>
      <c r="AD63">
        <v>159.30000000000001</v>
      </c>
      <c r="AE63">
        <f t="shared" si="13"/>
        <v>158</v>
      </c>
      <c r="AF63">
        <v>136.30000000000001</v>
      </c>
      <c r="AG63">
        <f t="shared" si="14"/>
        <v>135.96666666666667</v>
      </c>
      <c r="AH63">
        <v>126.1</v>
      </c>
      <c r="AI63">
        <f t="shared" si="15"/>
        <v>125.86666666666667</v>
      </c>
      <c r="AJ63">
        <v>134.69999999999999</v>
      </c>
      <c r="AK63">
        <f t="shared" si="16"/>
        <v>134.36666666666665</v>
      </c>
      <c r="AL63">
        <v>141.30000000000001</v>
      </c>
      <c r="AM63">
        <f t="shared" si="17"/>
        <v>140.26666666666668</v>
      </c>
      <c r="AN63">
        <v>127.3</v>
      </c>
      <c r="AO63">
        <f t="shared" si="18"/>
        <v>127.13333333333333</v>
      </c>
      <c r="AP63">
        <v>129.9</v>
      </c>
      <c r="AQ63">
        <f t="shared" si="19"/>
        <v>129.56666666666669</v>
      </c>
      <c r="AR63">
        <v>129.80000000000001</v>
      </c>
      <c r="AS63">
        <f t="shared" si="20"/>
        <v>129</v>
      </c>
      <c r="AT63">
        <v>117.4</v>
      </c>
      <c r="AU63">
        <f t="shared" si="21"/>
        <v>116.33333333333333</v>
      </c>
      <c r="AV63">
        <v>126.5</v>
      </c>
      <c r="AW63">
        <f t="shared" si="22"/>
        <v>126.10000000000001</v>
      </c>
      <c r="AX63">
        <v>137.19999999999999</v>
      </c>
      <c r="AY63">
        <f t="shared" si="23"/>
        <v>136.99999999999997</v>
      </c>
      <c r="AZ63">
        <v>126.2</v>
      </c>
      <c r="BA63">
        <f t="shared" si="24"/>
        <v>125.43333333333334</v>
      </c>
      <c r="BB63">
        <v>126.5</v>
      </c>
      <c r="BC63">
        <f t="shared" si="25"/>
        <v>125.8</v>
      </c>
      <c r="BD63">
        <v>134</v>
      </c>
      <c r="BE63">
        <f t="shared" si="26"/>
        <v>134.06666666666666</v>
      </c>
    </row>
    <row r="64" spans="1:57" hidden="1">
      <c r="A64" t="s">
        <v>33</v>
      </c>
      <c r="B64">
        <v>2018</v>
      </c>
      <c r="C64" t="s">
        <v>36</v>
      </c>
      <c r="D64">
        <v>135</v>
      </c>
      <c r="E64">
        <f t="shared" si="0"/>
        <v>134.79999999999998</v>
      </c>
      <c r="F64">
        <v>143.1</v>
      </c>
      <c r="G64">
        <f t="shared" si="1"/>
        <v>143.26666666666665</v>
      </c>
      <c r="H64">
        <v>135.5</v>
      </c>
      <c r="I64">
        <f t="shared" si="2"/>
        <v>139.66666666666666</v>
      </c>
      <c r="J64">
        <v>139.9</v>
      </c>
      <c r="K64">
        <f t="shared" si="3"/>
        <v>139.79999999999998</v>
      </c>
      <c r="L64">
        <v>116.5</v>
      </c>
      <c r="M64">
        <f t="shared" si="4"/>
        <v>116.36666666666667</v>
      </c>
      <c r="N64">
        <v>138.5</v>
      </c>
      <c r="O64">
        <f t="shared" si="5"/>
        <v>135.93333333333334</v>
      </c>
      <c r="P64">
        <v>128</v>
      </c>
      <c r="Q64">
        <f t="shared" si="6"/>
        <v>138.46666666666667</v>
      </c>
      <c r="R64">
        <v>115.5</v>
      </c>
      <c r="S64">
        <f t="shared" si="7"/>
        <v>116.96666666666665</v>
      </c>
      <c r="T64">
        <v>114.2</v>
      </c>
      <c r="U64">
        <f t="shared" si="8"/>
        <v>115.63333333333333</v>
      </c>
      <c r="V64">
        <v>140.69999999999999</v>
      </c>
      <c r="W64">
        <f t="shared" si="9"/>
        <v>140.63333333333333</v>
      </c>
      <c r="X64">
        <v>126.2</v>
      </c>
      <c r="Y64">
        <f t="shared" si="10"/>
        <v>126</v>
      </c>
      <c r="Z64">
        <v>147.6</v>
      </c>
      <c r="AA64">
        <f t="shared" si="11"/>
        <v>147.16666666666666</v>
      </c>
      <c r="AB64">
        <v>134.80000000000001</v>
      </c>
      <c r="AC64">
        <f t="shared" si="12"/>
        <v>135.86666666666665</v>
      </c>
      <c r="AD64">
        <v>159.69999999999999</v>
      </c>
      <c r="AE64">
        <f t="shared" si="13"/>
        <v>158.9</v>
      </c>
      <c r="AF64">
        <v>136.69999999999999</v>
      </c>
      <c r="AG64">
        <f t="shared" si="14"/>
        <v>136.33333333333334</v>
      </c>
      <c r="AH64">
        <v>126.7</v>
      </c>
      <c r="AI64">
        <f t="shared" si="15"/>
        <v>126.23333333333333</v>
      </c>
      <c r="AJ64">
        <v>135.19999999999999</v>
      </c>
      <c r="AK64">
        <f t="shared" si="16"/>
        <v>134.76666666666668</v>
      </c>
      <c r="AL64">
        <v>142</v>
      </c>
      <c r="AM64">
        <f t="shared" si="17"/>
        <v>141.23333333333335</v>
      </c>
      <c r="AN64">
        <v>126.4</v>
      </c>
      <c r="AO64">
        <f t="shared" si="18"/>
        <v>127</v>
      </c>
      <c r="AP64">
        <v>130.80000000000001</v>
      </c>
      <c r="AQ64">
        <f t="shared" si="19"/>
        <v>130.06666666666666</v>
      </c>
      <c r="AR64">
        <v>130.5</v>
      </c>
      <c r="AS64">
        <f t="shared" si="20"/>
        <v>129.76666666666668</v>
      </c>
      <c r="AT64">
        <v>117.8</v>
      </c>
      <c r="AU64">
        <f t="shared" si="21"/>
        <v>117.16666666666667</v>
      </c>
      <c r="AV64">
        <v>126.8</v>
      </c>
      <c r="AW64">
        <f t="shared" si="22"/>
        <v>126.5</v>
      </c>
      <c r="AX64">
        <v>137.80000000000001</v>
      </c>
      <c r="AY64">
        <f t="shared" si="23"/>
        <v>137.36666666666665</v>
      </c>
      <c r="AZ64">
        <v>126.7</v>
      </c>
      <c r="BA64">
        <f t="shared" si="24"/>
        <v>126.13333333333333</v>
      </c>
      <c r="BB64">
        <v>127.1</v>
      </c>
      <c r="BC64">
        <f t="shared" si="25"/>
        <v>126.46666666666665</v>
      </c>
      <c r="BD64">
        <v>134</v>
      </c>
      <c r="BE64">
        <f t="shared" si="26"/>
        <v>134.03333333333333</v>
      </c>
    </row>
    <row r="65" spans="1:57" hidden="1">
      <c r="A65" t="s">
        <v>33</v>
      </c>
      <c r="B65">
        <v>2018</v>
      </c>
      <c r="C65" t="s">
        <v>37</v>
      </c>
      <c r="D65">
        <v>135</v>
      </c>
      <c r="E65">
        <f t="shared" si="0"/>
        <v>134.93333333333334</v>
      </c>
      <c r="F65">
        <v>144.30000000000001</v>
      </c>
      <c r="G65">
        <f t="shared" si="1"/>
        <v>143.46666666666667</v>
      </c>
      <c r="H65">
        <v>130.80000000000001</v>
      </c>
      <c r="I65">
        <f t="shared" si="2"/>
        <v>135.4</v>
      </c>
      <c r="J65">
        <v>140.30000000000001</v>
      </c>
      <c r="K65">
        <f t="shared" si="3"/>
        <v>140.03333333333333</v>
      </c>
      <c r="L65">
        <v>116.6</v>
      </c>
      <c r="M65">
        <f t="shared" si="4"/>
        <v>116.43333333333332</v>
      </c>
      <c r="N65">
        <v>150.1</v>
      </c>
      <c r="O65">
        <f t="shared" si="5"/>
        <v>141.36666666666667</v>
      </c>
      <c r="P65">
        <v>127.6</v>
      </c>
      <c r="Q65">
        <f t="shared" si="6"/>
        <v>130.83333333333334</v>
      </c>
      <c r="R65">
        <v>114</v>
      </c>
      <c r="S65">
        <f t="shared" si="7"/>
        <v>115.5</v>
      </c>
      <c r="T65">
        <v>110.6</v>
      </c>
      <c r="U65">
        <f t="shared" si="8"/>
        <v>113.40000000000002</v>
      </c>
      <c r="V65">
        <v>140.19999999999999</v>
      </c>
      <c r="W65">
        <f t="shared" si="9"/>
        <v>140.53333333333333</v>
      </c>
      <c r="X65">
        <v>126.5</v>
      </c>
      <c r="Y65">
        <f t="shared" si="10"/>
        <v>126.2</v>
      </c>
      <c r="Z65">
        <v>148.30000000000001</v>
      </c>
      <c r="AA65">
        <f t="shared" si="11"/>
        <v>147.66666666666666</v>
      </c>
      <c r="AB65">
        <v>135.69999999999999</v>
      </c>
      <c r="AC65">
        <f t="shared" si="12"/>
        <v>135.36666666666665</v>
      </c>
      <c r="AD65">
        <v>159.19999999999999</v>
      </c>
      <c r="AE65">
        <f t="shared" si="13"/>
        <v>159.4</v>
      </c>
      <c r="AF65">
        <v>137.80000000000001</v>
      </c>
      <c r="AG65">
        <f t="shared" si="14"/>
        <v>136.93333333333334</v>
      </c>
      <c r="AH65">
        <v>127.4</v>
      </c>
      <c r="AI65">
        <f t="shared" si="15"/>
        <v>126.73333333333335</v>
      </c>
      <c r="AJ65">
        <v>136.19999999999999</v>
      </c>
      <c r="AK65">
        <f t="shared" si="16"/>
        <v>135.36666666666665</v>
      </c>
      <c r="AL65">
        <v>142.9</v>
      </c>
      <c r="AM65">
        <f t="shared" si="17"/>
        <v>142.06666666666669</v>
      </c>
      <c r="AN65">
        <v>124.6</v>
      </c>
      <c r="AO65">
        <f t="shared" si="18"/>
        <v>126.09999999999998</v>
      </c>
      <c r="AP65">
        <v>131.80000000000001</v>
      </c>
      <c r="AQ65">
        <f t="shared" si="19"/>
        <v>130.83333333333334</v>
      </c>
      <c r="AR65">
        <v>131.30000000000001</v>
      </c>
      <c r="AS65">
        <f t="shared" si="20"/>
        <v>130.53333333333333</v>
      </c>
      <c r="AT65">
        <v>118.9</v>
      </c>
      <c r="AU65">
        <f t="shared" si="21"/>
        <v>118.03333333333335</v>
      </c>
      <c r="AV65">
        <v>127.6</v>
      </c>
      <c r="AW65">
        <f t="shared" si="22"/>
        <v>126.96666666666665</v>
      </c>
      <c r="AX65">
        <v>139.69999999999999</v>
      </c>
      <c r="AY65">
        <f t="shared" si="23"/>
        <v>138.23333333333332</v>
      </c>
      <c r="AZ65">
        <v>127.6</v>
      </c>
      <c r="BA65">
        <f t="shared" si="24"/>
        <v>126.83333333333333</v>
      </c>
      <c r="BB65">
        <v>128.19999999999999</v>
      </c>
      <c r="BC65">
        <f t="shared" si="25"/>
        <v>127.26666666666665</v>
      </c>
      <c r="BD65">
        <v>134.80000000000001</v>
      </c>
      <c r="BE65">
        <f t="shared" si="26"/>
        <v>134.26666666666668</v>
      </c>
    </row>
    <row r="66" spans="1:57" hidden="1">
      <c r="A66" t="s">
        <v>33</v>
      </c>
      <c r="B66">
        <v>2018</v>
      </c>
      <c r="C66" t="s">
        <v>38</v>
      </c>
      <c r="D66">
        <v>135</v>
      </c>
      <c r="E66">
        <f t="shared" si="0"/>
        <v>135</v>
      </c>
      <c r="F66">
        <v>148.19999999999999</v>
      </c>
      <c r="G66">
        <f t="shared" si="1"/>
        <v>145.19999999999999</v>
      </c>
      <c r="H66">
        <v>130.5</v>
      </c>
      <c r="I66">
        <f t="shared" si="2"/>
        <v>132.26666666666668</v>
      </c>
      <c r="J66">
        <v>140.69999999999999</v>
      </c>
      <c r="K66">
        <f t="shared" si="3"/>
        <v>140.30000000000001</v>
      </c>
      <c r="L66">
        <v>116.4</v>
      </c>
      <c r="M66">
        <f t="shared" si="4"/>
        <v>116.5</v>
      </c>
      <c r="N66">
        <v>151.30000000000001</v>
      </c>
      <c r="O66">
        <f t="shared" si="5"/>
        <v>146.63333333333335</v>
      </c>
      <c r="P66">
        <v>131.4</v>
      </c>
      <c r="Q66">
        <f t="shared" si="6"/>
        <v>129</v>
      </c>
      <c r="R66">
        <v>112.8</v>
      </c>
      <c r="S66">
        <f t="shared" si="7"/>
        <v>114.10000000000001</v>
      </c>
      <c r="T66">
        <v>105.3</v>
      </c>
      <c r="U66">
        <f t="shared" si="8"/>
        <v>110.03333333333335</v>
      </c>
      <c r="V66">
        <v>139.6</v>
      </c>
      <c r="W66">
        <f t="shared" si="9"/>
        <v>140.16666666666666</v>
      </c>
      <c r="X66">
        <v>126.6</v>
      </c>
      <c r="Y66">
        <f t="shared" si="10"/>
        <v>126.43333333333332</v>
      </c>
      <c r="Z66">
        <v>148.69999999999999</v>
      </c>
      <c r="AA66">
        <f t="shared" si="11"/>
        <v>148.19999999999999</v>
      </c>
      <c r="AB66">
        <v>136.4</v>
      </c>
      <c r="AC66">
        <f t="shared" si="12"/>
        <v>135.63333333333333</v>
      </c>
      <c r="AD66">
        <v>160.30000000000001</v>
      </c>
      <c r="AE66">
        <f t="shared" si="13"/>
        <v>159.73333333333332</v>
      </c>
      <c r="AF66">
        <v>138.6</v>
      </c>
      <c r="AG66">
        <f t="shared" si="14"/>
        <v>137.70000000000002</v>
      </c>
      <c r="AH66">
        <v>127.9</v>
      </c>
      <c r="AI66">
        <f t="shared" si="15"/>
        <v>127.33333333333333</v>
      </c>
      <c r="AJ66">
        <v>137</v>
      </c>
      <c r="AK66">
        <f t="shared" si="16"/>
        <v>136.13333333333333</v>
      </c>
      <c r="AL66">
        <v>143.19999999999999</v>
      </c>
      <c r="AM66">
        <f t="shared" si="17"/>
        <v>142.69999999999999</v>
      </c>
      <c r="AN66">
        <v>124.7</v>
      </c>
      <c r="AO66">
        <f t="shared" si="18"/>
        <v>125.23333333333333</v>
      </c>
      <c r="AP66">
        <v>132.5</v>
      </c>
      <c r="AQ66">
        <f t="shared" si="19"/>
        <v>131.70000000000002</v>
      </c>
      <c r="AR66">
        <v>132</v>
      </c>
      <c r="AS66">
        <f t="shared" si="20"/>
        <v>131.26666666666668</v>
      </c>
      <c r="AT66">
        <v>119.8</v>
      </c>
      <c r="AU66">
        <f t="shared" si="21"/>
        <v>118.83333333333333</v>
      </c>
      <c r="AV66">
        <v>128</v>
      </c>
      <c r="AW66">
        <f t="shared" si="22"/>
        <v>127.46666666666665</v>
      </c>
      <c r="AX66">
        <v>140.4</v>
      </c>
      <c r="AY66">
        <f t="shared" si="23"/>
        <v>139.29999999999998</v>
      </c>
      <c r="AZ66">
        <v>128.1</v>
      </c>
      <c r="BA66">
        <f t="shared" si="24"/>
        <v>127.46666666666665</v>
      </c>
      <c r="BB66">
        <v>128.9</v>
      </c>
      <c r="BC66">
        <f t="shared" si="25"/>
        <v>128.06666666666666</v>
      </c>
      <c r="BD66">
        <v>135.4</v>
      </c>
      <c r="BE66">
        <f t="shared" si="26"/>
        <v>134.73333333333335</v>
      </c>
    </row>
    <row r="67" spans="1:57" hidden="1">
      <c r="A67" t="s">
        <v>33</v>
      </c>
      <c r="B67">
        <v>2018</v>
      </c>
      <c r="C67" t="s">
        <v>39</v>
      </c>
      <c r="D67">
        <v>135.30000000000001</v>
      </c>
      <c r="E67">
        <f t="shared" si="0"/>
        <v>135.1</v>
      </c>
      <c r="F67">
        <v>149.69999999999999</v>
      </c>
      <c r="G67">
        <f t="shared" si="1"/>
        <v>147.4</v>
      </c>
      <c r="H67">
        <v>133.9</v>
      </c>
      <c r="I67">
        <f t="shared" si="2"/>
        <v>131.73333333333335</v>
      </c>
      <c r="J67">
        <v>140.80000000000001</v>
      </c>
      <c r="K67">
        <f t="shared" si="3"/>
        <v>140.6</v>
      </c>
      <c r="L67">
        <v>116.6</v>
      </c>
      <c r="M67">
        <f t="shared" si="4"/>
        <v>116.53333333333335</v>
      </c>
      <c r="N67">
        <v>152.19999999999999</v>
      </c>
      <c r="O67">
        <f t="shared" si="5"/>
        <v>151.19999999999999</v>
      </c>
      <c r="P67">
        <v>144</v>
      </c>
      <c r="Q67">
        <f t="shared" si="6"/>
        <v>134.33333333333334</v>
      </c>
      <c r="R67">
        <v>112.3</v>
      </c>
      <c r="S67">
        <f t="shared" si="7"/>
        <v>113.03333333333335</v>
      </c>
      <c r="T67">
        <v>108.4</v>
      </c>
      <c r="U67">
        <f t="shared" si="8"/>
        <v>108.09999999999998</v>
      </c>
      <c r="V67">
        <v>140</v>
      </c>
      <c r="W67">
        <f t="shared" si="9"/>
        <v>139.93333333333331</v>
      </c>
      <c r="X67">
        <v>126.7</v>
      </c>
      <c r="Y67">
        <f t="shared" si="10"/>
        <v>126.60000000000001</v>
      </c>
      <c r="Z67">
        <v>149</v>
      </c>
      <c r="AA67">
        <f t="shared" si="11"/>
        <v>148.66666666666666</v>
      </c>
      <c r="AB67">
        <v>138.4</v>
      </c>
      <c r="AC67">
        <f t="shared" si="12"/>
        <v>136.83333333333334</v>
      </c>
      <c r="AD67">
        <v>161</v>
      </c>
      <c r="AE67">
        <f t="shared" si="13"/>
        <v>160.16666666666666</v>
      </c>
      <c r="AF67">
        <v>138.9</v>
      </c>
      <c r="AG67">
        <f t="shared" si="14"/>
        <v>138.43333333333331</v>
      </c>
      <c r="AH67">
        <v>128.69999999999999</v>
      </c>
      <c r="AI67">
        <f t="shared" si="15"/>
        <v>128</v>
      </c>
      <c r="AJ67">
        <v>137.4</v>
      </c>
      <c r="AK67">
        <f t="shared" si="16"/>
        <v>136.86666666666667</v>
      </c>
      <c r="AL67">
        <v>142.5</v>
      </c>
      <c r="AM67">
        <f t="shared" si="17"/>
        <v>142.86666666666667</v>
      </c>
      <c r="AN67">
        <v>126.5</v>
      </c>
      <c r="AO67">
        <f t="shared" si="18"/>
        <v>125.26666666666667</v>
      </c>
      <c r="AP67">
        <v>133.1</v>
      </c>
      <c r="AQ67">
        <f t="shared" si="19"/>
        <v>132.46666666666667</v>
      </c>
      <c r="AR67">
        <v>132.6</v>
      </c>
      <c r="AS67">
        <f t="shared" si="20"/>
        <v>131.96666666666667</v>
      </c>
      <c r="AT67">
        <v>120.4</v>
      </c>
      <c r="AU67">
        <f t="shared" si="21"/>
        <v>119.7</v>
      </c>
      <c r="AV67">
        <v>128.5</v>
      </c>
      <c r="AW67">
        <f t="shared" si="22"/>
        <v>128.03333333333333</v>
      </c>
      <c r="AX67">
        <v>141.19999999999999</v>
      </c>
      <c r="AY67">
        <f t="shared" si="23"/>
        <v>140.43333333333334</v>
      </c>
      <c r="AZ67">
        <v>128.19999999999999</v>
      </c>
      <c r="BA67">
        <f t="shared" si="24"/>
        <v>127.96666666666665</v>
      </c>
      <c r="BB67">
        <v>129.5</v>
      </c>
      <c r="BC67">
        <f t="shared" si="25"/>
        <v>128.86666666666667</v>
      </c>
      <c r="BD67">
        <v>136.19999999999999</v>
      </c>
      <c r="BE67">
        <f t="shared" si="26"/>
        <v>135.46666666666667</v>
      </c>
    </row>
    <row r="68" spans="1:57" hidden="1">
      <c r="A68" t="s">
        <v>33</v>
      </c>
      <c r="B68">
        <v>2018</v>
      </c>
      <c r="C68" t="s">
        <v>40</v>
      </c>
      <c r="D68">
        <v>135.6</v>
      </c>
      <c r="E68">
        <f t="shared" si="0"/>
        <v>135.29999999999998</v>
      </c>
      <c r="F68">
        <v>148.6</v>
      </c>
      <c r="G68">
        <f t="shared" si="1"/>
        <v>148.83333333333334</v>
      </c>
      <c r="H68">
        <v>139.1</v>
      </c>
      <c r="I68">
        <f t="shared" si="2"/>
        <v>134.5</v>
      </c>
      <c r="J68">
        <v>141</v>
      </c>
      <c r="K68">
        <f t="shared" si="3"/>
        <v>140.83333333333334</v>
      </c>
      <c r="L68">
        <v>116.7</v>
      </c>
      <c r="M68">
        <f t="shared" si="4"/>
        <v>116.56666666666666</v>
      </c>
      <c r="N68">
        <v>149.69999999999999</v>
      </c>
      <c r="O68">
        <f t="shared" si="5"/>
        <v>151.06666666666666</v>
      </c>
      <c r="P68">
        <v>159.19999999999999</v>
      </c>
      <c r="Q68">
        <f t="shared" si="6"/>
        <v>144.86666666666665</v>
      </c>
      <c r="R68">
        <v>112.6</v>
      </c>
      <c r="S68">
        <f t="shared" si="7"/>
        <v>112.56666666666666</v>
      </c>
      <c r="T68">
        <v>111.8</v>
      </c>
      <c r="U68">
        <f t="shared" si="8"/>
        <v>108.5</v>
      </c>
      <c r="V68">
        <v>140.30000000000001</v>
      </c>
      <c r="W68">
        <f t="shared" si="9"/>
        <v>139.96666666666667</v>
      </c>
      <c r="X68">
        <v>126.8</v>
      </c>
      <c r="Y68">
        <f t="shared" si="10"/>
        <v>126.7</v>
      </c>
      <c r="Z68">
        <v>149.4</v>
      </c>
      <c r="AA68">
        <f t="shared" si="11"/>
        <v>149.03333333333333</v>
      </c>
      <c r="AB68">
        <v>140.30000000000001</v>
      </c>
      <c r="AC68">
        <f t="shared" si="12"/>
        <v>138.36666666666667</v>
      </c>
      <c r="AD68">
        <v>161.4</v>
      </c>
      <c r="AE68">
        <f t="shared" si="13"/>
        <v>160.9</v>
      </c>
      <c r="AF68">
        <v>139.6</v>
      </c>
      <c r="AG68">
        <f t="shared" si="14"/>
        <v>139.03333333333333</v>
      </c>
      <c r="AH68">
        <v>128.9</v>
      </c>
      <c r="AI68">
        <f t="shared" si="15"/>
        <v>128.5</v>
      </c>
      <c r="AJ68">
        <v>137.9</v>
      </c>
      <c r="AK68">
        <f t="shared" si="16"/>
        <v>137.43333333333331</v>
      </c>
      <c r="AL68">
        <v>143.6</v>
      </c>
      <c r="AM68">
        <f t="shared" si="17"/>
        <v>143.1</v>
      </c>
      <c r="AN68">
        <v>128.1</v>
      </c>
      <c r="AO68">
        <f t="shared" si="18"/>
        <v>126.43333333333332</v>
      </c>
      <c r="AP68">
        <v>133.6</v>
      </c>
      <c r="AQ68">
        <f t="shared" si="19"/>
        <v>133.06666666666669</v>
      </c>
      <c r="AR68">
        <v>133.6</v>
      </c>
      <c r="AS68">
        <f t="shared" si="20"/>
        <v>132.73333333333335</v>
      </c>
      <c r="AT68">
        <v>120.1</v>
      </c>
      <c r="AU68">
        <f t="shared" si="21"/>
        <v>120.09999999999998</v>
      </c>
      <c r="AV68">
        <v>129</v>
      </c>
      <c r="AW68">
        <f t="shared" si="22"/>
        <v>128.5</v>
      </c>
      <c r="AX68">
        <v>144</v>
      </c>
      <c r="AY68">
        <f t="shared" si="23"/>
        <v>141.86666666666667</v>
      </c>
      <c r="AZ68">
        <v>128.19999999999999</v>
      </c>
      <c r="BA68">
        <f t="shared" si="24"/>
        <v>128.16666666666666</v>
      </c>
      <c r="BB68">
        <v>130.19999999999999</v>
      </c>
      <c r="BC68">
        <f t="shared" si="25"/>
        <v>129.53333333333333</v>
      </c>
      <c r="BD68">
        <v>137.5</v>
      </c>
      <c r="BE68">
        <f t="shared" si="26"/>
        <v>136.36666666666667</v>
      </c>
    </row>
    <row r="69" spans="1:57" hidden="1">
      <c r="A69" t="s">
        <v>33</v>
      </c>
      <c r="B69">
        <v>2018</v>
      </c>
      <c r="C69" t="s">
        <v>41</v>
      </c>
      <c r="D69">
        <v>136.5</v>
      </c>
      <c r="E69">
        <f t="shared" ref="E69:E125" si="27">AVERAGE(D67:D69)</f>
        <v>135.79999999999998</v>
      </c>
      <c r="F69">
        <v>146.4</v>
      </c>
      <c r="G69">
        <f t="shared" ref="G69:G125" si="28">AVERAGE(F67:F69)</f>
        <v>148.23333333333332</v>
      </c>
      <c r="H69">
        <v>136.6</v>
      </c>
      <c r="I69">
        <f t="shared" ref="I69:I125" si="29">AVERAGE(H67:H69)</f>
        <v>136.53333333333333</v>
      </c>
      <c r="J69">
        <v>141.19999999999999</v>
      </c>
      <c r="K69">
        <f t="shared" ref="K69:K125" si="30">AVERAGE(J67:J69)</f>
        <v>141</v>
      </c>
      <c r="L69">
        <v>117.4</v>
      </c>
      <c r="M69">
        <f t="shared" ref="M69:M125" si="31">AVERAGE(L67:L69)</f>
        <v>116.90000000000002</v>
      </c>
      <c r="N69">
        <v>146.30000000000001</v>
      </c>
      <c r="O69">
        <f t="shared" ref="O69:O125" si="32">AVERAGE(N67:N69)</f>
        <v>149.4</v>
      </c>
      <c r="P69">
        <v>157.30000000000001</v>
      </c>
      <c r="Q69">
        <f t="shared" ref="Q69:Q125" si="33">AVERAGE(P67:P69)</f>
        <v>153.5</v>
      </c>
      <c r="R69">
        <v>113.6</v>
      </c>
      <c r="S69">
        <f t="shared" ref="S69:S125" si="34">AVERAGE(R67:R69)</f>
        <v>112.83333333333333</v>
      </c>
      <c r="T69">
        <v>113.3</v>
      </c>
      <c r="U69">
        <f t="shared" ref="U69:U125" si="35">AVERAGE(T67:T69)</f>
        <v>111.16666666666667</v>
      </c>
      <c r="V69">
        <v>141.1</v>
      </c>
      <c r="W69">
        <f t="shared" ref="W69:W125" si="36">AVERAGE(V67:V69)</f>
        <v>140.46666666666667</v>
      </c>
      <c r="X69">
        <v>127.4</v>
      </c>
      <c r="Y69">
        <f t="shared" ref="Y69:Y125" si="37">AVERAGE(X67:X69)</f>
        <v>126.96666666666665</v>
      </c>
      <c r="Z69">
        <v>150.4</v>
      </c>
      <c r="AA69">
        <f t="shared" ref="AA69:AA125" si="38">AVERAGE(Z67:Z69)</f>
        <v>149.6</v>
      </c>
      <c r="AB69">
        <v>140.1</v>
      </c>
      <c r="AC69">
        <f t="shared" ref="AC69:AC125" si="39">AVERAGE(AB67:AB69)</f>
        <v>139.60000000000002</v>
      </c>
      <c r="AD69">
        <v>162.1</v>
      </c>
      <c r="AE69">
        <f t="shared" ref="AE69:AE125" si="40">AVERAGE(AD67:AD69)</f>
        <v>161.5</v>
      </c>
      <c r="AF69">
        <v>140</v>
      </c>
      <c r="AG69">
        <f t="shared" ref="AG69:AG125" si="41">AVERAGE(AF67:AF69)</f>
        <v>139.5</v>
      </c>
      <c r="AH69">
        <v>129</v>
      </c>
      <c r="AI69">
        <f t="shared" ref="AI69:AI125" si="42">AVERAGE(AH67:AH69)</f>
        <v>128.86666666666667</v>
      </c>
      <c r="AJ69">
        <v>138.30000000000001</v>
      </c>
      <c r="AK69">
        <f t="shared" ref="AK69:AK125" si="43">AVERAGE(AJ67:AJ69)</f>
        <v>137.86666666666667</v>
      </c>
      <c r="AL69">
        <v>144.6</v>
      </c>
      <c r="AM69">
        <f t="shared" ref="AM69:AM125" si="44">AVERAGE(AL67:AL69)</f>
        <v>143.56666666666669</v>
      </c>
      <c r="AN69">
        <v>129.80000000000001</v>
      </c>
      <c r="AO69">
        <f t="shared" ref="AO69:AO125" si="45">AVERAGE(AN67:AN69)</f>
        <v>128.13333333333333</v>
      </c>
      <c r="AP69">
        <v>134.4</v>
      </c>
      <c r="AQ69">
        <f t="shared" ref="AQ69:AQ125" si="46">AVERAGE(AP67:AP69)</f>
        <v>133.70000000000002</v>
      </c>
      <c r="AR69">
        <v>134.9</v>
      </c>
      <c r="AS69">
        <f t="shared" ref="AS69:AS125" si="47">AVERAGE(AR67:AR69)</f>
        <v>133.70000000000002</v>
      </c>
      <c r="AT69">
        <v>120.7</v>
      </c>
      <c r="AU69">
        <f t="shared" ref="AU69:AU125" si="48">AVERAGE(AT67:AT69)</f>
        <v>120.39999999999999</v>
      </c>
      <c r="AV69">
        <v>129.80000000000001</v>
      </c>
      <c r="AW69">
        <f t="shared" ref="AW69:AW125" si="49">AVERAGE(AV67:AV69)</f>
        <v>129.1</v>
      </c>
      <c r="AX69">
        <v>145.30000000000001</v>
      </c>
      <c r="AY69">
        <f t="shared" ref="AY69:AY125" si="50">AVERAGE(AX67:AX69)</f>
        <v>143.5</v>
      </c>
      <c r="AZ69">
        <v>128.30000000000001</v>
      </c>
      <c r="BA69">
        <f t="shared" ref="BA69:BA125" si="51">AVERAGE(AZ67:AZ69)</f>
        <v>128.23333333333332</v>
      </c>
      <c r="BB69">
        <v>131</v>
      </c>
      <c r="BC69">
        <f t="shared" ref="BC69:BC125" si="52">AVERAGE(BB67:BB69)</f>
        <v>130.23333333333332</v>
      </c>
      <c r="BD69">
        <v>138</v>
      </c>
      <c r="BE69">
        <f t="shared" ref="BE69:BE125" si="53">AVERAGE(BD67:BD69)</f>
        <v>137.23333333333332</v>
      </c>
    </row>
    <row r="70" spans="1:57" hidden="1">
      <c r="A70" t="s">
        <v>33</v>
      </c>
      <c r="B70">
        <v>2018</v>
      </c>
      <c r="C70" t="s">
        <v>42</v>
      </c>
      <c r="D70">
        <v>137</v>
      </c>
      <c r="E70">
        <f t="shared" si="27"/>
        <v>136.36666666666667</v>
      </c>
      <c r="F70">
        <v>143.1</v>
      </c>
      <c r="G70">
        <f t="shared" si="28"/>
        <v>146.03333333333333</v>
      </c>
      <c r="H70">
        <v>132.80000000000001</v>
      </c>
      <c r="I70">
        <f t="shared" si="29"/>
        <v>136.16666666666666</v>
      </c>
      <c r="J70">
        <v>141.5</v>
      </c>
      <c r="K70">
        <f t="shared" si="30"/>
        <v>141.23333333333332</v>
      </c>
      <c r="L70">
        <v>117.8</v>
      </c>
      <c r="M70">
        <f t="shared" si="31"/>
        <v>117.30000000000001</v>
      </c>
      <c r="N70">
        <v>140</v>
      </c>
      <c r="O70">
        <f t="shared" si="32"/>
        <v>145.33333333333334</v>
      </c>
      <c r="P70">
        <v>151.30000000000001</v>
      </c>
      <c r="Q70">
        <f t="shared" si="33"/>
        <v>155.93333333333334</v>
      </c>
      <c r="R70">
        <v>113.5</v>
      </c>
      <c r="S70">
        <f t="shared" si="34"/>
        <v>113.23333333333333</v>
      </c>
      <c r="T70">
        <v>112.3</v>
      </c>
      <c r="U70">
        <f t="shared" si="35"/>
        <v>112.46666666666665</v>
      </c>
      <c r="V70">
        <v>141.19999999999999</v>
      </c>
      <c r="W70">
        <f t="shared" si="36"/>
        <v>140.86666666666665</v>
      </c>
      <c r="X70">
        <v>127.7</v>
      </c>
      <c r="Y70">
        <f t="shared" si="37"/>
        <v>127.3</v>
      </c>
      <c r="Z70">
        <v>151.30000000000001</v>
      </c>
      <c r="AA70">
        <f t="shared" si="38"/>
        <v>150.36666666666667</v>
      </c>
      <c r="AB70">
        <v>138.9</v>
      </c>
      <c r="AC70">
        <f t="shared" si="39"/>
        <v>139.76666666666665</v>
      </c>
      <c r="AD70">
        <v>163.30000000000001</v>
      </c>
      <c r="AE70">
        <f t="shared" si="40"/>
        <v>162.26666666666668</v>
      </c>
      <c r="AF70">
        <v>140.80000000000001</v>
      </c>
      <c r="AG70">
        <f t="shared" si="41"/>
        <v>140.13333333333335</v>
      </c>
      <c r="AH70">
        <v>129.30000000000001</v>
      </c>
      <c r="AI70">
        <f t="shared" si="42"/>
        <v>129.06666666666666</v>
      </c>
      <c r="AJ70">
        <v>139.1</v>
      </c>
      <c r="AK70">
        <f t="shared" si="43"/>
        <v>138.43333333333337</v>
      </c>
      <c r="AL70">
        <v>145.30000000000001</v>
      </c>
      <c r="AM70">
        <f t="shared" si="44"/>
        <v>144.5</v>
      </c>
      <c r="AN70">
        <v>131.19999999999999</v>
      </c>
      <c r="AO70">
        <f t="shared" si="45"/>
        <v>129.69999999999999</v>
      </c>
      <c r="AP70">
        <v>134.9</v>
      </c>
      <c r="AQ70">
        <f t="shared" si="46"/>
        <v>134.29999999999998</v>
      </c>
      <c r="AR70">
        <v>135.69999999999999</v>
      </c>
      <c r="AS70">
        <f t="shared" si="47"/>
        <v>134.73333333333332</v>
      </c>
      <c r="AT70">
        <v>122.5</v>
      </c>
      <c r="AU70">
        <f t="shared" si="48"/>
        <v>121.10000000000001</v>
      </c>
      <c r="AV70">
        <v>130.19999999999999</v>
      </c>
      <c r="AW70">
        <f t="shared" si="49"/>
        <v>129.66666666666666</v>
      </c>
      <c r="AX70">
        <v>145.19999999999999</v>
      </c>
      <c r="AY70">
        <f t="shared" si="50"/>
        <v>144.83333333333334</v>
      </c>
      <c r="AZ70">
        <v>129.30000000000001</v>
      </c>
      <c r="BA70">
        <f t="shared" si="51"/>
        <v>128.6</v>
      </c>
      <c r="BB70">
        <v>131.9</v>
      </c>
      <c r="BC70">
        <f t="shared" si="52"/>
        <v>131.03333333333333</v>
      </c>
      <c r="BD70">
        <v>138.1</v>
      </c>
      <c r="BE70">
        <f t="shared" si="53"/>
        <v>137.86666666666667</v>
      </c>
    </row>
    <row r="71" spans="1:57" hidden="1">
      <c r="A71" t="s">
        <v>33</v>
      </c>
      <c r="B71">
        <v>2018</v>
      </c>
      <c r="C71" t="s">
        <v>43</v>
      </c>
      <c r="D71">
        <v>137.6</v>
      </c>
      <c r="E71">
        <f t="shared" si="27"/>
        <v>137.03333333333333</v>
      </c>
      <c r="F71">
        <v>144.9</v>
      </c>
      <c r="G71">
        <f t="shared" si="28"/>
        <v>144.79999999999998</v>
      </c>
      <c r="H71">
        <v>133.5</v>
      </c>
      <c r="I71">
        <f t="shared" si="29"/>
        <v>134.29999999999998</v>
      </c>
      <c r="J71">
        <v>141.5</v>
      </c>
      <c r="K71">
        <f t="shared" si="30"/>
        <v>141.4</v>
      </c>
      <c r="L71">
        <v>118</v>
      </c>
      <c r="M71">
        <f t="shared" si="31"/>
        <v>117.73333333333333</v>
      </c>
      <c r="N71">
        <v>139.5</v>
      </c>
      <c r="O71">
        <f t="shared" si="32"/>
        <v>141.93333333333334</v>
      </c>
      <c r="P71">
        <v>153</v>
      </c>
      <c r="Q71">
        <f t="shared" si="33"/>
        <v>153.86666666666667</v>
      </c>
      <c r="R71">
        <v>113.2</v>
      </c>
      <c r="S71">
        <f t="shared" si="34"/>
        <v>113.43333333333334</v>
      </c>
      <c r="T71">
        <v>112.8</v>
      </c>
      <c r="U71">
        <f t="shared" si="35"/>
        <v>112.8</v>
      </c>
      <c r="V71">
        <v>141.1</v>
      </c>
      <c r="W71">
        <f t="shared" si="36"/>
        <v>141.13333333333333</v>
      </c>
      <c r="X71">
        <v>127.6</v>
      </c>
      <c r="Y71">
        <f t="shared" si="37"/>
        <v>127.56666666666668</v>
      </c>
      <c r="Z71">
        <v>152</v>
      </c>
      <c r="AA71">
        <f t="shared" si="38"/>
        <v>151.23333333333335</v>
      </c>
      <c r="AB71">
        <v>139.4</v>
      </c>
      <c r="AC71">
        <f t="shared" si="39"/>
        <v>139.46666666666667</v>
      </c>
      <c r="AD71">
        <v>164</v>
      </c>
      <c r="AE71">
        <f t="shared" si="40"/>
        <v>163.13333333333333</v>
      </c>
      <c r="AF71">
        <v>141.5</v>
      </c>
      <c r="AG71">
        <f t="shared" si="41"/>
        <v>140.76666666666668</v>
      </c>
      <c r="AH71">
        <v>129.80000000000001</v>
      </c>
      <c r="AI71">
        <f t="shared" si="42"/>
        <v>129.36666666666667</v>
      </c>
      <c r="AJ71">
        <v>139.69999999999999</v>
      </c>
      <c r="AK71">
        <f t="shared" si="43"/>
        <v>139.03333333333333</v>
      </c>
      <c r="AL71">
        <v>146.30000000000001</v>
      </c>
      <c r="AM71">
        <f t="shared" si="44"/>
        <v>145.4</v>
      </c>
      <c r="AN71">
        <v>133.4</v>
      </c>
      <c r="AO71">
        <f t="shared" si="45"/>
        <v>131.46666666666667</v>
      </c>
      <c r="AP71">
        <v>135.1</v>
      </c>
      <c r="AQ71">
        <f t="shared" si="46"/>
        <v>134.79999999999998</v>
      </c>
      <c r="AR71">
        <v>136.19999999999999</v>
      </c>
      <c r="AS71">
        <f t="shared" si="47"/>
        <v>135.6</v>
      </c>
      <c r="AT71">
        <v>123.3</v>
      </c>
      <c r="AU71">
        <f t="shared" si="48"/>
        <v>122.16666666666667</v>
      </c>
      <c r="AV71">
        <v>130.69999999999999</v>
      </c>
      <c r="AW71">
        <f t="shared" si="49"/>
        <v>130.23333333333332</v>
      </c>
      <c r="AX71">
        <v>145.5</v>
      </c>
      <c r="AY71">
        <f t="shared" si="50"/>
        <v>145.33333333333334</v>
      </c>
      <c r="AZ71">
        <v>130.4</v>
      </c>
      <c r="BA71">
        <f t="shared" si="51"/>
        <v>129.33333333333334</v>
      </c>
      <c r="BB71">
        <v>132.5</v>
      </c>
      <c r="BC71">
        <f t="shared" si="52"/>
        <v>131.79999999999998</v>
      </c>
      <c r="BD71">
        <v>138.9</v>
      </c>
      <c r="BE71">
        <f t="shared" si="53"/>
        <v>138.33333333333334</v>
      </c>
    </row>
    <row r="72" spans="1:57" hidden="1">
      <c r="A72" t="s">
        <v>33</v>
      </c>
      <c r="B72">
        <v>2018</v>
      </c>
      <c r="C72" t="s">
        <v>45</v>
      </c>
      <c r="D72">
        <v>138.1</v>
      </c>
      <c r="E72">
        <f t="shared" si="27"/>
        <v>137.56666666666669</v>
      </c>
      <c r="F72">
        <v>146.30000000000001</v>
      </c>
      <c r="G72">
        <f t="shared" si="28"/>
        <v>144.76666666666668</v>
      </c>
      <c r="H72">
        <v>137.80000000000001</v>
      </c>
      <c r="I72">
        <f t="shared" si="29"/>
        <v>134.70000000000002</v>
      </c>
      <c r="J72">
        <v>141.6</v>
      </c>
      <c r="K72">
        <f t="shared" si="30"/>
        <v>141.53333333333333</v>
      </c>
      <c r="L72">
        <v>118.1</v>
      </c>
      <c r="M72">
        <f t="shared" si="31"/>
        <v>117.96666666666665</v>
      </c>
      <c r="N72">
        <v>141.5</v>
      </c>
      <c r="O72">
        <f t="shared" si="32"/>
        <v>140.33333333333334</v>
      </c>
      <c r="P72">
        <v>145.19999999999999</v>
      </c>
      <c r="Q72">
        <f t="shared" si="33"/>
        <v>149.83333333333334</v>
      </c>
      <c r="R72">
        <v>115.3</v>
      </c>
      <c r="S72">
        <f t="shared" si="34"/>
        <v>114</v>
      </c>
      <c r="T72">
        <v>112.5</v>
      </c>
      <c r="U72">
        <f t="shared" si="35"/>
        <v>112.53333333333335</v>
      </c>
      <c r="V72">
        <v>141.4</v>
      </c>
      <c r="W72">
        <f t="shared" si="36"/>
        <v>141.23333333333332</v>
      </c>
      <c r="X72">
        <v>128</v>
      </c>
      <c r="Y72">
        <f t="shared" si="37"/>
        <v>127.76666666666667</v>
      </c>
      <c r="Z72">
        <v>152.6</v>
      </c>
      <c r="AA72">
        <f t="shared" si="38"/>
        <v>151.96666666666667</v>
      </c>
      <c r="AB72">
        <v>139.1</v>
      </c>
      <c r="AC72">
        <f t="shared" si="39"/>
        <v>139.13333333333333</v>
      </c>
      <c r="AD72">
        <v>164.4</v>
      </c>
      <c r="AE72">
        <f t="shared" si="40"/>
        <v>163.9</v>
      </c>
      <c r="AF72">
        <v>142.4</v>
      </c>
      <c r="AG72">
        <f t="shared" si="41"/>
        <v>141.56666666666669</v>
      </c>
      <c r="AH72">
        <v>130.19999999999999</v>
      </c>
      <c r="AI72">
        <f t="shared" si="42"/>
        <v>129.76666666666668</v>
      </c>
      <c r="AJ72">
        <v>140.5</v>
      </c>
      <c r="AK72">
        <f t="shared" si="43"/>
        <v>139.76666666666665</v>
      </c>
      <c r="AL72">
        <v>146.9</v>
      </c>
      <c r="AM72">
        <f t="shared" si="44"/>
        <v>146.16666666666666</v>
      </c>
      <c r="AN72">
        <v>136.69999999999999</v>
      </c>
      <c r="AO72">
        <f t="shared" si="45"/>
        <v>133.76666666666668</v>
      </c>
      <c r="AP72">
        <v>135.80000000000001</v>
      </c>
      <c r="AQ72">
        <f t="shared" si="46"/>
        <v>135.26666666666668</v>
      </c>
      <c r="AR72">
        <v>136.80000000000001</v>
      </c>
      <c r="AS72">
        <f t="shared" si="47"/>
        <v>136.23333333333332</v>
      </c>
      <c r="AT72">
        <v>121.2</v>
      </c>
      <c r="AU72">
        <f t="shared" si="48"/>
        <v>122.33333333333333</v>
      </c>
      <c r="AV72">
        <v>131.30000000000001</v>
      </c>
      <c r="AW72">
        <f t="shared" si="49"/>
        <v>130.73333333333332</v>
      </c>
      <c r="AX72">
        <v>146.1</v>
      </c>
      <c r="AY72">
        <f t="shared" si="50"/>
        <v>145.6</v>
      </c>
      <c r="AZ72">
        <v>130.5</v>
      </c>
      <c r="BA72">
        <f t="shared" si="51"/>
        <v>130.06666666666669</v>
      </c>
      <c r="BB72">
        <v>132.19999999999999</v>
      </c>
      <c r="BC72">
        <f t="shared" si="52"/>
        <v>132.19999999999999</v>
      </c>
      <c r="BD72">
        <v>139</v>
      </c>
      <c r="BE72">
        <f t="shared" si="53"/>
        <v>138.66666666666666</v>
      </c>
    </row>
    <row r="73" spans="1:57" hidden="1">
      <c r="A73" t="s">
        <v>33</v>
      </c>
      <c r="B73">
        <v>2018</v>
      </c>
      <c r="C73" t="s">
        <v>46</v>
      </c>
      <c r="D73">
        <v>138.5</v>
      </c>
      <c r="E73">
        <f t="shared" si="27"/>
        <v>138.06666666666666</v>
      </c>
      <c r="F73">
        <v>147.80000000000001</v>
      </c>
      <c r="G73">
        <f t="shared" si="28"/>
        <v>146.33333333333334</v>
      </c>
      <c r="H73">
        <v>141.1</v>
      </c>
      <c r="I73">
        <f t="shared" si="29"/>
        <v>137.46666666666667</v>
      </c>
      <c r="J73">
        <v>141.6</v>
      </c>
      <c r="K73">
        <f t="shared" si="30"/>
        <v>141.56666666666669</v>
      </c>
      <c r="L73">
        <v>118.1</v>
      </c>
      <c r="M73">
        <f t="shared" si="31"/>
        <v>118.06666666666666</v>
      </c>
      <c r="N73">
        <v>138.5</v>
      </c>
      <c r="O73">
        <f t="shared" si="32"/>
        <v>139.83333333333334</v>
      </c>
      <c r="P73">
        <v>132.4</v>
      </c>
      <c r="Q73">
        <f t="shared" si="33"/>
        <v>143.53333333333333</v>
      </c>
      <c r="R73">
        <v>117.5</v>
      </c>
      <c r="S73">
        <f t="shared" si="34"/>
        <v>115.33333333333333</v>
      </c>
      <c r="T73">
        <v>111</v>
      </c>
      <c r="U73">
        <f t="shared" si="35"/>
        <v>112.10000000000001</v>
      </c>
      <c r="V73">
        <v>141.5</v>
      </c>
      <c r="W73">
        <f t="shared" si="36"/>
        <v>141.33333333333334</v>
      </c>
      <c r="X73">
        <v>128.1</v>
      </c>
      <c r="Y73">
        <f t="shared" si="37"/>
        <v>127.89999999999999</v>
      </c>
      <c r="Z73">
        <v>152.9</v>
      </c>
      <c r="AA73">
        <f t="shared" si="38"/>
        <v>152.5</v>
      </c>
      <c r="AB73">
        <v>137.6</v>
      </c>
      <c r="AC73">
        <f t="shared" si="39"/>
        <v>138.70000000000002</v>
      </c>
      <c r="AD73">
        <v>164.6</v>
      </c>
      <c r="AE73">
        <f t="shared" si="40"/>
        <v>164.33333333333334</v>
      </c>
      <c r="AF73">
        <v>142.69999999999999</v>
      </c>
      <c r="AG73">
        <f t="shared" si="41"/>
        <v>142.19999999999999</v>
      </c>
      <c r="AH73">
        <v>130.30000000000001</v>
      </c>
      <c r="AI73">
        <f t="shared" si="42"/>
        <v>130.1</v>
      </c>
      <c r="AJ73">
        <v>140.80000000000001</v>
      </c>
      <c r="AK73">
        <f t="shared" si="43"/>
        <v>140.33333333333334</v>
      </c>
      <c r="AL73">
        <v>146.5</v>
      </c>
      <c r="AM73">
        <f t="shared" si="44"/>
        <v>146.56666666666669</v>
      </c>
      <c r="AN73">
        <v>132.4</v>
      </c>
      <c r="AO73">
        <f t="shared" si="45"/>
        <v>134.16666666666666</v>
      </c>
      <c r="AP73">
        <v>136.19999999999999</v>
      </c>
      <c r="AQ73">
        <f t="shared" si="46"/>
        <v>135.69999999999999</v>
      </c>
      <c r="AR73">
        <v>137.30000000000001</v>
      </c>
      <c r="AS73">
        <f t="shared" si="47"/>
        <v>136.76666666666668</v>
      </c>
      <c r="AT73">
        <v>118.8</v>
      </c>
      <c r="AU73">
        <f t="shared" si="48"/>
        <v>121.10000000000001</v>
      </c>
      <c r="AV73">
        <v>131.69999999999999</v>
      </c>
      <c r="AW73">
        <f t="shared" si="49"/>
        <v>131.23333333333332</v>
      </c>
      <c r="AX73">
        <v>146.5</v>
      </c>
      <c r="AY73">
        <f t="shared" si="50"/>
        <v>146.03333333333333</v>
      </c>
      <c r="AZ73">
        <v>130.80000000000001</v>
      </c>
      <c r="BA73">
        <f t="shared" si="51"/>
        <v>130.56666666666666</v>
      </c>
      <c r="BB73">
        <v>131.69999999999999</v>
      </c>
      <c r="BC73">
        <f t="shared" si="52"/>
        <v>132.13333333333333</v>
      </c>
      <c r="BD73">
        <v>138</v>
      </c>
      <c r="BE73">
        <f t="shared" si="53"/>
        <v>138.63333333333333</v>
      </c>
    </row>
    <row r="74" spans="1:57" hidden="1">
      <c r="A74" t="s">
        <v>33</v>
      </c>
      <c r="B74">
        <v>2019</v>
      </c>
      <c r="C74" t="s">
        <v>31</v>
      </c>
      <c r="D74">
        <v>138.30000000000001</v>
      </c>
      <c r="E74">
        <f t="shared" si="27"/>
        <v>138.30000000000001</v>
      </c>
      <c r="F74">
        <v>149.4</v>
      </c>
      <c r="G74">
        <f t="shared" si="28"/>
        <v>147.83333333333334</v>
      </c>
      <c r="H74">
        <v>143.5</v>
      </c>
      <c r="I74">
        <f t="shared" si="29"/>
        <v>140.79999999999998</v>
      </c>
      <c r="J74">
        <v>141.69999999999999</v>
      </c>
      <c r="K74">
        <f t="shared" si="30"/>
        <v>141.63333333333333</v>
      </c>
      <c r="L74">
        <v>118.1</v>
      </c>
      <c r="M74">
        <f t="shared" si="31"/>
        <v>118.09999999999998</v>
      </c>
      <c r="N74">
        <v>135.19999999999999</v>
      </c>
      <c r="O74">
        <f t="shared" si="32"/>
        <v>138.4</v>
      </c>
      <c r="P74">
        <v>130.5</v>
      </c>
      <c r="Q74">
        <f t="shared" si="33"/>
        <v>136.03333333333333</v>
      </c>
      <c r="R74">
        <v>118.2</v>
      </c>
      <c r="S74">
        <f t="shared" si="34"/>
        <v>117</v>
      </c>
      <c r="T74">
        <v>110.4</v>
      </c>
      <c r="U74">
        <f t="shared" si="35"/>
        <v>111.3</v>
      </c>
      <c r="V74">
        <v>140.4</v>
      </c>
      <c r="W74">
        <f t="shared" si="36"/>
        <v>141.1</v>
      </c>
      <c r="X74">
        <v>128.1</v>
      </c>
      <c r="Y74">
        <f t="shared" si="37"/>
        <v>128.06666666666669</v>
      </c>
      <c r="Z74">
        <v>153.19999999999999</v>
      </c>
      <c r="AA74">
        <f t="shared" si="38"/>
        <v>152.9</v>
      </c>
      <c r="AB74">
        <v>137.30000000000001</v>
      </c>
      <c r="AC74">
        <f t="shared" si="39"/>
        <v>138</v>
      </c>
      <c r="AD74">
        <v>164.7</v>
      </c>
      <c r="AE74">
        <f t="shared" si="40"/>
        <v>164.56666666666666</v>
      </c>
      <c r="AF74">
        <v>143</v>
      </c>
      <c r="AG74">
        <f t="shared" si="41"/>
        <v>142.70000000000002</v>
      </c>
      <c r="AH74">
        <v>130.4</v>
      </c>
      <c r="AI74">
        <f t="shared" si="42"/>
        <v>130.29999999999998</v>
      </c>
      <c r="AJ74">
        <v>141.1</v>
      </c>
      <c r="AK74">
        <f t="shared" si="43"/>
        <v>140.79999999999998</v>
      </c>
      <c r="AL74">
        <v>147.69999999999999</v>
      </c>
      <c r="AM74">
        <f t="shared" si="44"/>
        <v>147.03333333333333</v>
      </c>
      <c r="AN74">
        <v>128.6</v>
      </c>
      <c r="AO74">
        <f t="shared" si="45"/>
        <v>132.56666666666669</v>
      </c>
      <c r="AP74">
        <v>136.30000000000001</v>
      </c>
      <c r="AQ74">
        <f t="shared" si="46"/>
        <v>136.1</v>
      </c>
      <c r="AR74">
        <v>137.80000000000001</v>
      </c>
      <c r="AS74">
        <f t="shared" si="47"/>
        <v>137.30000000000001</v>
      </c>
      <c r="AT74">
        <v>118.6</v>
      </c>
      <c r="AU74">
        <f t="shared" si="48"/>
        <v>119.53333333333335</v>
      </c>
      <c r="AV74">
        <v>131.9</v>
      </c>
      <c r="AW74">
        <f t="shared" si="49"/>
        <v>131.63333333333333</v>
      </c>
      <c r="AX74">
        <v>146.6</v>
      </c>
      <c r="AY74">
        <f t="shared" si="50"/>
        <v>146.4</v>
      </c>
      <c r="AZ74">
        <v>131.69999999999999</v>
      </c>
      <c r="BA74">
        <f t="shared" si="51"/>
        <v>131</v>
      </c>
      <c r="BB74">
        <v>131.80000000000001</v>
      </c>
      <c r="BC74">
        <f t="shared" si="52"/>
        <v>131.9</v>
      </c>
      <c r="BD74">
        <v>138</v>
      </c>
      <c r="BE74">
        <f t="shared" si="53"/>
        <v>138.33333333333334</v>
      </c>
    </row>
    <row r="75" spans="1:57" hidden="1">
      <c r="A75" t="s">
        <v>33</v>
      </c>
      <c r="B75">
        <v>2019</v>
      </c>
      <c r="C75" t="s">
        <v>35</v>
      </c>
      <c r="D75">
        <v>139.4</v>
      </c>
      <c r="E75">
        <f t="shared" si="27"/>
        <v>138.73333333333335</v>
      </c>
      <c r="F75">
        <v>150.1</v>
      </c>
      <c r="G75">
        <f t="shared" si="28"/>
        <v>149.10000000000002</v>
      </c>
      <c r="H75">
        <v>145.30000000000001</v>
      </c>
      <c r="I75">
        <f t="shared" si="29"/>
        <v>143.30000000000001</v>
      </c>
      <c r="J75">
        <v>141.69999999999999</v>
      </c>
      <c r="K75">
        <f t="shared" si="30"/>
        <v>141.66666666666666</v>
      </c>
      <c r="L75">
        <v>118.4</v>
      </c>
      <c r="M75">
        <f t="shared" si="31"/>
        <v>118.2</v>
      </c>
      <c r="N75">
        <v>137</v>
      </c>
      <c r="O75">
        <f t="shared" si="32"/>
        <v>136.9</v>
      </c>
      <c r="P75">
        <v>131.6</v>
      </c>
      <c r="Q75">
        <f t="shared" si="33"/>
        <v>131.5</v>
      </c>
      <c r="R75">
        <v>119.9</v>
      </c>
      <c r="S75">
        <f t="shared" si="34"/>
        <v>118.53333333333335</v>
      </c>
      <c r="T75">
        <v>110.4</v>
      </c>
      <c r="U75">
        <f t="shared" si="35"/>
        <v>110.60000000000001</v>
      </c>
      <c r="V75">
        <v>140.80000000000001</v>
      </c>
      <c r="W75">
        <f t="shared" si="36"/>
        <v>140.9</v>
      </c>
      <c r="X75">
        <v>128.30000000000001</v>
      </c>
      <c r="Y75">
        <f t="shared" si="37"/>
        <v>128.16666666666666</v>
      </c>
      <c r="Z75">
        <v>153.5</v>
      </c>
      <c r="AA75">
        <f t="shared" si="38"/>
        <v>153.20000000000002</v>
      </c>
      <c r="AB75">
        <v>138</v>
      </c>
      <c r="AC75">
        <f t="shared" si="39"/>
        <v>137.63333333333333</v>
      </c>
      <c r="AD75">
        <v>164.9</v>
      </c>
      <c r="AE75">
        <f t="shared" si="40"/>
        <v>164.73333333333332</v>
      </c>
      <c r="AF75">
        <v>143.30000000000001</v>
      </c>
      <c r="AG75">
        <f t="shared" si="41"/>
        <v>143</v>
      </c>
      <c r="AH75">
        <v>130.80000000000001</v>
      </c>
      <c r="AI75">
        <f t="shared" si="42"/>
        <v>130.50000000000003</v>
      </c>
      <c r="AJ75">
        <v>141.4</v>
      </c>
      <c r="AK75">
        <f t="shared" si="43"/>
        <v>141.1</v>
      </c>
      <c r="AL75">
        <v>148.5</v>
      </c>
      <c r="AM75">
        <f t="shared" si="44"/>
        <v>147.56666666666666</v>
      </c>
      <c r="AN75">
        <v>127.1</v>
      </c>
      <c r="AO75">
        <f t="shared" si="45"/>
        <v>129.36666666666667</v>
      </c>
      <c r="AP75">
        <v>136.6</v>
      </c>
      <c r="AQ75">
        <f t="shared" si="46"/>
        <v>136.36666666666667</v>
      </c>
      <c r="AR75">
        <v>138.5</v>
      </c>
      <c r="AS75">
        <f t="shared" si="47"/>
        <v>137.86666666666667</v>
      </c>
      <c r="AT75">
        <v>119.2</v>
      </c>
      <c r="AU75">
        <f t="shared" si="48"/>
        <v>118.86666666666666</v>
      </c>
      <c r="AV75">
        <v>132.19999999999999</v>
      </c>
      <c r="AW75">
        <f t="shared" si="49"/>
        <v>131.93333333333334</v>
      </c>
      <c r="AX75">
        <v>146.6</v>
      </c>
      <c r="AY75">
        <f t="shared" si="50"/>
        <v>146.56666666666669</v>
      </c>
      <c r="AZ75">
        <v>133</v>
      </c>
      <c r="BA75">
        <f t="shared" si="51"/>
        <v>131.83333333333334</v>
      </c>
      <c r="BB75">
        <v>132.4</v>
      </c>
      <c r="BC75">
        <f t="shared" si="52"/>
        <v>131.96666666666667</v>
      </c>
      <c r="BD75">
        <v>138.6</v>
      </c>
      <c r="BE75">
        <f t="shared" si="53"/>
        <v>138.20000000000002</v>
      </c>
    </row>
    <row r="76" spans="1:57" hidden="1">
      <c r="A76" t="s">
        <v>33</v>
      </c>
      <c r="B76">
        <v>2019</v>
      </c>
      <c r="C76" t="s">
        <v>36</v>
      </c>
      <c r="D76">
        <v>139.69999999999999</v>
      </c>
      <c r="E76">
        <f t="shared" si="27"/>
        <v>139.13333333333335</v>
      </c>
      <c r="F76">
        <v>151.1</v>
      </c>
      <c r="G76">
        <f t="shared" si="28"/>
        <v>150.20000000000002</v>
      </c>
      <c r="H76">
        <v>142.9</v>
      </c>
      <c r="I76">
        <f t="shared" si="29"/>
        <v>143.9</v>
      </c>
      <c r="J76">
        <v>141.9</v>
      </c>
      <c r="K76">
        <f t="shared" si="30"/>
        <v>141.76666666666665</v>
      </c>
      <c r="L76">
        <v>118.4</v>
      </c>
      <c r="M76">
        <f t="shared" si="31"/>
        <v>118.3</v>
      </c>
      <c r="N76">
        <v>139.4</v>
      </c>
      <c r="O76">
        <f t="shared" si="32"/>
        <v>137.20000000000002</v>
      </c>
      <c r="P76">
        <v>141.19999999999999</v>
      </c>
      <c r="Q76">
        <f t="shared" si="33"/>
        <v>134.43333333333334</v>
      </c>
      <c r="R76">
        <v>120.7</v>
      </c>
      <c r="S76">
        <f t="shared" si="34"/>
        <v>119.60000000000001</v>
      </c>
      <c r="T76">
        <v>110.4</v>
      </c>
      <c r="U76">
        <f t="shared" si="35"/>
        <v>110.40000000000002</v>
      </c>
      <c r="V76">
        <v>140.69999999999999</v>
      </c>
      <c r="W76">
        <f t="shared" si="36"/>
        <v>140.63333333333335</v>
      </c>
      <c r="X76">
        <v>128.5</v>
      </c>
      <c r="Y76">
        <f t="shared" si="37"/>
        <v>128.29999999999998</v>
      </c>
      <c r="Z76">
        <v>153.9</v>
      </c>
      <c r="AA76">
        <f t="shared" si="38"/>
        <v>153.53333333333333</v>
      </c>
      <c r="AB76">
        <v>139.6</v>
      </c>
      <c r="AC76">
        <f t="shared" si="39"/>
        <v>138.29999999999998</v>
      </c>
      <c r="AD76">
        <v>165.3</v>
      </c>
      <c r="AE76">
        <f t="shared" si="40"/>
        <v>164.96666666666667</v>
      </c>
      <c r="AF76">
        <v>143.5</v>
      </c>
      <c r="AG76">
        <f t="shared" si="41"/>
        <v>143.26666666666668</v>
      </c>
      <c r="AH76">
        <v>131.19999999999999</v>
      </c>
      <c r="AI76">
        <f t="shared" si="42"/>
        <v>130.80000000000001</v>
      </c>
      <c r="AJ76">
        <v>141.6</v>
      </c>
      <c r="AK76">
        <f t="shared" si="43"/>
        <v>141.36666666666667</v>
      </c>
      <c r="AL76">
        <v>149</v>
      </c>
      <c r="AM76">
        <f t="shared" si="44"/>
        <v>148.4</v>
      </c>
      <c r="AN76">
        <v>128.80000000000001</v>
      </c>
      <c r="AO76">
        <f t="shared" si="45"/>
        <v>128.16666666666666</v>
      </c>
      <c r="AP76">
        <v>136.80000000000001</v>
      </c>
      <c r="AQ76">
        <f t="shared" si="46"/>
        <v>136.56666666666666</v>
      </c>
      <c r="AR76">
        <v>139.19999999999999</v>
      </c>
      <c r="AS76">
        <f t="shared" si="47"/>
        <v>138.5</v>
      </c>
      <c r="AT76">
        <v>119.9</v>
      </c>
      <c r="AU76">
        <f t="shared" si="48"/>
        <v>119.23333333333335</v>
      </c>
      <c r="AV76">
        <v>133</v>
      </c>
      <c r="AW76">
        <f t="shared" si="49"/>
        <v>132.36666666666667</v>
      </c>
      <c r="AX76">
        <v>146.69999999999999</v>
      </c>
      <c r="AY76">
        <f t="shared" si="50"/>
        <v>146.63333333333333</v>
      </c>
      <c r="AZ76">
        <v>132.5</v>
      </c>
      <c r="BA76">
        <f t="shared" si="51"/>
        <v>132.4</v>
      </c>
      <c r="BB76">
        <v>132.80000000000001</v>
      </c>
      <c r="BC76">
        <f t="shared" si="52"/>
        <v>132.33333333333334</v>
      </c>
      <c r="BD76">
        <v>139.5</v>
      </c>
      <c r="BE76">
        <f t="shared" si="53"/>
        <v>138.70000000000002</v>
      </c>
    </row>
    <row r="77" spans="1:57" hidden="1">
      <c r="A77" t="s">
        <v>33</v>
      </c>
      <c r="B77">
        <v>2019</v>
      </c>
      <c r="C77" t="s">
        <v>38</v>
      </c>
      <c r="D77">
        <v>140.4</v>
      </c>
      <c r="E77">
        <f t="shared" si="27"/>
        <v>139.83333333333334</v>
      </c>
      <c r="F77">
        <v>156.69999999999999</v>
      </c>
      <c r="G77">
        <f t="shared" si="28"/>
        <v>152.63333333333333</v>
      </c>
      <c r="H77">
        <v>138.30000000000001</v>
      </c>
      <c r="I77">
        <f t="shared" si="29"/>
        <v>142.16666666666669</v>
      </c>
      <c r="J77">
        <v>142.4</v>
      </c>
      <c r="K77">
        <f t="shared" si="30"/>
        <v>142</v>
      </c>
      <c r="L77">
        <v>118.6</v>
      </c>
      <c r="M77">
        <f t="shared" si="31"/>
        <v>118.46666666666665</v>
      </c>
      <c r="N77">
        <v>149.69999999999999</v>
      </c>
      <c r="O77">
        <f t="shared" si="32"/>
        <v>142.03333333333333</v>
      </c>
      <c r="P77">
        <v>161.6</v>
      </c>
      <c r="Q77">
        <f t="shared" si="33"/>
        <v>144.79999999999998</v>
      </c>
      <c r="R77">
        <v>124.4</v>
      </c>
      <c r="S77">
        <f t="shared" si="34"/>
        <v>121.66666666666667</v>
      </c>
      <c r="T77">
        <v>111.2</v>
      </c>
      <c r="U77">
        <f t="shared" si="35"/>
        <v>110.66666666666667</v>
      </c>
      <c r="V77">
        <v>141</v>
      </c>
      <c r="W77">
        <f t="shared" si="36"/>
        <v>140.83333333333334</v>
      </c>
      <c r="X77">
        <v>128.9</v>
      </c>
      <c r="Y77">
        <f t="shared" si="37"/>
        <v>128.56666666666669</v>
      </c>
      <c r="Z77">
        <v>154.5</v>
      </c>
      <c r="AA77">
        <f t="shared" si="38"/>
        <v>153.96666666666667</v>
      </c>
      <c r="AB77">
        <v>143.80000000000001</v>
      </c>
      <c r="AC77">
        <f t="shared" si="39"/>
        <v>140.46666666666667</v>
      </c>
      <c r="AD77">
        <v>166.2</v>
      </c>
      <c r="AE77">
        <f t="shared" si="40"/>
        <v>165.46666666666667</v>
      </c>
      <c r="AF77">
        <v>144</v>
      </c>
      <c r="AG77">
        <f t="shared" si="41"/>
        <v>143.6</v>
      </c>
      <c r="AH77">
        <v>131.69999999999999</v>
      </c>
      <c r="AI77">
        <f t="shared" si="42"/>
        <v>131.23333333333332</v>
      </c>
      <c r="AJ77">
        <v>142.19999999999999</v>
      </c>
      <c r="AK77">
        <f t="shared" si="43"/>
        <v>141.73333333333332</v>
      </c>
      <c r="AL77">
        <v>150.1</v>
      </c>
      <c r="AM77">
        <f t="shared" si="44"/>
        <v>149.20000000000002</v>
      </c>
      <c r="AN77">
        <v>129.4</v>
      </c>
      <c r="AO77">
        <f t="shared" si="45"/>
        <v>128.43333333333334</v>
      </c>
      <c r="AP77">
        <v>137.19999999999999</v>
      </c>
      <c r="AQ77">
        <f t="shared" si="46"/>
        <v>136.86666666666665</v>
      </c>
      <c r="AR77">
        <v>139.80000000000001</v>
      </c>
      <c r="AS77">
        <f t="shared" si="47"/>
        <v>139.16666666666666</v>
      </c>
      <c r="AT77">
        <v>120.1</v>
      </c>
      <c r="AU77">
        <f t="shared" si="48"/>
        <v>119.73333333333335</v>
      </c>
      <c r="AV77">
        <v>134</v>
      </c>
      <c r="AW77">
        <f t="shared" si="49"/>
        <v>133.06666666666666</v>
      </c>
      <c r="AX77">
        <v>148</v>
      </c>
      <c r="AY77">
        <f t="shared" si="50"/>
        <v>147.1</v>
      </c>
      <c r="AZ77">
        <v>132.6</v>
      </c>
      <c r="BA77">
        <f t="shared" si="51"/>
        <v>132.70000000000002</v>
      </c>
      <c r="BB77">
        <v>133.30000000000001</v>
      </c>
      <c r="BC77">
        <f t="shared" si="52"/>
        <v>132.83333333333334</v>
      </c>
      <c r="BD77">
        <v>141.5</v>
      </c>
      <c r="BE77">
        <f t="shared" si="53"/>
        <v>139.86666666666667</v>
      </c>
    </row>
    <row r="78" spans="1:57" hidden="1">
      <c r="A78" t="s">
        <v>33</v>
      </c>
      <c r="B78">
        <v>2019</v>
      </c>
      <c r="C78" t="s">
        <v>39</v>
      </c>
      <c r="D78">
        <v>140.69999999999999</v>
      </c>
      <c r="E78">
        <f t="shared" si="27"/>
        <v>140.26666666666668</v>
      </c>
      <c r="F78">
        <v>159.6</v>
      </c>
      <c r="G78">
        <f t="shared" si="28"/>
        <v>155.79999999999998</v>
      </c>
      <c r="H78">
        <v>140.4</v>
      </c>
      <c r="I78">
        <f t="shared" si="29"/>
        <v>140.53333333333333</v>
      </c>
      <c r="J78">
        <v>143.4</v>
      </c>
      <c r="K78">
        <f t="shared" si="30"/>
        <v>142.56666666666669</v>
      </c>
      <c r="L78">
        <v>118.6</v>
      </c>
      <c r="M78">
        <f t="shared" si="31"/>
        <v>118.53333333333335</v>
      </c>
      <c r="N78">
        <v>150.9</v>
      </c>
      <c r="O78">
        <f t="shared" si="32"/>
        <v>146.66666666666666</v>
      </c>
      <c r="P78">
        <v>169.8</v>
      </c>
      <c r="Q78">
        <f t="shared" si="33"/>
        <v>157.53333333333333</v>
      </c>
      <c r="R78">
        <v>127.4</v>
      </c>
      <c r="S78">
        <f t="shared" si="34"/>
        <v>124.16666666666667</v>
      </c>
      <c r="T78">
        <v>111.8</v>
      </c>
      <c r="U78">
        <f t="shared" si="35"/>
        <v>111.13333333333334</v>
      </c>
      <c r="V78">
        <v>141</v>
      </c>
      <c r="W78">
        <f t="shared" si="36"/>
        <v>140.9</v>
      </c>
      <c r="X78">
        <v>129</v>
      </c>
      <c r="Y78">
        <f t="shared" si="37"/>
        <v>128.79999999999998</v>
      </c>
      <c r="Z78">
        <v>155.1</v>
      </c>
      <c r="AA78">
        <f t="shared" si="38"/>
        <v>154.5</v>
      </c>
      <c r="AB78">
        <v>145.6</v>
      </c>
      <c r="AC78">
        <f t="shared" si="39"/>
        <v>143</v>
      </c>
      <c r="AD78">
        <v>166.7</v>
      </c>
      <c r="AE78">
        <f t="shared" si="40"/>
        <v>166.06666666666666</v>
      </c>
      <c r="AF78">
        <v>144.30000000000001</v>
      </c>
      <c r="AG78">
        <f t="shared" si="41"/>
        <v>143.93333333333334</v>
      </c>
      <c r="AH78">
        <v>131.69999999999999</v>
      </c>
      <c r="AI78">
        <f t="shared" si="42"/>
        <v>131.53333333333333</v>
      </c>
      <c r="AJ78">
        <v>142.4</v>
      </c>
      <c r="AK78">
        <f t="shared" si="43"/>
        <v>142.06666666666663</v>
      </c>
      <c r="AL78">
        <v>149.4</v>
      </c>
      <c r="AM78">
        <f t="shared" si="44"/>
        <v>149.5</v>
      </c>
      <c r="AN78">
        <v>130.5</v>
      </c>
      <c r="AO78">
        <f t="shared" si="45"/>
        <v>129.56666666666669</v>
      </c>
      <c r="AP78">
        <v>137.4</v>
      </c>
      <c r="AQ78">
        <f t="shared" si="46"/>
        <v>137.13333333333333</v>
      </c>
      <c r="AR78">
        <v>140.30000000000001</v>
      </c>
      <c r="AS78">
        <f t="shared" si="47"/>
        <v>139.76666666666668</v>
      </c>
      <c r="AT78">
        <v>119.6</v>
      </c>
      <c r="AU78">
        <f t="shared" si="48"/>
        <v>119.86666666666667</v>
      </c>
      <c r="AV78">
        <v>134.30000000000001</v>
      </c>
      <c r="AW78">
        <f t="shared" si="49"/>
        <v>133.76666666666668</v>
      </c>
      <c r="AX78">
        <v>148.9</v>
      </c>
      <c r="AY78">
        <f t="shared" si="50"/>
        <v>147.86666666666667</v>
      </c>
      <c r="AZ78">
        <v>133.69999999999999</v>
      </c>
      <c r="BA78">
        <f t="shared" si="51"/>
        <v>132.93333333333334</v>
      </c>
      <c r="BB78">
        <v>133.6</v>
      </c>
      <c r="BC78">
        <f t="shared" si="52"/>
        <v>133.23333333333335</v>
      </c>
      <c r="BD78">
        <v>142.1</v>
      </c>
      <c r="BE78">
        <f t="shared" si="53"/>
        <v>141.03333333333333</v>
      </c>
    </row>
    <row r="79" spans="1:57" hidden="1">
      <c r="A79" t="s">
        <v>33</v>
      </c>
      <c r="B79">
        <v>2019</v>
      </c>
      <c r="C79" t="s">
        <v>40</v>
      </c>
      <c r="D79">
        <v>141.4</v>
      </c>
      <c r="E79">
        <f t="shared" si="27"/>
        <v>140.83333333333334</v>
      </c>
      <c r="F79">
        <v>160.19999999999999</v>
      </c>
      <c r="G79">
        <f t="shared" si="28"/>
        <v>158.83333333333331</v>
      </c>
      <c r="H79">
        <v>142.5</v>
      </c>
      <c r="I79">
        <f t="shared" si="29"/>
        <v>140.4</v>
      </c>
      <c r="J79">
        <v>144.1</v>
      </c>
      <c r="K79">
        <f t="shared" si="30"/>
        <v>143.29999999999998</v>
      </c>
      <c r="L79">
        <v>119.3</v>
      </c>
      <c r="M79">
        <f t="shared" si="31"/>
        <v>118.83333333333333</v>
      </c>
      <c r="N79">
        <v>154.69999999999999</v>
      </c>
      <c r="O79">
        <f t="shared" si="32"/>
        <v>151.76666666666668</v>
      </c>
      <c r="P79">
        <v>180.1</v>
      </c>
      <c r="Q79">
        <f t="shared" si="33"/>
        <v>170.5</v>
      </c>
      <c r="R79">
        <v>128.9</v>
      </c>
      <c r="S79">
        <f t="shared" si="34"/>
        <v>126.90000000000002</v>
      </c>
      <c r="T79">
        <v>111.8</v>
      </c>
      <c r="U79">
        <f t="shared" si="35"/>
        <v>111.60000000000001</v>
      </c>
      <c r="V79">
        <v>141.6</v>
      </c>
      <c r="W79">
        <f t="shared" si="36"/>
        <v>141.20000000000002</v>
      </c>
      <c r="X79">
        <v>129.5</v>
      </c>
      <c r="Y79">
        <f t="shared" si="37"/>
        <v>129.13333333333333</v>
      </c>
      <c r="Z79">
        <v>155.6</v>
      </c>
      <c r="AA79">
        <f t="shared" si="38"/>
        <v>155.06666666666669</v>
      </c>
      <c r="AB79">
        <v>147.69999999999999</v>
      </c>
      <c r="AC79">
        <f t="shared" si="39"/>
        <v>145.69999999999999</v>
      </c>
      <c r="AD79">
        <v>167.2</v>
      </c>
      <c r="AE79">
        <f t="shared" si="40"/>
        <v>166.7</v>
      </c>
      <c r="AF79">
        <v>144.69999999999999</v>
      </c>
      <c r="AG79">
        <f t="shared" si="41"/>
        <v>144.33333333333334</v>
      </c>
      <c r="AH79">
        <v>131.9</v>
      </c>
      <c r="AI79">
        <f t="shared" si="42"/>
        <v>131.76666666666665</v>
      </c>
      <c r="AJ79">
        <v>142.69999999999999</v>
      </c>
      <c r="AK79">
        <f t="shared" si="43"/>
        <v>142.43333333333334</v>
      </c>
      <c r="AL79">
        <v>150.6</v>
      </c>
      <c r="AM79">
        <f t="shared" si="44"/>
        <v>150.03333333333333</v>
      </c>
      <c r="AN79">
        <v>127</v>
      </c>
      <c r="AO79">
        <f t="shared" si="45"/>
        <v>128.96666666666667</v>
      </c>
      <c r="AP79">
        <v>137.69999999999999</v>
      </c>
      <c r="AQ79">
        <f t="shared" si="46"/>
        <v>137.43333333333334</v>
      </c>
      <c r="AR79">
        <v>140.80000000000001</v>
      </c>
      <c r="AS79">
        <f t="shared" si="47"/>
        <v>140.30000000000001</v>
      </c>
      <c r="AT79">
        <v>120.6</v>
      </c>
      <c r="AU79">
        <f t="shared" si="48"/>
        <v>120.09999999999998</v>
      </c>
      <c r="AV79">
        <v>135</v>
      </c>
      <c r="AW79">
        <f t="shared" si="49"/>
        <v>134.43333333333334</v>
      </c>
      <c r="AX79">
        <v>150.4</v>
      </c>
      <c r="AY79">
        <f t="shared" si="50"/>
        <v>149.1</v>
      </c>
      <c r="AZ79">
        <v>135.1</v>
      </c>
      <c r="BA79">
        <f t="shared" si="51"/>
        <v>133.79999999999998</v>
      </c>
      <c r="BB79">
        <v>134.5</v>
      </c>
      <c r="BC79">
        <f t="shared" si="52"/>
        <v>133.79999999999998</v>
      </c>
      <c r="BD79">
        <v>143.30000000000001</v>
      </c>
      <c r="BE79">
        <f t="shared" si="53"/>
        <v>142.30000000000001</v>
      </c>
    </row>
    <row r="80" spans="1:57" hidden="1">
      <c r="A80" t="s">
        <v>33</v>
      </c>
      <c r="B80">
        <v>2019</v>
      </c>
      <c r="C80" t="s">
        <v>41</v>
      </c>
      <c r="D80">
        <v>142.1</v>
      </c>
      <c r="E80">
        <f t="shared" si="27"/>
        <v>141.4</v>
      </c>
      <c r="F80">
        <v>158.30000000000001</v>
      </c>
      <c r="G80">
        <f t="shared" si="28"/>
        <v>159.36666666666665</v>
      </c>
      <c r="H80">
        <v>140.80000000000001</v>
      </c>
      <c r="I80">
        <f t="shared" si="29"/>
        <v>141.23333333333332</v>
      </c>
      <c r="J80">
        <v>144.9</v>
      </c>
      <c r="K80">
        <f t="shared" si="30"/>
        <v>144.13333333333333</v>
      </c>
      <c r="L80">
        <v>119.9</v>
      </c>
      <c r="M80">
        <f t="shared" si="31"/>
        <v>119.26666666666665</v>
      </c>
      <c r="N80">
        <v>153.9</v>
      </c>
      <c r="O80">
        <f t="shared" si="32"/>
        <v>153.16666666666666</v>
      </c>
      <c r="P80">
        <v>189.1</v>
      </c>
      <c r="Q80">
        <f t="shared" si="33"/>
        <v>179.66666666666666</v>
      </c>
      <c r="R80">
        <v>129.80000000000001</v>
      </c>
      <c r="S80">
        <f t="shared" si="34"/>
        <v>128.70000000000002</v>
      </c>
      <c r="T80">
        <v>112.7</v>
      </c>
      <c r="U80">
        <f t="shared" si="35"/>
        <v>112.10000000000001</v>
      </c>
      <c r="V80">
        <v>142.5</v>
      </c>
      <c r="W80">
        <f t="shared" si="36"/>
        <v>141.70000000000002</v>
      </c>
      <c r="X80">
        <v>129.80000000000001</v>
      </c>
      <c r="Y80">
        <f t="shared" si="37"/>
        <v>129.43333333333334</v>
      </c>
      <c r="Z80">
        <v>156.19999999999999</v>
      </c>
      <c r="AA80">
        <f t="shared" si="38"/>
        <v>155.63333333333333</v>
      </c>
      <c r="AB80">
        <v>149.1</v>
      </c>
      <c r="AC80">
        <f t="shared" si="39"/>
        <v>147.46666666666667</v>
      </c>
      <c r="AD80">
        <v>167.9</v>
      </c>
      <c r="AE80">
        <f t="shared" si="40"/>
        <v>167.26666666666665</v>
      </c>
      <c r="AF80">
        <v>145</v>
      </c>
      <c r="AG80">
        <f t="shared" si="41"/>
        <v>144.66666666666666</v>
      </c>
      <c r="AH80">
        <v>132.19999999999999</v>
      </c>
      <c r="AI80">
        <f t="shared" si="42"/>
        <v>131.93333333333334</v>
      </c>
      <c r="AJ80">
        <v>143</v>
      </c>
      <c r="AK80">
        <f t="shared" si="43"/>
        <v>142.70000000000002</v>
      </c>
      <c r="AL80">
        <v>151.6</v>
      </c>
      <c r="AM80">
        <f t="shared" si="44"/>
        <v>150.53333333333333</v>
      </c>
      <c r="AN80">
        <v>125.5</v>
      </c>
      <c r="AO80">
        <f t="shared" si="45"/>
        <v>127.66666666666667</v>
      </c>
      <c r="AP80">
        <v>138.1</v>
      </c>
      <c r="AQ80">
        <f t="shared" si="46"/>
        <v>137.73333333333335</v>
      </c>
      <c r="AR80">
        <v>141.5</v>
      </c>
      <c r="AS80">
        <f t="shared" si="47"/>
        <v>140.86666666666667</v>
      </c>
      <c r="AT80">
        <v>120.8</v>
      </c>
      <c r="AU80">
        <f t="shared" si="48"/>
        <v>120.33333333333333</v>
      </c>
      <c r="AV80">
        <v>135.4</v>
      </c>
      <c r="AW80">
        <f t="shared" si="49"/>
        <v>134.9</v>
      </c>
      <c r="AX80">
        <v>151.5</v>
      </c>
      <c r="AY80">
        <f t="shared" si="50"/>
        <v>150.26666666666668</v>
      </c>
      <c r="AZ80">
        <v>137.80000000000001</v>
      </c>
      <c r="BA80">
        <f t="shared" si="51"/>
        <v>135.53333333333333</v>
      </c>
      <c r="BB80">
        <v>135.30000000000001</v>
      </c>
      <c r="BC80">
        <f t="shared" si="52"/>
        <v>134.46666666666667</v>
      </c>
      <c r="BD80">
        <v>144.19999999999999</v>
      </c>
      <c r="BE80">
        <f t="shared" si="53"/>
        <v>143.19999999999999</v>
      </c>
    </row>
    <row r="81" spans="1:57" hidden="1">
      <c r="A81" t="s">
        <v>33</v>
      </c>
      <c r="B81">
        <v>2019</v>
      </c>
      <c r="C81" t="s">
        <v>42</v>
      </c>
      <c r="D81">
        <v>142.69999999999999</v>
      </c>
      <c r="E81">
        <f t="shared" si="27"/>
        <v>142.06666666666666</v>
      </c>
      <c r="F81">
        <v>158.69999999999999</v>
      </c>
      <c r="G81">
        <f t="shared" si="28"/>
        <v>159.06666666666666</v>
      </c>
      <c r="H81">
        <v>141.6</v>
      </c>
      <c r="I81">
        <f t="shared" si="29"/>
        <v>141.63333333333333</v>
      </c>
      <c r="J81">
        <v>144.9</v>
      </c>
      <c r="K81">
        <f t="shared" si="30"/>
        <v>144.63333333333333</v>
      </c>
      <c r="L81">
        <v>120.8</v>
      </c>
      <c r="M81">
        <f t="shared" si="31"/>
        <v>120</v>
      </c>
      <c r="N81">
        <v>149.80000000000001</v>
      </c>
      <c r="O81">
        <f t="shared" si="32"/>
        <v>152.80000000000001</v>
      </c>
      <c r="P81">
        <v>192.4</v>
      </c>
      <c r="Q81">
        <f t="shared" si="33"/>
        <v>187.20000000000002</v>
      </c>
      <c r="R81">
        <v>130.30000000000001</v>
      </c>
      <c r="S81">
        <f t="shared" si="34"/>
        <v>129.66666666666669</v>
      </c>
      <c r="T81">
        <v>114</v>
      </c>
      <c r="U81">
        <f t="shared" si="35"/>
        <v>112.83333333333333</v>
      </c>
      <c r="V81">
        <v>143.80000000000001</v>
      </c>
      <c r="W81">
        <f t="shared" si="36"/>
        <v>142.63333333333335</v>
      </c>
      <c r="X81">
        <v>130</v>
      </c>
      <c r="Y81">
        <f t="shared" si="37"/>
        <v>129.76666666666668</v>
      </c>
      <c r="Z81">
        <v>156.4</v>
      </c>
      <c r="AA81">
        <f t="shared" si="38"/>
        <v>156.06666666666663</v>
      </c>
      <c r="AB81">
        <v>149.5</v>
      </c>
      <c r="AC81">
        <f t="shared" si="39"/>
        <v>148.76666666666665</v>
      </c>
      <c r="AD81">
        <v>168.6</v>
      </c>
      <c r="AE81">
        <f t="shared" si="40"/>
        <v>167.9</v>
      </c>
      <c r="AF81">
        <v>145.30000000000001</v>
      </c>
      <c r="AG81">
        <f t="shared" si="41"/>
        <v>145</v>
      </c>
      <c r="AH81">
        <v>132.19999999999999</v>
      </c>
      <c r="AI81">
        <f t="shared" si="42"/>
        <v>132.1</v>
      </c>
      <c r="AJ81">
        <v>143.30000000000001</v>
      </c>
      <c r="AK81">
        <f t="shared" si="43"/>
        <v>143</v>
      </c>
      <c r="AL81">
        <v>152.19999999999999</v>
      </c>
      <c r="AM81">
        <f t="shared" si="44"/>
        <v>151.46666666666667</v>
      </c>
      <c r="AN81">
        <v>126.6</v>
      </c>
      <c r="AO81">
        <f t="shared" si="45"/>
        <v>126.36666666666667</v>
      </c>
      <c r="AP81">
        <v>138.30000000000001</v>
      </c>
      <c r="AQ81">
        <f t="shared" si="46"/>
        <v>138.03333333333333</v>
      </c>
      <c r="AR81">
        <v>141.9</v>
      </c>
      <c r="AS81">
        <f t="shared" si="47"/>
        <v>141.4</v>
      </c>
      <c r="AT81">
        <v>121.2</v>
      </c>
      <c r="AU81">
        <f t="shared" si="48"/>
        <v>120.86666666666666</v>
      </c>
      <c r="AV81">
        <v>135.9</v>
      </c>
      <c r="AW81">
        <f t="shared" si="49"/>
        <v>135.43333333333331</v>
      </c>
      <c r="AX81">
        <v>151.6</v>
      </c>
      <c r="AY81">
        <f t="shared" si="50"/>
        <v>151.16666666666666</v>
      </c>
      <c r="AZ81">
        <v>139</v>
      </c>
      <c r="BA81">
        <f t="shared" si="51"/>
        <v>137.29999999999998</v>
      </c>
      <c r="BB81">
        <v>135.69999999999999</v>
      </c>
      <c r="BC81">
        <f t="shared" si="52"/>
        <v>135.16666666666666</v>
      </c>
      <c r="BD81">
        <v>144.69999999999999</v>
      </c>
      <c r="BE81">
        <f t="shared" si="53"/>
        <v>144.06666666666666</v>
      </c>
    </row>
    <row r="82" spans="1:57" hidden="1">
      <c r="A82" t="s">
        <v>33</v>
      </c>
      <c r="B82">
        <v>2019</v>
      </c>
      <c r="C82" t="s">
        <v>43</v>
      </c>
      <c r="D82">
        <v>143.5</v>
      </c>
      <c r="E82">
        <f t="shared" si="27"/>
        <v>142.76666666666665</v>
      </c>
      <c r="F82">
        <v>159.80000000000001</v>
      </c>
      <c r="G82">
        <f t="shared" si="28"/>
        <v>158.93333333333334</v>
      </c>
      <c r="H82">
        <v>144.69999999999999</v>
      </c>
      <c r="I82">
        <f t="shared" si="29"/>
        <v>142.36666666666665</v>
      </c>
      <c r="J82">
        <v>145.6</v>
      </c>
      <c r="K82">
        <f t="shared" si="30"/>
        <v>145.13333333333333</v>
      </c>
      <c r="L82">
        <v>121.1</v>
      </c>
      <c r="M82">
        <f t="shared" si="31"/>
        <v>120.59999999999998</v>
      </c>
      <c r="N82">
        <v>150.6</v>
      </c>
      <c r="O82">
        <f t="shared" si="32"/>
        <v>151.43333333333337</v>
      </c>
      <c r="P82">
        <v>207.2</v>
      </c>
      <c r="Q82">
        <f t="shared" si="33"/>
        <v>196.23333333333335</v>
      </c>
      <c r="R82">
        <v>131.19999999999999</v>
      </c>
      <c r="S82">
        <f t="shared" si="34"/>
        <v>130.43333333333334</v>
      </c>
      <c r="T82">
        <v>114.8</v>
      </c>
      <c r="U82">
        <f t="shared" si="35"/>
        <v>113.83333333333333</v>
      </c>
      <c r="V82">
        <v>145.19999999999999</v>
      </c>
      <c r="W82">
        <f t="shared" si="36"/>
        <v>143.83333333333334</v>
      </c>
      <c r="X82">
        <v>130.19999999999999</v>
      </c>
      <c r="Y82">
        <f t="shared" si="37"/>
        <v>130</v>
      </c>
      <c r="Z82">
        <v>156.80000000000001</v>
      </c>
      <c r="AA82">
        <f t="shared" si="38"/>
        <v>156.46666666666667</v>
      </c>
      <c r="AB82">
        <v>151.9</v>
      </c>
      <c r="AC82">
        <f t="shared" si="39"/>
        <v>150.16666666666666</v>
      </c>
      <c r="AD82">
        <v>169.3</v>
      </c>
      <c r="AE82">
        <f t="shared" si="40"/>
        <v>168.6</v>
      </c>
      <c r="AF82">
        <v>145.9</v>
      </c>
      <c r="AG82">
        <f t="shared" si="41"/>
        <v>145.4</v>
      </c>
      <c r="AH82">
        <v>132.4</v>
      </c>
      <c r="AI82">
        <f t="shared" si="42"/>
        <v>132.26666666666665</v>
      </c>
      <c r="AJ82">
        <v>143.9</v>
      </c>
      <c r="AK82">
        <f t="shared" si="43"/>
        <v>143.4</v>
      </c>
      <c r="AL82">
        <v>153</v>
      </c>
      <c r="AM82">
        <f t="shared" si="44"/>
        <v>152.26666666666665</v>
      </c>
      <c r="AN82">
        <v>128.9</v>
      </c>
      <c r="AO82">
        <f t="shared" si="45"/>
        <v>127</v>
      </c>
      <c r="AP82">
        <v>138.69999999999999</v>
      </c>
      <c r="AQ82">
        <f t="shared" si="46"/>
        <v>138.36666666666665</v>
      </c>
      <c r="AR82">
        <v>142.4</v>
      </c>
      <c r="AS82">
        <f t="shared" si="47"/>
        <v>141.93333333333331</v>
      </c>
      <c r="AT82">
        <v>121.5</v>
      </c>
      <c r="AU82">
        <f t="shared" si="48"/>
        <v>121.16666666666667</v>
      </c>
      <c r="AV82">
        <v>136.19999999999999</v>
      </c>
      <c r="AW82">
        <f t="shared" si="49"/>
        <v>135.83333333333334</v>
      </c>
      <c r="AX82">
        <v>151.69999999999999</v>
      </c>
      <c r="AY82">
        <f t="shared" si="50"/>
        <v>151.6</v>
      </c>
      <c r="AZ82">
        <v>139.5</v>
      </c>
      <c r="BA82">
        <f t="shared" si="51"/>
        <v>138.76666666666668</v>
      </c>
      <c r="BB82">
        <v>136</v>
      </c>
      <c r="BC82">
        <f t="shared" si="52"/>
        <v>135.66666666666666</v>
      </c>
      <c r="BD82">
        <v>146</v>
      </c>
      <c r="BE82">
        <f t="shared" si="53"/>
        <v>144.96666666666667</v>
      </c>
    </row>
    <row r="83" spans="1:57" hidden="1">
      <c r="A83" t="s">
        <v>33</v>
      </c>
      <c r="B83">
        <v>2019</v>
      </c>
      <c r="C83" t="s">
        <v>45</v>
      </c>
      <c r="D83">
        <v>144.1</v>
      </c>
      <c r="E83">
        <f t="shared" si="27"/>
        <v>143.43333333333331</v>
      </c>
      <c r="F83">
        <v>162.4</v>
      </c>
      <c r="G83">
        <f t="shared" si="28"/>
        <v>160.29999999999998</v>
      </c>
      <c r="H83">
        <v>148.4</v>
      </c>
      <c r="I83">
        <f t="shared" si="29"/>
        <v>144.89999999999998</v>
      </c>
      <c r="J83">
        <v>145.9</v>
      </c>
      <c r="K83">
        <f t="shared" si="30"/>
        <v>145.46666666666667</v>
      </c>
      <c r="L83">
        <v>121.5</v>
      </c>
      <c r="M83">
        <f t="shared" si="31"/>
        <v>121.13333333333333</v>
      </c>
      <c r="N83">
        <v>148.80000000000001</v>
      </c>
      <c r="O83">
        <f t="shared" si="32"/>
        <v>149.73333333333332</v>
      </c>
      <c r="P83">
        <v>215.7</v>
      </c>
      <c r="Q83">
        <f t="shared" si="33"/>
        <v>205.1</v>
      </c>
      <c r="R83">
        <v>134.6</v>
      </c>
      <c r="S83">
        <f t="shared" si="34"/>
        <v>132.03333333333333</v>
      </c>
      <c r="T83">
        <v>115</v>
      </c>
      <c r="U83">
        <f t="shared" si="35"/>
        <v>114.60000000000001</v>
      </c>
      <c r="V83">
        <v>146.30000000000001</v>
      </c>
      <c r="W83">
        <f t="shared" si="36"/>
        <v>145.1</v>
      </c>
      <c r="X83">
        <v>130.5</v>
      </c>
      <c r="Y83">
        <f t="shared" si="37"/>
        <v>130.23333333333332</v>
      </c>
      <c r="Z83">
        <v>157.19999999999999</v>
      </c>
      <c r="AA83">
        <f t="shared" si="38"/>
        <v>156.80000000000001</v>
      </c>
      <c r="AB83">
        <v>153.6</v>
      </c>
      <c r="AC83">
        <f t="shared" si="39"/>
        <v>151.66666666666666</v>
      </c>
      <c r="AD83">
        <v>169.9</v>
      </c>
      <c r="AE83">
        <f t="shared" si="40"/>
        <v>169.26666666666665</v>
      </c>
      <c r="AF83">
        <v>146.30000000000001</v>
      </c>
      <c r="AG83">
        <f t="shared" si="41"/>
        <v>145.83333333333334</v>
      </c>
      <c r="AH83">
        <v>132.6</v>
      </c>
      <c r="AI83">
        <f t="shared" si="42"/>
        <v>132.4</v>
      </c>
      <c r="AJ83">
        <v>144.19999999999999</v>
      </c>
      <c r="AK83">
        <f t="shared" si="43"/>
        <v>143.80000000000001</v>
      </c>
      <c r="AL83">
        <v>153.5</v>
      </c>
      <c r="AM83">
        <f t="shared" si="44"/>
        <v>152.9</v>
      </c>
      <c r="AN83">
        <v>132.19999999999999</v>
      </c>
      <c r="AO83">
        <f t="shared" si="45"/>
        <v>129.23333333333332</v>
      </c>
      <c r="AP83">
        <v>139.1</v>
      </c>
      <c r="AQ83">
        <f t="shared" si="46"/>
        <v>138.70000000000002</v>
      </c>
      <c r="AR83">
        <v>142.80000000000001</v>
      </c>
      <c r="AS83">
        <f t="shared" si="47"/>
        <v>142.36666666666667</v>
      </c>
      <c r="AT83">
        <v>121.7</v>
      </c>
      <c r="AU83">
        <f t="shared" si="48"/>
        <v>121.46666666666665</v>
      </c>
      <c r="AV83">
        <v>136.69999999999999</v>
      </c>
      <c r="AW83">
        <f t="shared" si="49"/>
        <v>136.26666666666668</v>
      </c>
      <c r="AX83">
        <v>151.80000000000001</v>
      </c>
      <c r="AY83">
        <f t="shared" si="50"/>
        <v>151.69999999999999</v>
      </c>
      <c r="AZ83">
        <v>139.80000000000001</v>
      </c>
      <c r="BA83">
        <f t="shared" si="51"/>
        <v>139.43333333333334</v>
      </c>
      <c r="BB83">
        <v>136.30000000000001</v>
      </c>
      <c r="BC83">
        <f t="shared" si="52"/>
        <v>136</v>
      </c>
      <c r="BD83">
        <v>147</v>
      </c>
      <c r="BE83">
        <f t="shared" si="53"/>
        <v>145.9</v>
      </c>
    </row>
    <row r="84" spans="1:57" hidden="1">
      <c r="A84" t="s">
        <v>33</v>
      </c>
      <c r="B84">
        <v>2019</v>
      </c>
      <c r="C84" t="s">
        <v>46</v>
      </c>
      <c r="D84">
        <v>144.9</v>
      </c>
      <c r="E84">
        <f t="shared" si="27"/>
        <v>144.16666666666666</v>
      </c>
      <c r="F84">
        <v>164.5</v>
      </c>
      <c r="G84">
        <f t="shared" si="28"/>
        <v>162.23333333333335</v>
      </c>
      <c r="H84">
        <v>153.69999999999999</v>
      </c>
      <c r="I84">
        <f t="shared" si="29"/>
        <v>148.93333333333334</v>
      </c>
      <c r="J84">
        <v>147.5</v>
      </c>
      <c r="K84">
        <f t="shared" si="30"/>
        <v>146.33333333333334</v>
      </c>
      <c r="L84">
        <v>122.7</v>
      </c>
      <c r="M84">
        <f t="shared" si="31"/>
        <v>121.76666666666667</v>
      </c>
      <c r="N84">
        <v>147.19999999999999</v>
      </c>
      <c r="O84">
        <f t="shared" si="32"/>
        <v>148.86666666666665</v>
      </c>
      <c r="P84">
        <v>231.5</v>
      </c>
      <c r="Q84">
        <f t="shared" si="33"/>
        <v>218.13333333333333</v>
      </c>
      <c r="R84">
        <v>137.19999999999999</v>
      </c>
      <c r="S84">
        <f t="shared" si="34"/>
        <v>134.33333333333331</v>
      </c>
      <c r="T84">
        <v>114.7</v>
      </c>
      <c r="U84">
        <f t="shared" si="35"/>
        <v>114.83333333333333</v>
      </c>
      <c r="V84">
        <v>148</v>
      </c>
      <c r="W84">
        <f t="shared" si="36"/>
        <v>146.5</v>
      </c>
      <c r="X84">
        <v>130.80000000000001</v>
      </c>
      <c r="Y84">
        <f t="shared" si="37"/>
        <v>130.5</v>
      </c>
      <c r="Z84">
        <v>157.69999999999999</v>
      </c>
      <c r="AA84">
        <f t="shared" si="38"/>
        <v>157.23333333333332</v>
      </c>
      <c r="AB84">
        <v>156.30000000000001</v>
      </c>
      <c r="AC84">
        <f t="shared" si="39"/>
        <v>153.93333333333334</v>
      </c>
      <c r="AD84">
        <v>170.4</v>
      </c>
      <c r="AE84">
        <f t="shared" si="40"/>
        <v>169.86666666666667</v>
      </c>
      <c r="AF84">
        <v>146.80000000000001</v>
      </c>
      <c r="AG84">
        <f t="shared" si="41"/>
        <v>146.33333333333334</v>
      </c>
      <c r="AH84">
        <v>132.80000000000001</v>
      </c>
      <c r="AI84">
        <f t="shared" si="42"/>
        <v>132.6</v>
      </c>
      <c r="AJ84">
        <v>144.6</v>
      </c>
      <c r="AK84">
        <f t="shared" si="43"/>
        <v>144.23333333333335</v>
      </c>
      <c r="AL84">
        <v>152.80000000000001</v>
      </c>
      <c r="AM84">
        <f t="shared" si="44"/>
        <v>153.1</v>
      </c>
      <c r="AN84">
        <v>133.6</v>
      </c>
      <c r="AO84">
        <f t="shared" si="45"/>
        <v>131.56666666666669</v>
      </c>
      <c r="AP84">
        <v>139.80000000000001</v>
      </c>
      <c r="AQ84">
        <f t="shared" si="46"/>
        <v>139.19999999999999</v>
      </c>
      <c r="AR84">
        <v>143.19999999999999</v>
      </c>
      <c r="AS84">
        <f t="shared" si="47"/>
        <v>142.80000000000001</v>
      </c>
      <c r="AT84">
        <v>125.2</v>
      </c>
      <c r="AU84">
        <f t="shared" si="48"/>
        <v>122.8</v>
      </c>
      <c r="AV84">
        <v>136.80000000000001</v>
      </c>
      <c r="AW84">
        <f t="shared" si="49"/>
        <v>136.56666666666666</v>
      </c>
      <c r="AX84">
        <v>151.9</v>
      </c>
      <c r="AY84">
        <f t="shared" si="50"/>
        <v>151.79999999999998</v>
      </c>
      <c r="AZ84">
        <v>140.19999999999999</v>
      </c>
      <c r="BA84">
        <f t="shared" si="51"/>
        <v>139.83333333333334</v>
      </c>
      <c r="BB84">
        <v>137.69999999999999</v>
      </c>
      <c r="BC84">
        <f t="shared" si="52"/>
        <v>136.66666666666666</v>
      </c>
      <c r="BD84">
        <v>148.30000000000001</v>
      </c>
      <c r="BE84">
        <f t="shared" si="53"/>
        <v>147.1</v>
      </c>
    </row>
    <row r="85" spans="1:57" hidden="1">
      <c r="A85" t="s">
        <v>33</v>
      </c>
      <c r="B85">
        <v>2020</v>
      </c>
      <c r="C85" t="s">
        <v>31</v>
      </c>
      <c r="D85">
        <v>145.6</v>
      </c>
      <c r="E85">
        <f t="shared" si="27"/>
        <v>144.86666666666667</v>
      </c>
      <c r="F85">
        <v>167.6</v>
      </c>
      <c r="G85">
        <f t="shared" si="28"/>
        <v>164.83333333333334</v>
      </c>
      <c r="H85">
        <v>157</v>
      </c>
      <c r="I85">
        <f t="shared" si="29"/>
        <v>153.03333333333333</v>
      </c>
      <c r="J85">
        <v>149.30000000000001</v>
      </c>
      <c r="K85">
        <f t="shared" si="30"/>
        <v>147.56666666666666</v>
      </c>
      <c r="L85">
        <v>126.3</v>
      </c>
      <c r="M85">
        <f t="shared" si="31"/>
        <v>123.5</v>
      </c>
      <c r="N85">
        <v>144.4</v>
      </c>
      <c r="O85">
        <f t="shared" si="32"/>
        <v>146.79999999999998</v>
      </c>
      <c r="P85">
        <v>207.8</v>
      </c>
      <c r="Q85">
        <f t="shared" si="33"/>
        <v>218.33333333333334</v>
      </c>
      <c r="R85">
        <v>139.1</v>
      </c>
      <c r="S85">
        <f t="shared" si="34"/>
        <v>136.96666666666667</v>
      </c>
      <c r="T85">
        <v>114.8</v>
      </c>
      <c r="U85">
        <f t="shared" si="35"/>
        <v>114.83333333333333</v>
      </c>
      <c r="V85">
        <v>149.5</v>
      </c>
      <c r="W85">
        <f t="shared" si="36"/>
        <v>147.93333333333334</v>
      </c>
      <c r="X85">
        <v>131.1</v>
      </c>
      <c r="Y85">
        <f t="shared" si="37"/>
        <v>130.79999999999998</v>
      </c>
      <c r="Z85">
        <v>158.5</v>
      </c>
      <c r="AA85">
        <f t="shared" si="38"/>
        <v>157.79999999999998</v>
      </c>
      <c r="AB85">
        <v>154.4</v>
      </c>
      <c r="AC85">
        <f t="shared" si="39"/>
        <v>154.76666666666665</v>
      </c>
      <c r="AD85">
        <v>170.8</v>
      </c>
      <c r="AE85">
        <f t="shared" si="40"/>
        <v>170.36666666666667</v>
      </c>
      <c r="AF85">
        <v>147</v>
      </c>
      <c r="AG85">
        <f t="shared" si="41"/>
        <v>146.70000000000002</v>
      </c>
      <c r="AH85">
        <v>133.19999999999999</v>
      </c>
      <c r="AI85">
        <f t="shared" si="42"/>
        <v>132.86666666666665</v>
      </c>
      <c r="AJ85">
        <v>144.9</v>
      </c>
      <c r="AK85">
        <f t="shared" si="43"/>
        <v>144.56666666666663</v>
      </c>
      <c r="AL85">
        <v>153.9</v>
      </c>
      <c r="AM85">
        <f t="shared" si="44"/>
        <v>153.4</v>
      </c>
      <c r="AN85">
        <v>135.1</v>
      </c>
      <c r="AO85">
        <f t="shared" si="45"/>
        <v>133.63333333333333</v>
      </c>
      <c r="AP85">
        <v>140.1</v>
      </c>
      <c r="AQ85">
        <f t="shared" si="46"/>
        <v>139.66666666666666</v>
      </c>
      <c r="AR85">
        <v>143.80000000000001</v>
      </c>
      <c r="AS85">
        <f t="shared" si="47"/>
        <v>143.26666666666668</v>
      </c>
      <c r="AT85">
        <v>126.1</v>
      </c>
      <c r="AU85">
        <f t="shared" si="48"/>
        <v>124.33333333333333</v>
      </c>
      <c r="AV85">
        <v>137.19999999999999</v>
      </c>
      <c r="AW85">
        <f t="shared" si="49"/>
        <v>136.9</v>
      </c>
      <c r="AX85">
        <v>152.1</v>
      </c>
      <c r="AY85">
        <f t="shared" si="50"/>
        <v>151.93333333333337</v>
      </c>
      <c r="AZ85">
        <v>142.1</v>
      </c>
      <c r="BA85">
        <f t="shared" si="51"/>
        <v>140.70000000000002</v>
      </c>
      <c r="BB85">
        <v>138.4</v>
      </c>
      <c r="BC85">
        <f t="shared" si="52"/>
        <v>137.46666666666667</v>
      </c>
      <c r="BD85">
        <v>148.19999999999999</v>
      </c>
      <c r="BE85">
        <f t="shared" si="53"/>
        <v>147.83333333333334</v>
      </c>
    </row>
    <row r="86" spans="1:57" hidden="1">
      <c r="A86" t="s">
        <v>33</v>
      </c>
      <c r="B86">
        <v>2020</v>
      </c>
      <c r="C86" t="s">
        <v>35</v>
      </c>
      <c r="D86">
        <v>146.19999999999999</v>
      </c>
      <c r="E86">
        <f t="shared" si="27"/>
        <v>145.56666666666666</v>
      </c>
      <c r="F86">
        <v>167.6</v>
      </c>
      <c r="G86">
        <f t="shared" si="28"/>
        <v>166.56666666666669</v>
      </c>
      <c r="H86">
        <v>153.1</v>
      </c>
      <c r="I86">
        <f t="shared" si="29"/>
        <v>154.6</v>
      </c>
      <c r="J86">
        <v>150.69999999999999</v>
      </c>
      <c r="K86">
        <f t="shared" si="30"/>
        <v>149.16666666666666</v>
      </c>
      <c r="L86">
        <v>127.4</v>
      </c>
      <c r="M86">
        <f t="shared" si="31"/>
        <v>125.46666666666665</v>
      </c>
      <c r="N86">
        <v>143.1</v>
      </c>
      <c r="O86">
        <f t="shared" si="32"/>
        <v>144.9</v>
      </c>
      <c r="P86">
        <v>181.7</v>
      </c>
      <c r="Q86">
        <f t="shared" si="33"/>
        <v>207</v>
      </c>
      <c r="R86">
        <v>139.6</v>
      </c>
      <c r="S86">
        <f t="shared" si="34"/>
        <v>138.63333333333333</v>
      </c>
      <c r="T86">
        <v>114.6</v>
      </c>
      <c r="U86">
        <f t="shared" si="35"/>
        <v>114.7</v>
      </c>
      <c r="V86">
        <v>150.4</v>
      </c>
      <c r="W86">
        <f t="shared" si="36"/>
        <v>149.29999999999998</v>
      </c>
      <c r="X86">
        <v>131.5</v>
      </c>
      <c r="Y86">
        <f t="shared" si="37"/>
        <v>131.13333333333333</v>
      </c>
      <c r="Z86">
        <v>159</v>
      </c>
      <c r="AA86">
        <f t="shared" si="38"/>
        <v>158.4</v>
      </c>
      <c r="AB86">
        <v>151.69999999999999</v>
      </c>
      <c r="AC86">
        <f t="shared" si="39"/>
        <v>154.13333333333335</v>
      </c>
      <c r="AD86">
        <v>172</v>
      </c>
      <c r="AE86">
        <f t="shared" si="40"/>
        <v>171.06666666666669</v>
      </c>
      <c r="AF86">
        <v>147.30000000000001</v>
      </c>
      <c r="AG86">
        <f t="shared" si="41"/>
        <v>147.03333333333333</v>
      </c>
      <c r="AH86">
        <v>133.5</v>
      </c>
      <c r="AI86">
        <f t="shared" si="42"/>
        <v>133.16666666666666</v>
      </c>
      <c r="AJ86">
        <v>145.19999999999999</v>
      </c>
      <c r="AK86">
        <f t="shared" si="43"/>
        <v>144.9</v>
      </c>
      <c r="AL86">
        <v>154.80000000000001</v>
      </c>
      <c r="AM86">
        <f t="shared" si="44"/>
        <v>153.83333333333334</v>
      </c>
      <c r="AN86">
        <v>138.9</v>
      </c>
      <c r="AO86">
        <f t="shared" si="45"/>
        <v>135.86666666666667</v>
      </c>
      <c r="AP86">
        <v>140.4</v>
      </c>
      <c r="AQ86">
        <f t="shared" si="46"/>
        <v>140.1</v>
      </c>
      <c r="AR86">
        <v>144.4</v>
      </c>
      <c r="AS86">
        <f t="shared" si="47"/>
        <v>143.79999999999998</v>
      </c>
      <c r="AT86">
        <v>125.2</v>
      </c>
      <c r="AU86">
        <f t="shared" si="48"/>
        <v>125.5</v>
      </c>
      <c r="AV86">
        <v>137.69999999999999</v>
      </c>
      <c r="AW86">
        <f t="shared" si="49"/>
        <v>137.23333333333332</v>
      </c>
      <c r="AX86">
        <v>152.19999999999999</v>
      </c>
      <c r="AY86">
        <f t="shared" si="50"/>
        <v>152.06666666666666</v>
      </c>
      <c r="AZ86">
        <v>143.5</v>
      </c>
      <c r="BA86">
        <f t="shared" si="51"/>
        <v>141.93333333333331</v>
      </c>
      <c r="BB86">
        <v>138.4</v>
      </c>
      <c r="BC86">
        <f t="shared" si="52"/>
        <v>138.16666666666666</v>
      </c>
      <c r="BD86">
        <v>147.69999999999999</v>
      </c>
      <c r="BE86">
        <f t="shared" si="53"/>
        <v>148.06666666666666</v>
      </c>
    </row>
    <row r="87" spans="1:57" hidden="1">
      <c r="A87" t="s">
        <v>33</v>
      </c>
      <c r="B87">
        <v>2020</v>
      </c>
      <c r="C87" t="s">
        <v>36</v>
      </c>
      <c r="D87">
        <v>146.5</v>
      </c>
      <c r="E87">
        <f t="shared" si="27"/>
        <v>146.1</v>
      </c>
      <c r="F87">
        <v>167.5</v>
      </c>
      <c r="G87">
        <f t="shared" si="28"/>
        <v>167.56666666666666</v>
      </c>
      <c r="H87">
        <v>148.9</v>
      </c>
      <c r="I87">
        <f t="shared" si="29"/>
        <v>153</v>
      </c>
      <c r="J87">
        <v>151.1</v>
      </c>
      <c r="K87">
        <f t="shared" si="30"/>
        <v>150.36666666666667</v>
      </c>
      <c r="L87">
        <v>127.5</v>
      </c>
      <c r="M87">
        <f t="shared" si="31"/>
        <v>127.06666666666666</v>
      </c>
      <c r="N87">
        <v>143.30000000000001</v>
      </c>
      <c r="O87">
        <f t="shared" si="32"/>
        <v>143.6</v>
      </c>
      <c r="P87">
        <v>167</v>
      </c>
      <c r="Q87">
        <f t="shared" si="33"/>
        <v>185.5</v>
      </c>
      <c r="R87">
        <v>139.69999999999999</v>
      </c>
      <c r="S87">
        <f t="shared" si="34"/>
        <v>139.46666666666667</v>
      </c>
      <c r="T87">
        <v>114.4</v>
      </c>
      <c r="U87">
        <f t="shared" si="35"/>
        <v>114.59999999999998</v>
      </c>
      <c r="V87">
        <v>151.5</v>
      </c>
      <c r="W87">
        <f t="shared" si="36"/>
        <v>150.46666666666667</v>
      </c>
      <c r="X87">
        <v>131.9</v>
      </c>
      <c r="Y87">
        <f t="shared" si="37"/>
        <v>131.5</v>
      </c>
      <c r="Z87">
        <v>159.1</v>
      </c>
      <c r="AA87">
        <f t="shared" si="38"/>
        <v>158.86666666666667</v>
      </c>
      <c r="AB87">
        <v>150.1</v>
      </c>
      <c r="AC87">
        <f t="shared" si="39"/>
        <v>152.06666666666669</v>
      </c>
      <c r="AD87">
        <v>173.3</v>
      </c>
      <c r="AE87">
        <f t="shared" si="40"/>
        <v>172.03333333333333</v>
      </c>
      <c r="AF87">
        <v>147.69999999999999</v>
      </c>
      <c r="AG87">
        <f t="shared" si="41"/>
        <v>147.33333333333334</v>
      </c>
      <c r="AH87">
        <v>133.80000000000001</v>
      </c>
      <c r="AI87">
        <f t="shared" si="42"/>
        <v>133.5</v>
      </c>
      <c r="AJ87">
        <v>145.6</v>
      </c>
      <c r="AK87">
        <f t="shared" si="43"/>
        <v>145.23333333333335</v>
      </c>
      <c r="AL87">
        <v>154.5</v>
      </c>
      <c r="AM87">
        <f t="shared" si="44"/>
        <v>154.4</v>
      </c>
      <c r="AN87">
        <v>141.4</v>
      </c>
      <c r="AO87">
        <f t="shared" si="45"/>
        <v>138.46666666666667</v>
      </c>
      <c r="AP87">
        <v>140.80000000000001</v>
      </c>
      <c r="AQ87">
        <f t="shared" si="46"/>
        <v>140.43333333333334</v>
      </c>
      <c r="AR87">
        <v>145</v>
      </c>
      <c r="AS87">
        <f t="shared" si="47"/>
        <v>144.4</v>
      </c>
      <c r="AT87">
        <v>124.6</v>
      </c>
      <c r="AU87">
        <f t="shared" si="48"/>
        <v>125.3</v>
      </c>
      <c r="AV87">
        <v>137.9</v>
      </c>
      <c r="AW87">
        <f t="shared" si="49"/>
        <v>137.6</v>
      </c>
      <c r="AX87">
        <v>152.5</v>
      </c>
      <c r="AY87">
        <f t="shared" si="50"/>
        <v>152.26666666666665</v>
      </c>
      <c r="AZ87">
        <v>145.30000000000001</v>
      </c>
      <c r="BA87">
        <f t="shared" si="51"/>
        <v>143.63333333333335</v>
      </c>
      <c r="BB87">
        <v>138.69999999999999</v>
      </c>
      <c r="BC87">
        <f t="shared" si="52"/>
        <v>138.5</v>
      </c>
      <c r="BD87">
        <v>147.30000000000001</v>
      </c>
      <c r="BE87">
        <f t="shared" si="53"/>
        <v>147.73333333333332</v>
      </c>
    </row>
    <row r="88" spans="1:57">
      <c r="A88" t="s">
        <v>33</v>
      </c>
      <c r="B88">
        <v>2020</v>
      </c>
      <c r="C88" t="s">
        <v>37</v>
      </c>
      <c r="D88">
        <v>151.80000000000001</v>
      </c>
      <c r="E88">
        <f t="shared" si="27"/>
        <v>148.16666666666666</v>
      </c>
      <c r="F88" t="s">
        <v>32</v>
      </c>
      <c r="G88">
        <f t="shared" si="28"/>
        <v>167.55</v>
      </c>
      <c r="H88">
        <v>151.9</v>
      </c>
      <c r="I88">
        <f t="shared" si="29"/>
        <v>151.29999999999998</v>
      </c>
      <c r="J88">
        <v>155.5</v>
      </c>
      <c r="K88">
        <f t="shared" si="30"/>
        <v>152.43333333333331</v>
      </c>
      <c r="L88">
        <v>131.6</v>
      </c>
      <c r="M88">
        <f t="shared" si="31"/>
        <v>128.83333333333334</v>
      </c>
      <c r="N88">
        <v>152.9</v>
      </c>
      <c r="O88">
        <f t="shared" si="32"/>
        <v>146.43333333333331</v>
      </c>
      <c r="P88">
        <v>180</v>
      </c>
      <c r="Q88">
        <f t="shared" si="33"/>
        <v>176.23333333333335</v>
      </c>
      <c r="R88">
        <v>150.80000000000001</v>
      </c>
      <c r="S88">
        <f t="shared" si="34"/>
        <v>143.36666666666665</v>
      </c>
      <c r="T88">
        <v>121.2</v>
      </c>
      <c r="U88">
        <f t="shared" si="35"/>
        <v>116.73333333333333</v>
      </c>
      <c r="V88">
        <v>154</v>
      </c>
      <c r="W88">
        <f t="shared" si="36"/>
        <v>151.96666666666667</v>
      </c>
      <c r="X88">
        <v>133.5</v>
      </c>
      <c r="Y88">
        <f t="shared" si="37"/>
        <v>132.29999999999998</v>
      </c>
      <c r="Z88" t="s">
        <v>32</v>
      </c>
      <c r="AA88">
        <f t="shared" si="38"/>
        <v>159.05000000000001</v>
      </c>
      <c r="AB88">
        <v>153.5</v>
      </c>
      <c r="AC88">
        <f t="shared" si="39"/>
        <v>151.76666666666665</v>
      </c>
      <c r="AD88" t="s">
        <v>32</v>
      </c>
      <c r="AE88">
        <f t="shared" si="40"/>
        <v>172.65</v>
      </c>
      <c r="AF88" t="s">
        <v>32</v>
      </c>
      <c r="AG88">
        <f t="shared" si="41"/>
        <v>147.5</v>
      </c>
      <c r="AH88" t="s">
        <v>32</v>
      </c>
      <c r="AI88">
        <f t="shared" si="42"/>
        <v>133.65</v>
      </c>
      <c r="AJ88" t="s">
        <v>32</v>
      </c>
      <c r="AK88">
        <f t="shared" si="43"/>
        <v>145.39999999999998</v>
      </c>
      <c r="AL88">
        <v>155.6</v>
      </c>
      <c r="AM88">
        <f t="shared" si="44"/>
        <v>154.96666666666667</v>
      </c>
      <c r="AN88">
        <v>137.1</v>
      </c>
      <c r="AO88">
        <f t="shared" si="45"/>
        <v>139.13333333333333</v>
      </c>
      <c r="AP88" t="s">
        <v>32</v>
      </c>
      <c r="AQ88">
        <f t="shared" si="46"/>
        <v>140.60000000000002</v>
      </c>
      <c r="AR88">
        <v>144.80000000000001</v>
      </c>
      <c r="AS88">
        <f t="shared" si="47"/>
        <v>144.73333333333332</v>
      </c>
      <c r="AT88" t="s">
        <v>32</v>
      </c>
      <c r="AU88">
        <f t="shared" si="48"/>
        <v>124.9</v>
      </c>
      <c r="AV88" t="s">
        <v>32</v>
      </c>
      <c r="AW88">
        <f t="shared" si="49"/>
        <v>137.80000000000001</v>
      </c>
      <c r="AX88" t="s">
        <v>32</v>
      </c>
      <c r="AY88">
        <f t="shared" si="50"/>
        <v>152.35</v>
      </c>
      <c r="AZ88" t="s">
        <v>32</v>
      </c>
      <c r="BA88">
        <f t="shared" si="51"/>
        <v>144.4</v>
      </c>
      <c r="BB88" t="s">
        <v>32</v>
      </c>
      <c r="BC88">
        <f t="shared" si="52"/>
        <v>138.55000000000001</v>
      </c>
      <c r="BD88" t="s">
        <v>32</v>
      </c>
      <c r="BE88">
        <f t="shared" si="53"/>
        <v>147.5</v>
      </c>
    </row>
    <row r="89" spans="1:57">
      <c r="A89" t="s">
        <v>33</v>
      </c>
      <c r="B89">
        <v>2020</v>
      </c>
      <c r="C89" t="s">
        <v>38</v>
      </c>
      <c r="D89" t="s">
        <v>32</v>
      </c>
      <c r="E89">
        <f t="shared" si="27"/>
        <v>149.15</v>
      </c>
      <c r="F89" t="s">
        <v>32</v>
      </c>
      <c r="G89">
        <f t="shared" si="28"/>
        <v>167.5</v>
      </c>
      <c r="H89" t="s">
        <v>32</v>
      </c>
      <c r="I89">
        <f t="shared" si="29"/>
        <v>150.4</v>
      </c>
      <c r="J89" t="s">
        <v>32</v>
      </c>
      <c r="K89">
        <f t="shared" si="30"/>
        <v>153.30000000000001</v>
      </c>
      <c r="L89" t="s">
        <v>32</v>
      </c>
      <c r="M89">
        <f t="shared" si="31"/>
        <v>129.55000000000001</v>
      </c>
      <c r="N89" t="s">
        <v>32</v>
      </c>
      <c r="O89">
        <f t="shared" si="32"/>
        <v>148.10000000000002</v>
      </c>
      <c r="P89" t="s">
        <v>32</v>
      </c>
      <c r="Q89">
        <f t="shared" si="33"/>
        <v>173.5</v>
      </c>
      <c r="R89" t="s">
        <v>32</v>
      </c>
      <c r="S89">
        <f t="shared" si="34"/>
        <v>145.25</v>
      </c>
      <c r="T89" t="s">
        <v>32</v>
      </c>
      <c r="U89">
        <f t="shared" si="35"/>
        <v>117.80000000000001</v>
      </c>
      <c r="V89" t="s">
        <v>32</v>
      </c>
      <c r="W89">
        <f t="shared" si="36"/>
        <v>152.75</v>
      </c>
      <c r="X89" t="s">
        <v>32</v>
      </c>
      <c r="Y89">
        <f t="shared" si="37"/>
        <v>132.69999999999999</v>
      </c>
      <c r="Z89" t="s">
        <v>32</v>
      </c>
      <c r="AA89">
        <f t="shared" si="38"/>
        <v>159.1</v>
      </c>
      <c r="AB89" t="s">
        <v>32</v>
      </c>
      <c r="AC89">
        <f t="shared" si="39"/>
        <v>151.80000000000001</v>
      </c>
      <c r="AD89" t="s">
        <v>32</v>
      </c>
      <c r="AE89">
        <f t="shared" si="40"/>
        <v>173.3</v>
      </c>
      <c r="AF89" t="s">
        <v>32</v>
      </c>
      <c r="AG89">
        <f t="shared" si="41"/>
        <v>147.69999999999999</v>
      </c>
      <c r="AH89" t="s">
        <v>32</v>
      </c>
      <c r="AI89">
        <f t="shared" si="42"/>
        <v>133.80000000000001</v>
      </c>
      <c r="AJ89" t="s">
        <v>32</v>
      </c>
      <c r="AK89">
        <f t="shared" si="43"/>
        <v>145.6</v>
      </c>
      <c r="AL89" t="s">
        <v>32</v>
      </c>
      <c r="AM89">
        <f t="shared" si="44"/>
        <v>155.05000000000001</v>
      </c>
      <c r="AN89" t="s">
        <v>32</v>
      </c>
      <c r="AO89">
        <f t="shared" si="45"/>
        <v>139.25</v>
      </c>
      <c r="AP89" t="s">
        <v>32</v>
      </c>
      <c r="AQ89">
        <f t="shared" si="46"/>
        <v>140.80000000000001</v>
      </c>
      <c r="AR89" t="s">
        <v>32</v>
      </c>
      <c r="AS89">
        <f t="shared" si="47"/>
        <v>144.9</v>
      </c>
      <c r="AT89" t="s">
        <v>32</v>
      </c>
      <c r="AU89">
        <f t="shared" si="48"/>
        <v>124.6</v>
      </c>
      <c r="AV89" t="s">
        <v>32</v>
      </c>
      <c r="AW89">
        <f t="shared" si="49"/>
        <v>137.9</v>
      </c>
      <c r="AX89" t="s">
        <v>32</v>
      </c>
      <c r="AY89">
        <f t="shared" si="50"/>
        <v>152.5</v>
      </c>
      <c r="AZ89" t="s">
        <v>32</v>
      </c>
      <c r="BA89">
        <f t="shared" si="51"/>
        <v>145.30000000000001</v>
      </c>
      <c r="BB89" t="s">
        <v>32</v>
      </c>
      <c r="BC89">
        <f t="shared" si="52"/>
        <v>138.69999999999999</v>
      </c>
      <c r="BD89" t="s">
        <v>32</v>
      </c>
      <c r="BE89">
        <f t="shared" si="53"/>
        <v>147.30000000000001</v>
      </c>
    </row>
    <row r="90" spans="1:57" hidden="1">
      <c r="A90" t="s">
        <v>33</v>
      </c>
      <c r="B90">
        <v>2020</v>
      </c>
      <c r="C90" t="s">
        <v>39</v>
      </c>
      <c r="D90">
        <v>152.69999999999999</v>
      </c>
      <c r="E90">
        <f t="shared" si="27"/>
        <v>152.25</v>
      </c>
      <c r="F90">
        <v>197</v>
      </c>
      <c r="G90">
        <f t="shared" si="28"/>
        <v>197</v>
      </c>
      <c r="H90">
        <v>154.6</v>
      </c>
      <c r="I90">
        <f t="shared" si="29"/>
        <v>153.25</v>
      </c>
      <c r="J90">
        <v>153.4</v>
      </c>
      <c r="K90">
        <f t="shared" si="30"/>
        <v>154.44999999999999</v>
      </c>
      <c r="L90">
        <v>132.9</v>
      </c>
      <c r="M90">
        <f t="shared" si="31"/>
        <v>132.25</v>
      </c>
      <c r="N90">
        <v>151.80000000000001</v>
      </c>
      <c r="O90">
        <f t="shared" si="32"/>
        <v>152.35000000000002</v>
      </c>
      <c r="P90">
        <v>171.2</v>
      </c>
      <c r="Q90">
        <f t="shared" si="33"/>
        <v>175.6</v>
      </c>
      <c r="R90">
        <v>152</v>
      </c>
      <c r="S90">
        <f t="shared" si="34"/>
        <v>151.4</v>
      </c>
      <c r="T90">
        <v>116.3</v>
      </c>
      <c r="U90">
        <f t="shared" si="35"/>
        <v>118.75</v>
      </c>
      <c r="V90">
        <v>158.80000000000001</v>
      </c>
      <c r="W90">
        <f t="shared" si="36"/>
        <v>156.4</v>
      </c>
      <c r="X90">
        <v>135.6</v>
      </c>
      <c r="Y90">
        <f t="shared" si="37"/>
        <v>134.55000000000001</v>
      </c>
      <c r="Z90">
        <v>161.69999999999999</v>
      </c>
      <c r="AA90">
        <f t="shared" si="38"/>
        <v>161.69999999999999</v>
      </c>
      <c r="AB90">
        <v>157</v>
      </c>
      <c r="AC90">
        <f t="shared" si="39"/>
        <v>155.25</v>
      </c>
      <c r="AD90">
        <v>186.7</v>
      </c>
      <c r="AE90">
        <f t="shared" si="40"/>
        <v>186.7</v>
      </c>
      <c r="AF90">
        <v>149.1</v>
      </c>
      <c r="AG90">
        <f t="shared" si="41"/>
        <v>149.1</v>
      </c>
      <c r="AH90">
        <v>136.6</v>
      </c>
      <c r="AI90">
        <f t="shared" si="42"/>
        <v>136.6</v>
      </c>
      <c r="AJ90">
        <v>147.19999999999999</v>
      </c>
      <c r="AK90">
        <f t="shared" si="43"/>
        <v>147.19999999999999</v>
      </c>
      <c r="AL90">
        <v>154.69999999999999</v>
      </c>
      <c r="AM90">
        <f t="shared" si="44"/>
        <v>155.14999999999998</v>
      </c>
      <c r="AN90">
        <v>137.1</v>
      </c>
      <c r="AO90">
        <f t="shared" si="45"/>
        <v>137.1</v>
      </c>
      <c r="AP90">
        <v>140.4</v>
      </c>
      <c r="AQ90">
        <f t="shared" si="46"/>
        <v>140.4</v>
      </c>
      <c r="AR90">
        <v>148.1</v>
      </c>
      <c r="AS90">
        <f t="shared" si="47"/>
        <v>146.44999999999999</v>
      </c>
      <c r="AT90">
        <v>129.30000000000001</v>
      </c>
      <c r="AU90">
        <f t="shared" si="48"/>
        <v>129.30000000000001</v>
      </c>
      <c r="AV90">
        <v>144.5</v>
      </c>
      <c r="AW90">
        <f t="shared" si="49"/>
        <v>144.5</v>
      </c>
      <c r="AX90">
        <v>152.5</v>
      </c>
      <c r="AY90">
        <f t="shared" si="50"/>
        <v>152.5</v>
      </c>
      <c r="AZ90">
        <v>152.19999999999999</v>
      </c>
      <c r="BA90">
        <f t="shared" si="51"/>
        <v>152.19999999999999</v>
      </c>
      <c r="BB90">
        <v>142</v>
      </c>
      <c r="BC90">
        <f t="shared" si="52"/>
        <v>142</v>
      </c>
      <c r="BD90">
        <v>150.80000000000001</v>
      </c>
      <c r="BE90">
        <f t="shared" si="53"/>
        <v>150.80000000000001</v>
      </c>
    </row>
    <row r="91" spans="1:57" hidden="1">
      <c r="A91" t="s">
        <v>33</v>
      </c>
      <c r="B91">
        <v>2020</v>
      </c>
      <c r="C91" t="s">
        <v>40</v>
      </c>
      <c r="D91">
        <v>152.69999999999999</v>
      </c>
      <c r="E91">
        <f t="shared" si="27"/>
        <v>152.69999999999999</v>
      </c>
      <c r="F91">
        <v>197</v>
      </c>
      <c r="G91">
        <f t="shared" si="28"/>
        <v>197</v>
      </c>
      <c r="H91">
        <v>154.6</v>
      </c>
      <c r="I91">
        <f t="shared" si="29"/>
        <v>154.6</v>
      </c>
      <c r="J91">
        <v>153.4</v>
      </c>
      <c r="K91">
        <f t="shared" si="30"/>
        <v>153.4</v>
      </c>
      <c r="L91">
        <v>132.9</v>
      </c>
      <c r="M91">
        <f t="shared" si="31"/>
        <v>132.9</v>
      </c>
      <c r="N91">
        <v>151.80000000000001</v>
      </c>
      <c r="O91">
        <f t="shared" si="32"/>
        <v>151.80000000000001</v>
      </c>
      <c r="P91">
        <v>171.2</v>
      </c>
      <c r="Q91">
        <f t="shared" si="33"/>
        <v>171.2</v>
      </c>
      <c r="R91">
        <v>152</v>
      </c>
      <c r="S91">
        <f t="shared" si="34"/>
        <v>152</v>
      </c>
      <c r="T91">
        <v>116.3</v>
      </c>
      <c r="U91">
        <f t="shared" si="35"/>
        <v>116.3</v>
      </c>
      <c r="V91">
        <v>158.80000000000001</v>
      </c>
      <c r="W91">
        <f t="shared" si="36"/>
        <v>158.80000000000001</v>
      </c>
      <c r="X91">
        <v>135.6</v>
      </c>
      <c r="Y91">
        <f t="shared" si="37"/>
        <v>135.6</v>
      </c>
      <c r="Z91">
        <v>161.69999999999999</v>
      </c>
      <c r="AA91">
        <f t="shared" si="38"/>
        <v>161.69999999999999</v>
      </c>
      <c r="AB91">
        <v>157</v>
      </c>
      <c r="AC91">
        <f t="shared" si="39"/>
        <v>157</v>
      </c>
      <c r="AD91">
        <v>186.7</v>
      </c>
      <c r="AE91">
        <f t="shared" si="40"/>
        <v>186.7</v>
      </c>
      <c r="AF91">
        <v>149.1</v>
      </c>
      <c r="AG91">
        <f t="shared" si="41"/>
        <v>149.1</v>
      </c>
      <c r="AH91">
        <v>136.6</v>
      </c>
      <c r="AI91">
        <f t="shared" si="42"/>
        <v>136.6</v>
      </c>
      <c r="AJ91">
        <v>147.19999999999999</v>
      </c>
      <c r="AK91">
        <f t="shared" si="43"/>
        <v>147.19999999999999</v>
      </c>
      <c r="AL91">
        <v>154.69999999999999</v>
      </c>
      <c r="AM91">
        <f t="shared" si="44"/>
        <v>154.69999999999999</v>
      </c>
      <c r="AN91">
        <v>137.1</v>
      </c>
      <c r="AO91">
        <f t="shared" si="45"/>
        <v>137.1</v>
      </c>
      <c r="AP91">
        <v>140.4</v>
      </c>
      <c r="AQ91">
        <f t="shared" si="46"/>
        <v>140.4</v>
      </c>
      <c r="AR91">
        <v>148.1</v>
      </c>
      <c r="AS91">
        <f t="shared" si="47"/>
        <v>148.1</v>
      </c>
      <c r="AT91">
        <v>129.30000000000001</v>
      </c>
      <c r="AU91">
        <f t="shared" si="48"/>
        <v>129.30000000000001</v>
      </c>
      <c r="AV91">
        <v>144.5</v>
      </c>
      <c r="AW91">
        <f t="shared" si="49"/>
        <v>144.5</v>
      </c>
      <c r="AX91">
        <v>152.5</v>
      </c>
      <c r="AY91">
        <f t="shared" si="50"/>
        <v>152.5</v>
      </c>
      <c r="AZ91">
        <v>152.19999999999999</v>
      </c>
      <c r="BA91">
        <f t="shared" si="51"/>
        <v>152.19999999999999</v>
      </c>
      <c r="BB91">
        <v>142</v>
      </c>
      <c r="BC91">
        <f t="shared" si="52"/>
        <v>142</v>
      </c>
      <c r="BD91">
        <v>150.80000000000001</v>
      </c>
      <c r="BE91">
        <f t="shared" si="53"/>
        <v>150.80000000000001</v>
      </c>
    </row>
    <row r="92" spans="1:57" hidden="1">
      <c r="A92" t="s">
        <v>33</v>
      </c>
      <c r="B92">
        <v>2020</v>
      </c>
      <c r="C92" t="s">
        <v>41</v>
      </c>
      <c r="D92">
        <v>151.6</v>
      </c>
      <c r="E92">
        <f t="shared" si="27"/>
        <v>152.33333333333334</v>
      </c>
      <c r="F92">
        <v>197.8</v>
      </c>
      <c r="G92">
        <f t="shared" si="28"/>
        <v>197.26666666666665</v>
      </c>
      <c r="H92">
        <v>154.5</v>
      </c>
      <c r="I92">
        <f t="shared" si="29"/>
        <v>154.56666666666666</v>
      </c>
      <c r="J92">
        <v>153.4</v>
      </c>
      <c r="K92">
        <f t="shared" si="30"/>
        <v>153.4</v>
      </c>
      <c r="L92">
        <v>133.4</v>
      </c>
      <c r="M92">
        <f t="shared" si="31"/>
        <v>133.06666666666669</v>
      </c>
      <c r="N92">
        <v>154.5</v>
      </c>
      <c r="O92">
        <f t="shared" si="32"/>
        <v>152.70000000000002</v>
      </c>
      <c r="P92">
        <v>191.9</v>
      </c>
      <c r="Q92">
        <f t="shared" si="33"/>
        <v>178.1</v>
      </c>
      <c r="R92">
        <v>151.30000000000001</v>
      </c>
      <c r="S92">
        <f t="shared" si="34"/>
        <v>151.76666666666668</v>
      </c>
      <c r="T92">
        <v>116.8</v>
      </c>
      <c r="U92">
        <f t="shared" si="35"/>
        <v>116.46666666666665</v>
      </c>
      <c r="V92">
        <v>160</v>
      </c>
      <c r="W92">
        <f t="shared" si="36"/>
        <v>159.20000000000002</v>
      </c>
      <c r="X92">
        <v>136.5</v>
      </c>
      <c r="Y92">
        <f t="shared" si="37"/>
        <v>135.9</v>
      </c>
      <c r="Z92">
        <v>163.30000000000001</v>
      </c>
      <c r="AA92">
        <f t="shared" si="38"/>
        <v>162.23333333333332</v>
      </c>
      <c r="AB92">
        <v>159.9</v>
      </c>
      <c r="AC92">
        <f t="shared" si="39"/>
        <v>157.96666666666667</v>
      </c>
      <c r="AD92">
        <v>187.2</v>
      </c>
      <c r="AE92">
        <f t="shared" si="40"/>
        <v>186.86666666666665</v>
      </c>
      <c r="AF92">
        <v>150</v>
      </c>
      <c r="AG92">
        <f t="shared" si="41"/>
        <v>149.4</v>
      </c>
      <c r="AH92">
        <v>135.19999999999999</v>
      </c>
      <c r="AI92">
        <f t="shared" si="42"/>
        <v>136.13333333333333</v>
      </c>
      <c r="AJ92">
        <v>147.80000000000001</v>
      </c>
      <c r="AK92">
        <f t="shared" si="43"/>
        <v>147.4</v>
      </c>
      <c r="AL92">
        <v>155.5</v>
      </c>
      <c r="AM92">
        <f t="shared" si="44"/>
        <v>154.96666666666667</v>
      </c>
      <c r="AN92">
        <v>138.30000000000001</v>
      </c>
      <c r="AO92">
        <f t="shared" si="45"/>
        <v>137.5</v>
      </c>
      <c r="AP92">
        <v>144.5</v>
      </c>
      <c r="AQ92">
        <f t="shared" si="46"/>
        <v>141.76666666666668</v>
      </c>
      <c r="AR92">
        <v>148.69999999999999</v>
      </c>
      <c r="AS92">
        <f t="shared" si="47"/>
        <v>148.29999999999998</v>
      </c>
      <c r="AT92">
        <v>133.9</v>
      </c>
      <c r="AU92">
        <f t="shared" si="48"/>
        <v>130.83333333333334</v>
      </c>
      <c r="AV92">
        <v>141.19999999999999</v>
      </c>
      <c r="AW92">
        <f t="shared" si="49"/>
        <v>143.4</v>
      </c>
      <c r="AX92">
        <v>155.5</v>
      </c>
      <c r="AY92">
        <f t="shared" si="50"/>
        <v>153.5</v>
      </c>
      <c r="AZ92">
        <v>155.19999999999999</v>
      </c>
      <c r="BA92">
        <f t="shared" si="51"/>
        <v>153.19999999999999</v>
      </c>
      <c r="BB92">
        <v>144.80000000000001</v>
      </c>
      <c r="BC92">
        <f t="shared" si="52"/>
        <v>142.93333333333334</v>
      </c>
      <c r="BD92">
        <v>152.9</v>
      </c>
      <c r="BE92">
        <f t="shared" si="53"/>
        <v>151.5</v>
      </c>
    </row>
    <row r="93" spans="1:57" hidden="1">
      <c r="A93" t="s">
        <v>33</v>
      </c>
      <c r="B93">
        <v>2020</v>
      </c>
      <c r="C93" t="s">
        <v>42</v>
      </c>
      <c r="D93">
        <v>151.5</v>
      </c>
      <c r="E93">
        <f t="shared" si="27"/>
        <v>151.93333333333331</v>
      </c>
      <c r="F93">
        <v>193.1</v>
      </c>
      <c r="G93">
        <f t="shared" si="28"/>
        <v>195.96666666666667</v>
      </c>
      <c r="H93">
        <v>157.30000000000001</v>
      </c>
      <c r="I93">
        <f t="shared" si="29"/>
        <v>155.46666666666667</v>
      </c>
      <c r="J93">
        <v>153.9</v>
      </c>
      <c r="K93">
        <f t="shared" si="30"/>
        <v>153.56666666666669</v>
      </c>
      <c r="L93">
        <v>134.4</v>
      </c>
      <c r="M93">
        <f t="shared" si="31"/>
        <v>133.56666666666669</v>
      </c>
      <c r="N93">
        <v>155.4</v>
      </c>
      <c r="O93">
        <f t="shared" si="32"/>
        <v>153.9</v>
      </c>
      <c r="P93">
        <v>202</v>
      </c>
      <c r="Q93">
        <f t="shared" si="33"/>
        <v>188.36666666666667</v>
      </c>
      <c r="R93">
        <v>150.80000000000001</v>
      </c>
      <c r="S93">
        <f t="shared" si="34"/>
        <v>151.36666666666667</v>
      </c>
      <c r="T93">
        <v>118.9</v>
      </c>
      <c r="U93">
        <f t="shared" si="35"/>
        <v>117.33333333333333</v>
      </c>
      <c r="V93">
        <v>160.9</v>
      </c>
      <c r="W93">
        <f t="shared" si="36"/>
        <v>159.9</v>
      </c>
      <c r="X93">
        <v>137.69999999999999</v>
      </c>
      <c r="Y93">
        <f t="shared" si="37"/>
        <v>136.6</v>
      </c>
      <c r="Z93">
        <v>164.4</v>
      </c>
      <c r="AA93">
        <f t="shared" si="38"/>
        <v>163.13333333333333</v>
      </c>
      <c r="AB93">
        <v>161.30000000000001</v>
      </c>
      <c r="AC93">
        <f t="shared" si="39"/>
        <v>159.4</v>
      </c>
      <c r="AD93">
        <v>188.7</v>
      </c>
      <c r="AE93">
        <f t="shared" si="40"/>
        <v>187.5333333333333</v>
      </c>
      <c r="AF93">
        <v>150.19999999999999</v>
      </c>
      <c r="AG93">
        <f t="shared" si="41"/>
        <v>149.76666666666668</v>
      </c>
      <c r="AH93">
        <v>136.30000000000001</v>
      </c>
      <c r="AI93">
        <f t="shared" si="42"/>
        <v>136.03333333333333</v>
      </c>
      <c r="AJ93">
        <v>148.1</v>
      </c>
      <c r="AK93">
        <f t="shared" si="43"/>
        <v>147.70000000000002</v>
      </c>
      <c r="AL93">
        <v>156.30000000000001</v>
      </c>
      <c r="AM93">
        <f t="shared" si="44"/>
        <v>155.5</v>
      </c>
      <c r="AN93">
        <v>137.19999999999999</v>
      </c>
      <c r="AO93">
        <f t="shared" si="45"/>
        <v>137.53333333333333</v>
      </c>
      <c r="AP93">
        <v>145.4</v>
      </c>
      <c r="AQ93">
        <f t="shared" si="46"/>
        <v>143.43333333333331</v>
      </c>
      <c r="AR93">
        <v>150</v>
      </c>
      <c r="AS93">
        <f t="shared" si="47"/>
        <v>148.93333333333331</v>
      </c>
      <c r="AT93">
        <v>135.1</v>
      </c>
      <c r="AU93">
        <f t="shared" si="48"/>
        <v>132.76666666666668</v>
      </c>
      <c r="AV93">
        <v>141.80000000000001</v>
      </c>
      <c r="AW93">
        <f t="shared" si="49"/>
        <v>142.5</v>
      </c>
      <c r="AX93">
        <v>154.9</v>
      </c>
      <c r="AY93">
        <f t="shared" si="50"/>
        <v>154.29999999999998</v>
      </c>
      <c r="AZ93">
        <v>159.80000000000001</v>
      </c>
      <c r="BA93">
        <f t="shared" si="51"/>
        <v>155.73333333333332</v>
      </c>
      <c r="BB93">
        <v>146</v>
      </c>
      <c r="BC93">
        <f t="shared" si="52"/>
        <v>144.26666666666668</v>
      </c>
      <c r="BD93">
        <v>154</v>
      </c>
      <c r="BE93">
        <f t="shared" si="53"/>
        <v>152.56666666666669</v>
      </c>
    </row>
    <row r="94" spans="1:57" hidden="1">
      <c r="A94" t="s">
        <v>33</v>
      </c>
      <c r="B94">
        <v>2020</v>
      </c>
      <c r="C94" t="s">
        <v>43</v>
      </c>
      <c r="D94">
        <v>150.6</v>
      </c>
      <c r="E94">
        <f t="shared" si="27"/>
        <v>151.23333333333335</v>
      </c>
      <c r="F94">
        <v>193.7</v>
      </c>
      <c r="G94">
        <f t="shared" si="28"/>
        <v>194.86666666666665</v>
      </c>
      <c r="H94">
        <v>164.8</v>
      </c>
      <c r="I94">
        <f t="shared" si="29"/>
        <v>158.86666666666667</v>
      </c>
      <c r="J94">
        <v>153.69999999999999</v>
      </c>
      <c r="K94">
        <f t="shared" si="30"/>
        <v>153.66666666666666</v>
      </c>
      <c r="L94">
        <v>135.69999999999999</v>
      </c>
      <c r="M94">
        <f t="shared" si="31"/>
        <v>134.5</v>
      </c>
      <c r="N94">
        <v>155.69999999999999</v>
      </c>
      <c r="O94">
        <f t="shared" si="32"/>
        <v>155.19999999999999</v>
      </c>
      <c r="P94">
        <v>226</v>
      </c>
      <c r="Q94">
        <f t="shared" si="33"/>
        <v>206.63333333333333</v>
      </c>
      <c r="R94">
        <v>152.19999999999999</v>
      </c>
      <c r="S94">
        <f t="shared" si="34"/>
        <v>151.43333333333334</v>
      </c>
      <c r="T94">
        <v>118.1</v>
      </c>
      <c r="U94">
        <f t="shared" si="35"/>
        <v>117.93333333333332</v>
      </c>
      <c r="V94">
        <v>161.30000000000001</v>
      </c>
      <c r="W94">
        <f t="shared" si="36"/>
        <v>160.73333333333332</v>
      </c>
      <c r="X94">
        <v>139.19999999999999</v>
      </c>
      <c r="Y94">
        <f t="shared" si="37"/>
        <v>137.79999999999998</v>
      </c>
      <c r="Z94">
        <v>164.8</v>
      </c>
      <c r="AA94">
        <f t="shared" si="38"/>
        <v>164.16666666666669</v>
      </c>
      <c r="AB94">
        <v>164.4</v>
      </c>
      <c r="AC94">
        <f t="shared" si="39"/>
        <v>161.86666666666667</v>
      </c>
      <c r="AD94">
        <v>188.7</v>
      </c>
      <c r="AE94">
        <f t="shared" si="40"/>
        <v>188.19999999999996</v>
      </c>
      <c r="AF94">
        <v>150.5</v>
      </c>
      <c r="AG94">
        <f t="shared" si="41"/>
        <v>150.23333333333332</v>
      </c>
      <c r="AH94">
        <v>136.1</v>
      </c>
      <c r="AI94">
        <f t="shared" si="42"/>
        <v>135.86666666666667</v>
      </c>
      <c r="AJ94">
        <v>148.30000000000001</v>
      </c>
      <c r="AK94">
        <f t="shared" si="43"/>
        <v>148.06666666666666</v>
      </c>
      <c r="AL94">
        <v>156.5</v>
      </c>
      <c r="AM94">
        <f t="shared" si="44"/>
        <v>156.1</v>
      </c>
      <c r="AN94">
        <v>137.1</v>
      </c>
      <c r="AO94">
        <f t="shared" si="45"/>
        <v>137.53333333333333</v>
      </c>
      <c r="AP94">
        <v>145.1</v>
      </c>
      <c r="AQ94">
        <f t="shared" si="46"/>
        <v>145</v>
      </c>
      <c r="AR94">
        <v>151</v>
      </c>
      <c r="AS94">
        <f t="shared" si="47"/>
        <v>149.9</v>
      </c>
      <c r="AT94">
        <v>135.4</v>
      </c>
      <c r="AU94">
        <f t="shared" si="48"/>
        <v>134.79999999999998</v>
      </c>
      <c r="AV94">
        <v>142</v>
      </c>
      <c r="AW94">
        <f t="shared" si="49"/>
        <v>141.66666666666666</v>
      </c>
      <c r="AX94">
        <v>155.69999999999999</v>
      </c>
      <c r="AY94">
        <f t="shared" si="50"/>
        <v>155.36666666666665</v>
      </c>
      <c r="AZ94">
        <v>158.1</v>
      </c>
      <c r="BA94">
        <f t="shared" si="51"/>
        <v>157.70000000000002</v>
      </c>
      <c r="BB94">
        <v>146.19999999999999</v>
      </c>
      <c r="BC94">
        <f t="shared" si="52"/>
        <v>145.66666666666666</v>
      </c>
      <c r="BD94">
        <v>155.19999999999999</v>
      </c>
      <c r="BE94">
        <f t="shared" si="53"/>
        <v>154.03333333333333</v>
      </c>
    </row>
    <row r="95" spans="1:57" hidden="1">
      <c r="A95" t="s">
        <v>33</v>
      </c>
      <c r="B95">
        <v>2020</v>
      </c>
      <c r="C95" t="s">
        <v>45</v>
      </c>
      <c r="D95">
        <v>149.69999999999999</v>
      </c>
      <c r="E95">
        <f t="shared" si="27"/>
        <v>150.6</v>
      </c>
      <c r="F95">
        <v>195.5</v>
      </c>
      <c r="G95">
        <f t="shared" si="28"/>
        <v>194.1</v>
      </c>
      <c r="H95">
        <v>176.9</v>
      </c>
      <c r="I95">
        <f t="shared" si="29"/>
        <v>166.33333333333334</v>
      </c>
      <c r="J95">
        <v>153.9</v>
      </c>
      <c r="K95">
        <f t="shared" si="30"/>
        <v>153.83333333333334</v>
      </c>
      <c r="L95">
        <v>138</v>
      </c>
      <c r="M95">
        <f t="shared" si="31"/>
        <v>136.03333333333333</v>
      </c>
      <c r="N95">
        <v>150.5</v>
      </c>
      <c r="O95">
        <f t="shared" si="32"/>
        <v>153.86666666666667</v>
      </c>
      <c r="P95">
        <v>245.3</v>
      </c>
      <c r="Q95">
        <f t="shared" si="33"/>
        <v>224.43333333333331</v>
      </c>
      <c r="R95">
        <v>158.69999999999999</v>
      </c>
      <c r="S95">
        <f t="shared" si="34"/>
        <v>153.9</v>
      </c>
      <c r="T95">
        <v>117.2</v>
      </c>
      <c r="U95">
        <f t="shared" si="35"/>
        <v>118.06666666666666</v>
      </c>
      <c r="V95">
        <v>161.4</v>
      </c>
      <c r="W95">
        <f t="shared" si="36"/>
        <v>161.20000000000002</v>
      </c>
      <c r="X95">
        <v>141.5</v>
      </c>
      <c r="Y95">
        <f t="shared" si="37"/>
        <v>139.46666666666667</v>
      </c>
      <c r="Z95">
        <v>165.1</v>
      </c>
      <c r="AA95">
        <f t="shared" si="38"/>
        <v>164.76666666666668</v>
      </c>
      <c r="AB95">
        <v>167</v>
      </c>
      <c r="AC95">
        <f t="shared" si="39"/>
        <v>164.23333333333335</v>
      </c>
      <c r="AD95">
        <v>188.8</v>
      </c>
      <c r="AE95">
        <f t="shared" si="40"/>
        <v>188.73333333333335</v>
      </c>
      <c r="AF95">
        <v>151.1</v>
      </c>
      <c r="AG95">
        <f t="shared" si="41"/>
        <v>150.6</v>
      </c>
      <c r="AH95">
        <v>136.4</v>
      </c>
      <c r="AI95">
        <f t="shared" si="42"/>
        <v>136.26666666666665</v>
      </c>
      <c r="AJ95">
        <v>148.80000000000001</v>
      </c>
      <c r="AK95">
        <f t="shared" si="43"/>
        <v>148.4</v>
      </c>
      <c r="AL95">
        <v>158</v>
      </c>
      <c r="AM95">
        <f t="shared" si="44"/>
        <v>156.93333333333334</v>
      </c>
      <c r="AN95">
        <v>137.30000000000001</v>
      </c>
      <c r="AO95">
        <f t="shared" si="45"/>
        <v>137.19999999999999</v>
      </c>
      <c r="AP95">
        <v>145.1</v>
      </c>
      <c r="AQ95">
        <f t="shared" si="46"/>
        <v>145.20000000000002</v>
      </c>
      <c r="AR95">
        <v>152</v>
      </c>
      <c r="AS95">
        <f t="shared" si="47"/>
        <v>151</v>
      </c>
      <c r="AT95">
        <v>135.19999999999999</v>
      </c>
      <c r="AU95">
        <f t="shared" si="48"/>
        <v>135.23333333333332</v>
      </c>
      <c r="AV95">
        <v>144.4</v>
      </c>
      <c r="AW95">
        <f t="shared" si="49"/>
        <v>142.73333333333335</v>
      </c>
      <c r="AX95">
        <v>156.4</v>
      </c>
      <c r="AY95">
        <f t="shared" si="50"/>
        <v>155.66666666666666</v>
      </c>
      <c r="AZ95">
        <v>157.9</v>
      </c>
      <c r="BA95">
        <f t="shared" si="51"/>
        <v>158.6</v>
      </c>
      <c r="BB95">
        <v>146.6</v>
      </c>
      <c r="BC95">
        <f t="shared" si="52"/>
        <v>146.26666666666665</v>
      </c>
      <c r="BD95">
        <v>156.69999999999999</v>
      </c>
      <c r="BE95">
        <f t="shared" si="53"/>
        <v>155.29999999999998</v>
      </c>
    </row>
    <row r="96" spans="1:57" hidden="1">
      <c r="A96" t="s">
        <v>33</v>
      </c>
      <c r="B96">
        <v>2020</v>
      </c>
      <c r="C96" t="s">
        <v>46</v>
      </c>
      <c r="D96">
        <v>149</v>
      </c>
      <c r="E96">
        <f t="shared" si="27"/>
        <v>149.76666666666665</v>
      </c>
      <c r="F96">
        <v>195.7</v>
      </c>
      <c r="G96">
        <f t="shared" si="28"/>
        <v>194.96666666666667</v>
      </c>
      <c r="H96">
        <v>178.3</v>
      </c>
      <c r="I96">
        <f t="shared" si="29"/>
        <v>173.33333333333334</v>
      </c>
      <c r="J96">
        <v>154.19999999999999</v>
      </c>
      <c r="K96">
        <f t="shared" si="30"/>
        <v>153.93333333333334</v>
      </c>
      <c r="L96">
        <v>140.69999999999999</v>
      </c>
      <c r="M96">
        <f t="shared" si="31"/>
        <v>138.13333333333333</v>
      </c>
      <c r="N96">
        <v>149.69999999999999</v>
      </c>
      <c r="O96">
        <f t="shared" si="32"/>
        <v>151.96666666666667</v>
      </c>
      <c r="P96">
        <v>240.9</v>
      </c>
      <c r="Q96">
        <f t="shared" si="33"/>
        <v>237.4</v>
      </c>
      <c r="R96">
        <v>161.5</v>
      </c>
      <c r="S96">
        <f t="shared" si="34"/>
        <v>157.46666666666667</v>
      </c>
      <c r="T96">
        <v>117.1</v>
      </c>
      <c r="U96">
        <f t="shared" si="35"/>
        <v>117.46666666666665</v>
      </c>
      <c r="V96">
        <v>161.9</v>
      </c>
      <c r="W96">
        <f t="shared" si="36"/>
        <v>161.53333333333333</v>
      </c>
      <c r="X96">
        <v>143.30000000000001</v>
      </c>
      <c r="Y96">
        <f t="shared" si="37"/>
        <v>141.33333333333334</v>
      </c>
      <c r="Z96">
        <v>166.1</v>
      </c>
      <c r="AA96">
        <f t="shared" si="38"/>
        <v>165.33333333333334</v>
      </c>
      <c r="AB96">
        <v>167</v>
      </c>
      <c r="AC96">
        <f t="shared" si="39"/>
        <v>166.13333333333333</v>
      </c>
      <c r="AD96">
        <v>190.2</v>
      </c>
      <c r="AE96">
        <f t="shared" si="40"/>
        <v>189.23333333333335</v>
      </c>
      <c r="AF96">
        <v>151.9</v>
      </c>
      <c r="AG96">
        <f t="shared" si="41"/>
        <v>151.16666666666666</v>
      </c>
      <c r="AH96">
        <v>136.69999999999999</v>
      </c>
      <c r="AI96">
        <f t="shared" si="42"/>
        <v>136.4</v>
      </c>
      <c r="AJ96">
        <v>149.6</v>
      </c>
      <c r="AK96">
        <f t="shared" si="43"/>
        <v>148.9</v>
      </c>
      <c r="AL96">
        <v>158.4</v>
      </c>
      <c r="AM96">
        <f t="shared" si="44"/>
        <v>157.63333333333333</v>
      </c>
      <c r="AN96">
        <v>137.9</v>
      </c>
      <c r="AO96">
        <f t="shared" si="45"/>
        <v>137.43333333333331</v>
      </c>
      <c r="AP96">
        <v>145.5</v>
      </c>
      <c r="AQ96">
        <f t="shared" si="46"/>
        <v>145.23333333333332</v>
      </c>
      <c r="AR96">
        <v>152.9</v>
      </c>
      <c r="AS96">
        <f t="shared" si="47"/>
        <v>151.96666666666667</v>
      </c>
      <c r="AT96">
        <v>135.5</v>
      </c>
      <c r="AU96">
        <f t="shared" si="48"/>
        <v>135.36666666666667</v>
      </c>
      <c r="AV96">
        <v>144.30000000000001</v>
      </c>
      <c r="AW96">
        <f t="shared" si="49"/>
        <v>143.56666666666666</v>
      </c>
      <c r="AX96">
        <v>156.9</v>
      </c>
      <c r="AY96">
        <f t="shared" si="50"/>
        <v>156.33333333333334</v>
      </c>
      <c r="AZ96">
        <v>157.9</v>
      </c>
      <c r="BA96">
        <f t="shared" si="51"/>
        <v>157.96666666666667</v>
      </c>
      <c r="BB96">
        <v>146.9</v>
      </c>
      <c r="BC96">
        <f t="shared" si="52"/>
        <v>146.56666666666663</v>
      </c>
      <c r="BD96">
        <v>156.9</v>
      </c>
      <c r="BE96">
        <f t="shared" si="53"/>
        <v>156.26666666666665</v>
      </c>
    </row>
    <row r="97" spans="1:57" hidden="1">
      <c r="A97" t="s">
        <v>33</v>
      </c>
      <c r="B97">
        <v>2021</v>
      </c>
      <c r="C97" t="s">
        <v>31</v>
      </c>
      <c r="D97">
        <v>148</v>
      </c>
      <c r="E97">
        <f t="shared" si="27"/>
        <v>148.9</v>
      </c>
      <c r="F97">
        <v>194.8</v>
      </c>
      <c r="G97">
        <f t="shared" si="28"/>
        <v>195.33333333333334</v>
      </c>
      <c r="H97">
        <v>178.4</v>
      </c>
      <c r="I97">
        <f t="shared" si="29"/>
        <v>177.86666666666667</v>
      </c>
      <c r="J97">
        <v>154.4</v>
      </c>
      <c r="K97">
        <f t="shared" si="30"/>
        <v>154.16666666666666</v>
      </c>
      <c r="L97">
        <v>144.1</v>
      </c>
      <c r="M97">
        <f t="shared" si="31"/>
        <v>140.93333333333331</v>
      </c>
      <c r="N97">
        <v>152.6</v>
      </c>
      <c r="O97">
        <f t="shared" si="32"/>
        <v>150.93333333333331</v>
      </c>
      <c r="P97">
        <v>206.8</v>
      </c>
      <c r="Q97">
        <f t="shared" si="33"/>
        <v>231</v>
      </c>
      <c r="R97">
        <v>162.1</v>
      </c>
      <c r="S97">
        <f t="shared" si="34"/>
        <v>160.76666666666665</v>
      </c>
      <c r="T97">
        <v>116.3</v>
      </c>
      <c r="U97">
        <f t="shared" si="35"/>
        <v>116.86666666666667</v>
      </c>
      <c r="V97">
        <v>163</v>
      </c>
      <c r="W97">
        <f t="shared" si="36"/>
        <v>162.1</v>
      </c>
      <c r="X97">
        <v>145.9</v>
      </c>
      <c r="Y97">
        <f t="shared" si="37"/>
        <v>143.56666666666669</v>
      </c>
      <c r="Z97">
        <v>167.2</v>
      </c>
      <c r="AA97">
        <f t="shared" si="38"/>
        <v>166.13333333333333</v>
      </c>
      <c r="AB97">
        <v>163.4</v>
      </c>
      <c r="AC97">
        <f t="shared" si="39"/>
        <v>165.79999999999998</v>
      </c>
      <c r="AD97">
        <v>191.8</v>
      </c>
      <c r="AE97">
        <f t="shared" si="40"/>
        <v>190.26666666666665</v>
      </c>
      <c r="AF97">
        <v>152.5</v>
      </c>
      <c r="AG97">
        <f t="shared" si="41"/>
        <v>151.83333333333334</v>
      </c>
      <c r="AH97">
        <v>137.30000000000001</v>
      </c>
      <c r="AI97">
        <f t="shared" si="42"/>
        <v>136.80000000000001</v>
      </c>
      <c r="AJ97">
        <v>150.19999999999999</v>
      </c>
      <c r="AK97">
        <f t="shared" si="43"/>
        <v>149.53333333333333</v>
      </c>
      <c r="AL97">
        <v>157.69999999999999</v>
      </c>
      <c r="AM97">
        <f t="shared" si="44"/>
        <v>158.03333333333333</v>
      </c>
      <c r="AN97">
        <v>142.9</v>
      </c>
      <c r="AO97">
        <f t="shared" si="45"/>
        <v>139.36666666666667</v>
      </c>
      <c r="AP97">
        <v>145.69999999999999</v>
      </c>
      <c r="AQ97">
        <f t="shared" si="46"/>
        <v>145.43333333333334</v>
      </c>
      <c r="AR97">
        <v>154.1</v>
      </c>
      <c r="AS97">
        <f t="shared" si="47"/>
        <v>153</v>
      </c>
      <c r="AT97">
        <v>136.9</v>
      </c>
      <c r="AU97">
        <f t="shared" si="48"/>
        <v>135.86666666666667</v>
      </c>
      <c r="AV97">
        <v>145.4</v>
      </c>
      <c r="AW97">
        <f t="shared" si="49"/>
        <v>144.70000000000002</v>
      </c>
      <c r="AX97">
        <v>156.1</v>
      </c>
      <c r="AY97">
        <f t="shared" si="50"/>
        <v>156.46666666666667</v>
      </c>
      <c r="AZ97">
        <v>157.69999999999999</v>
      </c>
      <c r="BA97">
        <f t="shared" si="51"/>
        <v>157.83333333333334</v>
      </c>
      <c r="BB97">
        <v>147.6</v>
      </c>
      <c r="BC97">
        <f t="shared" si="52"/>
        <v>147.03333333333333</v>
      </c>
      <c r="BD97">
        <v>156</v>
      </c>
      <c r="BE97">
        <f t="shared" si="53"/>
        <v>156.53333333333333</v>
      </c>
    </row>
    <row r="98" spans="1:57" hidden="1">
      <c r="A98" t="s">
        <v>33</v>
      </c>
      <c r="B98">
        <v>2021</v>
      </c>
      <c r="C98" t="s">
        <v>35</v>
      </c>
      <c r="D98">
        <v>147.6</v>
      </c>
      <c r="E98">
        <f t="shared" si="27"/>
        <v>148.20000000000002</v>
      </c>
      <c r="F98">
        <v>191.2</v>
      </c>
      <c r="G98">
        <f t="shared" si="28"/>
        <v>193.9</v>
      </c>
      <c r="H98">
        <v>169.9</v>
      </c>
      <c r="I98">
        <f t="shared" si="29"/>
        <v>175.53333333333333</v>
      </c>
      <c r="J98">
        <v>155.1</v>
      </c>
      <c r="K98">
        <f t="shared" si="30"/>
        <v>154.56666666666669</v>
      </c>
      <c r="L98">
        <v>151.4</v>
      </c>
      <c r="M98">
        <f t="shared" si="31"/>
        <v>145.39999999999998</v>
      </c>
      <c r="N98">
        <v>154</v>
      </c>
      <c r="O98">
        <f t="shared" si="32"/>
        <v>152.1</v>
      </c>
      <c r="P98">
        <v>180.2</v>
      </c>
      <c r="Q98">
        <f t="shared" si="33"/>
        <v>209.30000000000004</v>
      </c>
      <c r="R98">
        <v>159.80000000000001</v>
      </c>
      <c r="S98">
        <f t="shared" si="34"/>
        <v>161.13333333333335</v>
      </c>
      <c r="T98">
        <v>114.9</v>
      </c>
      <c r="U98">
        <f t="shared" si="35"/>
        <v>116.09999999999998</v>
      </c>
      <c r="V98">
        <v>162.5</v>
      </c>
      <c r="W98">
        <f t="shared" si="36"/>
        <v>162.46666666666667</v>
      </c>
      <c r="X98">
        <v>149.19999999999999</v>
      </c>
      <c r="Y98">
        <f t="shared" si="37"/>
        <v>146.13333333333335</v>
      </c>
      <c r="Z98">
        <v>169.4</v>
      </c>
      <c r="AA98">
        <f t="shared" si="38"/>
        <v>167.56666666666663</v>
      </c>
      <c r="AB98">
        <v>160.80000000000001</v>
      </c>
      <c r="AC98">
        <f t="shared" si="39"/>
        <v>163.73333333333332</v>
      </c>
      <c r="AD98">
        <v>193.3</v>
      </c>
      <c r="AE98">
        <f t="shared" si="40"/>
        <v>191.76666666666665</v>
      </c>
      <c r="AF98">
        <v>154.19999999999999</v>
      </c>
      <c r="AG98">
        <f t="shared" si="41"/>
        <v>152.86666666666665</v>
      </c>
      <c r="AH98">
        <v>138.19999999999999</v>
      </c>
      <c r="AI98">
        <f t="shared" si="42"/>
        <v>137.4</v>
      </c>
      <c r="AJ98">
        <v>151.80000000000001</v>
      </c>
      <c r="AK98">
        <f t="shared" si="43"/>
        <v>150.53333333333333</v>
      </c>
      <c r="AL98">
        <v>159.80000000000001</v>
      </c>
      <c r="AM98">
        <f t="shared" si="44"/>
        <v>158.63333333333335</v>
      </c>
      <c r="AN98">
        <v>149.1</v>
      </c>
      <c r="AO98">
        <f t="shared" si="45"/>
        <v>143.29999999999998</v>
      </c>
      <c r="AP98">
        <v>146.5</v>
      </c>
      <c r="AQ98">
        <f t="shared" si="46"/>
        <v>145.9</v>
      </c>
      <c r="AR98">
        <v>156.30000000000001</v>
      </c>
      <c r="AS98">
        <f t="shared" si="47"/>
        <v>154.43333333333334</v>
      </c>
      <c r="AT98">
        <v>140.5</v>
      </c>
      <c r="AU98">
        <f t="shared" si="48"/>
        <v>137.63333333333333</v>
      </c>
      <c r="AV98">
        <v>147.30000000000001</v>
      </c>
      <c r="AW98">
        <f t="shared" si="49"/>
        <v>145.66666666666669</v>
      </c>
      <c r="AX98">
        <v>156.6</v>
      </c>
      <c r="AY98">
        <f t="shared" si="50"/>
        <v>156.53333333333333</v>
      </c>
      <c r="AZ98">
        <v>156.69999999999999</v>
      </c>
      <c r="BA98">
        <f t="shared" si="51"/>
        <v>157.43333333333334</v>
      </c>
      <c r="BB98">
        <v>149.30000000000001</v>
      </c>
      <c r="BC98">
        <f t="shared" si="52"/>
        <v>147.93333333333334</v>
      </c>
      <c r="BD98">
        <v>156.5</v>
      </c>
      <c r="BE98">
        <f t="shared" si="53"/>
        <v>156.46666666666667</v>
      </c>
    </row>
    <row r="99" spans="1:57" hidden="1">
      <c r="A99" t="s">
        <v>33</v>
      </c>
      <c r="B99">
        <v>2021</v>
      </c>
      <c r="C99" t="s">
        <v>36</v>
      </c>
      <c r="D99">
        <v>147.5</v>
      </c>
      <c r="E99">
        <f t="shared" si="27"/>
        <v>147.70000000000002</v>
      </c>
      <c r="F99">
        <v>197.5</v>
      </c>
      <c r="G99">
        <f t="shared" si="28"/>
        <v>194.5</v>
      </c>
      <c r="H99">
        <v>164.7</v>
      </c>
      <c r="I99">
        <f t="shared" si="29"/>
        <v>171</v>
      </c>
      <c r="J99">
        <v>155.6</v>
      </c>
      <c r="K99">
        <f t="shared" si="30"/>
        <v>155.03333333333333</v>
      </c>
      <c r="L99">
        <v>156.4</v>
      </c>
      <c r="M99">
        <f t="shared" si="31"/>
        <v>150.63333333333333</v>
      </c>
      <c r="N99">
        <v>157.30000000000001</v>
      </c>
      <c r="O99">
        <f t="shared" si="32"/>
        <v>154.63333333333335</v>
      </c>
      <c r="P99">
        <v>166.1</v>
      </c>
      <c r="Q99">
        <f t="shared" si="33"/>
        <v>184.36666666666667</v>
      </c>
      <c r="R99">
        <v>161.1</v>
      </c>
      <c r="S99">
        <f t="shared" si="34"/>
        <v>161</v>
      </c>
      <c r="T99">
        <v>114.3</v>
      </c>
      <c r="U99">
        <f t="shared" si="35"/>
        <v>115.16666666666667</v>
      </c>
      <c r="V99">
        <v>162.6</v>
      </c>
      <c r="W99">
        <f t="shared" si="36"/>
        <v>162.70000000000002</v>
      </c>
      <c r="X99">
        <v>150.69999999999999</v>
      </c>
      <c r="Y99">
        <f t="shared" si="37"/>
        <v>148.6</v>
      </c>
      <c r="Z99">
        <v>170.3</v>
      </c>
      <c r="AA99">
        <f t="shared" si="38"/>
        <v>168.96666666666667</v>
      </c>
      <c r="AB99">
        <v>160.4</v>
      </c>
      <c r="AC99">
        <f t="shared" si="39"/>
        <v>161.53333333333333</v>
      </c>
      <c r="AD99">
        <v>193.5</v>
      </c>
      <c r="AE99">
        <f t="shared" si="40"/>
        <v>192.86666666666667</v>
      </c>
      <c r="AF99">
        <v>155.1</v>
      </c>
      <c r="AG99">
        <f t="shared" si="41"/>
        <v>153.93333333333331</v>
      </c>
      <c r="AH99">
        <v>138.69999999999999</v>
      </c>
      <c r="AI99">
        <f t="shared" si="42"/>
        <v>138.06666666666666</v>
      </c>
      <c r="AJ99">
        <v>152.6</v>
      </c>
      <c r="AK99">
        <f t="shared" si="43"/>
        <v>151.53333333333333</v>
      </c>
      <c r="AL99">
        <v>159.9</v>
      </c>
      <c r="AM99">
        <f t="shared" si="44"/>
        <v>159.13333333333333</v>
      </c>
      <c r="AN99">
        <v>154.80000000000001</v>
      </c>
      <c r="AO99">
        <f t="shared" si="45"/>
        <v>148.93333333333334</v>
      </c>
      <c r="AP99">
        <v>147.19999999999999</v>
      </c>
      <c r="AQ99">
        <f t="shared" si="46"/>
        <v>146.46666666666667</v>
      </c>
      <c r="AR99">
        <v>156.9</v>
      </c>
      <c r="AS99">
        <f t="shared" si="47"/>
        <v>155.76666666666665</v>
      </c>
      <c r="AT99">
        <v>141.69999999999999</v>
      </c>
      <c r="AU99">
        <f t="shared" si="48"/>
        <v>139.69999999999999</v>
      </c>
      <c r="AV99">
        <v>148.6</v>
      </c>
      <c r="AW99">
        <f t="shared" si="49"/>
        <v>147.10000000000002</v>
      </c>
      <c r="AX99">
        <v>157.6</v>
      </c>
      <c r="AY99">
        <f t="shared" si="50"/>
        <v>156.76666666666665</v>
      </c>
      <c r="AZ99">
        <v>154.9</v>
      </c>
      <c r="BA99">
        <f t="shared" si="51"/>
        <v>156.43333333333331</v>
      </c>
      <c r="BB99">
        <v>150</v>
      </c>
      <c r="BC99">
        <f t="shared" si="52"/>
        <v>148.96666666666667</v>
      </c>
      <c r="BD99">
        <v>156.9</v>
      </c>
      <c r="BE99">
        <f t="shared" si="53"/>
        <v>156.46666666666667</v>
      </c>
    </row>
    <row r="100" spans="1:57" hidden="1">
      <c r="A100" t="s">
        <v>33</v>
      </c>
      <c r="B100">
        <v>2021</v>
      </c>
      <c r="C100" t="s">
        <v>37</v>
      </c>
      <c r="D100">
        <v>147.6</v>
      </c>
      <c r="E100">
        <f t="shared" si="27"/>
        <v>147.56666666666669</v>
      </c>
      <c r="F100">
        <v>202.5</v>
      </c>
      <c r="G100">
        <f t="shared" si="28"/>
        <v>197.06666666666669</v>
      </c>
      <c r="H100">
        <v>166.4</v>
      </c>
      <c r="I100">
        <f t="shared" si="29"/>
        <v>167</v>
      </c>
      <c r="J100">
        <v>156</v>
      </c>
      <c r="K100">
        <f t="shared" si="30"/>
        <v>155.56666666666666</v>
      </c>
      <c r="L100">
        <v>161.4</v>
      </c>
      <c r="M100">
        <f t="shared" si="31"/>
        <v>156.4</v>
      </c>
      <c r="N100">
        <v>168.8</v>
      </c>
      <c r="O100">
        <f t="shared" si="32"/>
        <v>160.03333333333333</v>
      </c>
      <c r="P100">
        <v>161.6</v>
      </c>
      <c r="Q100">
        <f t="shared" si="33"/>
        <v>169.29999999999998</v>
      </c>
      <c r="R100">
        <v>162.80000000000001</v>
      </c>
      <c r="S100">
        <f t="shared" si="34"/>
        <v>161.23333333333332</v>
      </c>
      <c r="T100">
        <v>114.8</v>
      </c>
      <c r="U100">
        <f t="shared" si="35"/>
        <v>114.66666666666667</v>
      </c>
      <c r="V100">
        <v>162.80000000000001</v>
      </c>
      <c r="W100">
        <f t="shared" si="36"/>
        <v>162.63333333333335</v>
      </c>
      <c r="X100">
        <v>151.5</v>
      </c>
      <c r="Y100">
        <f t="shared" si="37"/>
        <v>150.46666666666667</v>
      </c>
      <c r="Z100">
        <v>171.4</v>
      </c>
      <c r="AA100">
        <f t="shared" si="38"/>
        <v>170.36666666666667</v>
      </c>
      <c r="AB100">
        <v>162</v>
      </c>
      <c r="AC100">
        <f t="shared" si="39"/>
        <v>161.06666666666669</v>
      </c>
      <c r="AD100">
        <v>194.4</v>
      </c>
      <c r="AE100">
        <f t="shared" si="40"/>
        <v>193.73333333333335</v>
      </c>
      <c r="AF100">
        <v>155.9</v>
      </c>
      <c r="AG100">
        <f t="shared" si="41"/>
        <v>155.06666666666663</v>
      </c>
      <c r="AH100">
        <v>139.30000000000001</v>
      </c>
      <c r="AI100">
        <f t="shared" si="42"/>
        <v>138.73333333333332</v>
      </c>
      <c r="AJ100">
        <v>153.4</v>
      </c>
      <c r="AK100">
        <f t="shared" si="43"/>
        <v>152.6</v>
      </c>
      <c r="AL100">
        <v>161.4</v>
      </c>
      <c r="AM100">
        <f t="shared" si="44"/>
        <v>160.36666666666667</v>
      </c>
      <c r="AN100">
        <v>154.9</v>
      </c>
      <c r="AO100">
        <f t="shared" si="45"/>
        <v>152.93333333333331</v>
      </c>
      <c r="AP100">
        <v>147.6</v>
      </c>
      <c r="AQ100">
        <f t="shared" si="46"/>
        <v>147.1</v>
      </c>
      <c r="AR100">
        <v>157.5</v>
      </c>
      <c r="AS100">
        <f t="shared" si="47"/>
        <v>156.9</v>
      </c>
      <c r="AT100">
        <v>142.1</v>
      </c>
      <c r="AU100">
        <f t="shared" si="48"/>
        <v>141.43333333333331</v>
      </c>
      <c r="AV100">
        <v>149.1</v>
      </c>
      <c r="AW100">
        <f t="shared" si="49"/>
        <v>148.33333333333334</v>
      </c>
      <c r="AX100">
        <v>157.6</v>
      </c>
      <c r="AY100">
        <f t="shared" si="50"/>
        <v>157.26666666666665</v>
      </c>
      <c r="AZ100">
        <v>156.6</v>
      </c>
      <c r="BA100">
        <f t="shared" si="51"/>
        <v>156.06666666666669</v>
      </c>
      <c r="BB100">
        <v>150.5</v>
      </c>
      <c r="BC100">
        <f t="shared" si="52"/>
        <v>149.93333333333334</v>
      </c>
      <c r="BD100">
        <v>158</v>
      </c>
      <c r="BE100">
        <f t="shared" si="53"/>
        <v>157.13333333333333</v>
      </c>
    </row>
    <row r="101" spans="1:57" hidden="1">
      <c r="A101" t="s">
        <v>33</v>
      </c>
      <c r="B101">
        <v>2021</v>
      </c>
      <c r="C101" t="s">
        <v>38</v>
      </c>
      <c r="D101">
        <v>148.80000000000001</v>
      </c>
      <c r="E101">
        <f t="shared" si="27"/>
        <v>147.96666666666667</v>
      </c>
      <c r="F101">
        <v>204.3</v>
      </c>
      <c r="G101">
        <f t="shared" si="28"/>
        <v>201.43333333333331</v>
      </c>
      <c r="H101">
        <v>173</v>
      </c>
      <c r="I101">
        <f t="shared" si="29"/>
        <v>168.03333333333333</v>
      </c>
      <c r="J101">
        <v>156.5</v>
      </c>
      <c r="K101">
        <f t="shared" si="30"/>
        <v>156.03333333333333</v>
      </c>
      <c r="L101">
        <v>168.8</v>
      </c>
      <c r="M101">
        <f t="shared" si="31"/>
        <v>162.20000000000002</v>
      </c>
      <c r="N101">
        <v>172.5</v>
      </c>
      <c r="O101">
        <f t="shared" si="32"/>
        <v>166.20000000000002</v>
      </c>
      <c r="P101">
        <v>166.5</v>
      </c>
      <c r="Q101">
        <f t="shared" si="33"/>
        <v>164.73333333333332</v>
      </c>
      <c r="R101">
        <v>165.9</v>
      </c>
      <c r="S101">
        <f t="shared" si="34"/>
        <v>163.26666666666665</v>
      </c>
      <c r="T101">
        <v>115.9</v>
      </c>
      <c r="U101">
        <f t="shared" si="35"/>
        <v>115</v>
      </c>
      <c r="V101">
        <v>165.2</v>
      </c>
      <c r="W101">
        <f t="shared" si="36"/>
        <v>163.53333333333333</v>
      </c>
      <c r="X101">
        <v>152</v>
      </c>
      <c r="Y101">
        <f t="shared" si="37"/>
        <v>151.4</v>
      </c>
      <c r="Z101">
        <v>171.1</v>
      </c>
      <c r="AA101">
        <f t="shared" si="38"/>
        <v>170.93333333333337</v>
      </c>
      <c r="AB101">
        <v>164.2</v>
      </c>
      <c r="AC101">
        <f t="shared" si="39"/>
        <v>162.19999999999999</v>
      </c>
      <c r="AD101">
        <v>198.2</v>
      </c>
      <c r="AE101">
        <f t="shared" si="40"/>
        <v>195.36666666666665</v>
      </c>
      <c r="AF101">
        <v>156.5</v>
      </c>
      <c r="AG101">
        <f t="shared" si="41"/>
        <v>155.83333333333334</v>
      </c>
      <c r="AH101">
        <v>140.19999999999999</v>
      </c>
      <c r="AI101">
        <f t="shared" si="42"/>
        <v>139.4</v>
      </c>
      <c r="AJ101">
        <v>154.1</v>
      </c>
      <c r="AK101">
        <f t="shared" si="43"/>
        <v>153.36666666666667</v>
      </c>
      <c r="AL101">
        <v>161.6</v>
      </c>
      <c r="AM101">
        <f t="shared" si="44"/>
        <v>160.96666666666667</v>
      </c>
      <c r="AN101">
        <v>155.5</v>
      </c>
      <c r="AO101">
        <f t="shared" si="45"/>
        <v>155.06666666666669</v>
      </c>
      <c r="AP101">
        <v>150.1</v>
      </c>
      <c r="AQ101">
        <f t="shared" si="46"/>
        <v>148.29999999999998</v>
      </c>
      <c r="AR101">
        <v>160.4</v>
      </c>
      <c r="AS101">
        <f t="shared" si="47"/>
        <v>158.26666666666665</v>
      </c>
      <c r="AT101">
        <v>145</v>
      </c>
      <c r="AU101">
        <f t="shared" si="48"/>
        <v>142.93333333333331</v>
      </c>
      <c r="AV101">
        <v>152.6</v>
      </c>
      <c r="AW101">
        <f t="shared" si="49"/>
        <v>150.1</v>
      </c>
      <c r="AX101">
        <v>156.6</v>
      </c>
      <c r="AY101">
        <f t="shared" si="50"/>
        <v>157.26666666666665</v>
      </c>
      <c r="AZ101">
        <v>157.5</v>
      </c>
      <c r="BA101">
        <f t="shared" si="51"/>
        <v>156.33333333333334</v>
      </c>
      <c r="BB101">
        <v>152.30000000000001</v>
      </c>
      <c r="BC101">
        <f t="shared" si="52"/>
        <v>150.93333333333334</v>
      </c>
      <c r="BD101">
        <v>159.5</v>
      </c>
      <c r="BE101">
        <f t="shared" si="53"/>
        <v>158.13333333333333</v>
      </c>
    </row>
    <row r="102" spans="1:57" hidden="1">
      <c r="A102" t="s">
        <v>33</v>
      </c>
      <c r="B102">
        <v>2021</v>
      </c>
      <c r="C102" t="s">
        <v>39</v>
      </c>
      <c r="D102">
        <v>149.19999999999999</v>
      </c>
      <c r="E102">
        <f t="shared" si="27"/>
        <v>148.53333333333333</v>
      </c>
      <c r="F102">
        <v>205.5</v>
      </c>
      <c r="G102">
        <f t="shared" si="28"/>
        <v>204.1</v>
      </c>
      <c r="H102">
        <v>182.8</v>
      </c>
      <c r="I102">
        <f t="shared" si="29"/>
        <v>174.06666666666669</v>
      </c>
      <c r="J102">
        <v>156.5</v>
      </c>
      <c r="K102">
        <f t="shared" si="30"/>
        <v>156.33333333333334</v>
      </c>
      <c r="L102">
        <v>172.2</v>
      </c>
      <c r="M102">
        <f t="shared" si="31"/>
        <v>167.46666666666667</v>
      </c>
      <c r="N102">
        <v>171.5</v>
      </c>
      <c r="O102">
        <f t="shared" si="32"/>
        <v>170.93333333333331</v>
      </c>
      <c r="P102">
        <v>176.2</v>
      </c>
      <c r="Q102">
        <f t="shared" si="33"/>
        <v>168.1</v>
      </c>
      <c r="R102">
        <v>166.9</v>
      </c>
      <c r="S102">
        <f t="shared" si="34"/>
        <v>165.20000000000002</v>
      </c>
      <c r="T102">
        <v>116.1</v>
      </c>
      <c r="U102">
        <f t="shared" si="35"/>
        <v>115.59999999999998</v>
      </c>
      <c r="V102">
        <v>165.5</v>
      </c>
      <c r="W102">
        <f t="shared" si="36"/>
        <v>164.5</v>
      </c>
      <c r="X102">
        <v>152.30000000000001</v>
      </c>
      <c r="Y102">
        <f t="shared" si="37"/>
        <v>151.93333333333334</v>
      </c>
      <c r="Z102">
        <v>173.3</v>
      </c>
      <c r="AA102">
        <f t="shared" si="38"/>
        <v>171.93333333333331</v>
      </c>
      <c r="AB102">
        <v>166.2</v>
      </c>
      <c r="AC102">
        <f t="shared" si="39"/>
        <v>164.13333333333333</v>
      </c>
      <c r="AD102">
        <v>195.6</v>
      </c>
      <c r="AE102">
        <f t="shared" si="40"/>
        <v>196.06666666666669</v>
      </c>
      <c r="AF102">
        <v>157.30000000000001</v>
      </c>
      <c r="AG102">
        <f t="shared" si="41"/>
        <v>156.56666666666666</v>
      </c>
      <c r="AH102">
        <v>140.5</v>
      </c>
      <c r="AI102">
        <f t="shared" si="42"/>
        <v>140</v>
      </c>
      <c r="AJ102">
        <v>154.80000000000001</v>
      </c>
      <c r="AK102">
        <f t="shared" si="43"/>
        <v>154.1</v>
      </c>
      <c r="AL102">
        <v>160.5</v>
      </c>
      <c r="AM102">
        <f t="shared" si="44"/>
        <v>161.16666666666666</v>
      </c>
      <c r="AN102">
        <v>156.1</v>
      </c>
      <c r="AO102">
        <f t="shared" si="45"/>
        <v>155.5</v>
      </c>
      <c r="AP102">
        <v>149.80000000000001</v>
      </c>
      <c r="AQ102">
        <f t="shared" si="46"/>
        <v>149.16666666666666</v>
      </c>
      <c r="AR102">
        <v>160.80000000000001</v>
      </c>
      <c r="AS102">
        <f t="shared" si="47"/>
        <v>159.56666666666666</v>
      </c>
      <c r="AT102">
        <v>147.5</v>
      </c>
      <c r="AU102">
        <f t="shared" si="48"/>
        <v>144.86666666666667</v>
      </c>
      <c r="AV102">
        <v>150.69999999999999</v>
      </c>
      <c r="AW102">
        <f t="shared" si="49"/>
        <v>150.79999999999998</v>
      </c>
      <c r="AX102">
        <v>158.1</v>
      </c>
      <c r="AY102">
        <f t="shared" si="50"/>
        <v>157.43333333333331</v>
      </c>
      <c r="AZ102">
        <v>158</v>
      </c>
      <c r="BA102">
        <f t="shared" si="51"/>
        <v>157.36666666666667</v>
      </c>
      <c r="BB102">
        <v>153.4</v>
      </c>
      <c r="BC102">
        <f t="shared" si="52"/>
        <v>152.06666666666669</v>
      </c>
      <c r="BD102">
        <v>160.4</v>
      </c>
      <c r="BE102">
        <f t="shared" si="53"/>
        <v>159.29999999999998</v>
      </c>
    </row>
    <row r="103" spans="1:57" hidden="1">
      <c r="A103" t="s">
        <v>33</v>
      </c>
      <c r="B103">
        <v>2021</v>
      </c>
      <c r="C103" t="s">
        <v>40</v>
      </c>
      <c r="D103">
        <v>149.1</v>
      </c>
      <c r="E103">
        <f t="shared" si="27"/>
        <v>149.03333333333333</v>
      </c>
      <c r="F103">
        <v>210.9</v>
      </c>
      <c r="G103">
        <f t="shared" si="28"/>
        <v>206.9</v>
      </c>
      <c r="H103">
        <v>185</v>
      </c>
      <c r="I103">
        <f t="shared" si="29"/>
        <v>180.26666666666665</v>
      </c>
      <c r="J103">
        <v>158.19999999999999</v>
      </c>
      <c r="K103">
        <f t="shared" si="30"/>
        <v>157.06666666666666</v>
      </c>
      <c r="L103">
        <v>170.6</v>
      </c>
      <c r="M103">
        <f t="shared" si="31"/>
        <v>170.53333333333333</v>
      </c>
      <c r="N103">
        <v>170.9</v>
      </c>
      <c r="O103">
        <f t="shared" si="32"/>
        <v>171.63333333333333</v>
      </c>
      <c r="P103">
        <v>186.4</v>
      </c>
      <c r="Q103">
        <f t="shared" si="33"/>
        <v>176.36666666666667</v>
      </c>
      <c r="R103">
        <v>164.7</v>
      </c>
      <c r="S103">
        <f t="shared" si="34"/>
        <v>165.83333333333334</v>
      </c>
      <c r="T103">
        <v>115.7</v>
      </c>
      <c r="U103">
        <f t="shared" si="35"/>
        <v>115.89999999999999</v>
      </c>
      <c r="V103">
        <v>165.5</v>
      </c>
      <c r="W103">
        <f t="shared" si="36"/>
        <v>165.4</v>
      </c>
      <c r="X103">
        <v>153.4</v>
      </c>
      <c r="Y103">
        <f t="shared" si="37"/>
        <v>152.56666666666669</v>
      </c>
      <c r="Z103">
        <v>173.5</v>
      </c>
      <c r="AA103">
        <f t="shared" si="38"/>
        <v>172.63333333333333</v>
      </c>
      <c r="AB103">
        <v>167.9</v>
      </c>
      <c r="AC103">
        <f t="shared" si="39"/>
        <v>166.1</v>
      </c>
      <c r="AD103">
        <v>195.5</v>
      </c>
      <c r="AE103">
        <f t="shared" si="40"/>
        <v>196.43333333333331</v>
      </c>
      <c r="AF103">
        <v>157.9</v>
      </c>
      <c r="AG103">
        <f t="shared" si="41"/>
        <v>157.23333333333335</v>
      </c>
      <c r="AH103">
        <v>141.9</v>
      </c>
      <c r="AI103">
        <f t="shared" si="42"/>
        <v>140.86666666666667</v>
      </c>
      <c r="AJ103">
        <v>155.5</v>
      </c>
      <c r="AK103">
        <f t="shared" si="43"/>
        <v>154.79999999999998</v>
      </c>
      <c r="AL103">
        <v>161.5</v>
      </c>
      <c r="AM103">
        <f t="shared" si="44"/>
        <v>161.20000000000002</v>
      </c>
      <c r="AN103">
        <v>157.69999999999999</v>
      </c>
      <c r="AO103">
        <f t="shared" si="45"/>
        <v>156.43333333333334</v>
      </c>
      <c r="AP103">
        <v>150.69999999999999</v>
      </c>
      <c r="AQ103">
        <f t="shared" si="46"/>
        <v>150.19999999999999</v>
      </c>
      <c r="AR103">
        <v>161.5</v>
      </c>
      <c r="AS103">
        <f t="shared" si="47"/>
        <v>160.9</v>
      </c>
      <c r="AT103">
        <v>149.5</v>
      </c>
      <c r="AU103">
        <f t="shared" si="48"/>
        <v>147.33333333333334</v>
      </c>
      <c r="AV103">
        <v>151.19999999999999</v>
      </c>
      <c r="AW103">
        <f t="shared" si="49"/>
        <v>151.49999999999997</v>
      </c>
      <c r="AX103">
        <v>160.30000000000001</v>
      </c>
      <c r="AY103">
        <f t="shared" si="50"/>
        <v>158.33333333333334</v>
      </c>
      <c r="AZ103">
        <v>159.6</v>
      </c>
      <c r="BA103">
        <f t="shared" si="51"/>
        <v>158.36666666666667</v>
      </c>
      <c r="BB103">
        <v>155</v>
      </c>
      <c r="BC103">
        <f t="shared" si="52"/>
        <v>153.56666666666669</v>
      </c>
      <c r="BD103">
        <v>161.80000000000001</v>
      </c>
      <c r="BE103">
        <f t="shared" si="53"/>
        <v>160.56666666666666</v>
      </c>
    </row>
    <row r="104" spans="1:57" hidden="1">
      <c r="A104" t="s">
        <v>33</v>
      </c>
      <c r="B104">
        <v>2021</v>
      </c>
      <c r="C104" t="s">
        <v>41</v>
      </c>
      <c r="D104">
        <v>149.30000000000001</v>
      </c>
      <c r="E104">
        <f t="shared" si="27"/>
        <v>149.19999999999999</v>
      </c>
      <c r="F104">
        <v>207.4</v>
      </c>
      <c r="G104">
        <f t="shared" si="28"/>
        <v>207.93333333333331</v>
      </c>
      <c r="H104">
        <v>174.1</v>
      </c>
      <c r="I104">
        <f t="shared" si="29"/>
        <v>180.63333333333333</v>
      </c>
      <c r="J104">
        <v>159.19999999999999</v>
      </c>
      <c r="K104">
        <f t="shared" si="30"/>
        <v>157.96666666666667</v>
      </c>
      <c r="L104">
        <v>175</v>
      </c>
      <c r="M104">
        <f t="shared" si="31"/>
        <v>172.6</v>
      </c>
      <c r="N104">
        <v>161.30000000000001</v>
      </c>
      <c r="O104">
        <f t="shared" si="32"/>
        <v>167.9</v>
      </c>
      <c r="P104">
        <v>183.3</v>
      </c>
      <c r="Q104">
        <f t="shared" si="33"/>
        <v>181.9666666666667</v>
      </c>
      <c r="R104">
        <v>164.5</v>
      </c>
      <c r="S104">
        <f t="shared" si="34"/>
        <v>165.36666666666667</v>
      </c>
      <c r="T104">
        <v>120.4</v>
      </c>
      <c r="U104">
        <f t="shared" si="35"/>
        <v>117.40000000000002</v>
      </c>
      <c r="V104">
        <v>166.2</v>
      </c>
      <c r="W104">
        <f t="shared" si="36"/>
        <v>165.73333333333332</v>
      </c>
      <c r="X104">
        <v>154.80000000000001</v>
      </c>
      <c r="Y104">
        <f t="shared" si="37"/>
        <v>153.50000000000003</v>
      </c>
      <c r="Z104">
        <v>175.1</v>
      </c>
      <c r="AA104">
        <f t="shared" si="38"/>
        <v>173.96666666666667</v>
      </c>
      <c r="AB104">
        <v>167.3</v>
      </c>
      <c r="AC104">
        <f t="shared" si="39"/>
        <v>167.13333333333335</v>
      </c>
      <c r="AD104">
        <v>196.5</v>
      </c>
      <c r="AE104">
        <f t="shared" si="40"/>
        <v>195.86666666666667</v>
      </c>
      <c r="AF104">
        <v>159.80000000000001</v>
      </c>
      <c r="AG104">
        <f t="shared" si="41"/>
        <v>158.33333333333334</v>
      </c>
      <c r="AH104">
        <v>143.6</v>
      </c>
      <c r="AI104">
        <f t="shared" si="42"/>
        <v>142</v>
      </c>
      <c r="AJ104">
        <v>157.30000000000001</v>
      </c>
      <c r="AK104">
        <f t="shared" si="43"/>
        <v>155.86666666666667</v>
      </c>
      <c r="AL104">
        <v>162.1</v>
      </c>
      <c r="AM104">
        <f t="shared" si="44"/>
        <v>161.36666666666667</v>
      </c>
      <c r="AN104">
        <v>160.69999999999999</v>
      </c>
      <c r="AO104">
        <f t="shared" si="45"/>
        <v>158.16666666666666</v>
      </c>
      <c r="AP104">
        <v>153.19999999999999</v>
      </c>
      <c r="AQ104">
        <f t="shared" si="46"/>
        <v>151.23333333333332</v>
      </c>
      <c r="AR104">
        <v>162.80000000000001</v>
      </c>
      <c r="AS104">
        <f t="shared" si="47"/>
        <v>161.70000000000002</v>
      </c>
      <c r="AT104">
        <v>150.4</v>
      </c>
      <c r="AU104">
        <f t="shared" si="48"/>
        <v>149.13333333333333</v>
      </c>
      <c r="AV104">
        <v>153.69999999999999</v>
      </c>
      <c r="AW104">
        <f t="shared" si="49"/>
        <v>151.86666666666665</v>
      </c>
      <c r="AX104">
        <v>160.4</v>
      </c>
      <c r="AY104">
        <f t="shared" si="50"/>
        <v>159.6</v>
      </c>
      <c r="AZ104">
        <v>159.6</v>
      </c>
      <c r="BA104">
        <f t="shared" si="51"/>
        <v>159.06666666666669</v>
      </c>
      <c r="BB104">
        <v>156</v>
      </c>
      <c r="BC104">
        <f t="shared" si="52"/>
        <v>154.79999999999998</v>
      </c>
      <c r="BD104">
        <v>162.30000000000001</v>
      </c>
      <c r="BE104">
        <f t="shared" si="53"/>
        <v>161.50000000000003</v>
      </c>
    </row>
    <row r="105" spans="1:57" hidden="1">
      <c r="A105" t="s">
        <v>33</v>
      </c>
      <c r="B105">
        <v>2021</v>
      </c>
      <c r="C105" t="s">
        <v>42</v>
      </c>
      <c r="D105">
        <v>149.30000000000001</v>
      </c>
      <c r="E105">
        <f t="shared" si="27"/>
        <v>149.23333333333332</v>
      </c>
      <c r="F105">
        <v>207.4</v>
      </c>
      <c r="G105">
        <f t="shared" si="28"/>
        <v>208.56666666666669</v>
      </c>
      <c r="H105">
        <v>174.1</v>
      </c>
      <c r="I105">
        <f t="shared" si="29"/>
        <v>177.73333333333335</v>
      </c>
      <c r="J105">
        <v>159.1</v>
      </c>
      <c r="K105">
        <f t="shared" si="30"/>
        <v>158.83333333333334</v>
      </c>
      <c r="L105">
        <v>175</v>
      </c>
      <c r="M105">
        <f t="shared" si="31"/>
        <v>173.53333333333333</v>
      </c>
      <c r="N105">
        <v>161.19999999999999</v>
      </c>
      <c r="O105">
        <f t="shared" si="32"/>
        <v>164.46666666666667</v>
      </c>
      <c r="P105">
        <v>183.5</v>
      </c>
      <c r="Q105">
        <f t="shared" si="33"/>
        <v>184.4</v>
      </c>
      <c r="R105">
        <v>164.5</v>
      </c>
      <c r="S105">
        <f t="shared" si="34"/>
        <v>164.56666666666666</v>
      </c>
      <c r="T105">
        <v>120.4</v>
      </c>
      <c r="U105">
        <f t="shared" si="35"/>
        <v>118.83333333333333</v>
      </c>
      <c r="V105">
        <v>166.2</v>
      </c>
      <c r="W105">
        <f t="shared" si="36"/>
        <v>165.96666666666667</v>
      </c>
      <c r="X105">
        <v>154.80000000000001</v>
      </c>
      <c r="Y105">
        <f t="shared" si="37"/>
        <v>154.33333333333334</v>
      </c>
      <c r="Z105">
        <v>175.1</v>
      </c>
      <c r="AA105">
        <f t="shared" si="38"/>
        <v>174.56666666666669</v>
      </c>
      <c r="AB105">
        <v>167.3</v>
      </c>
      <c r="AC105">
        <f t="shared" si="39"/>
        <v>167.50000000000003</v>
      </c>
      <c r="AD105">
        <v>196.5</v>
      </c>
      <c r="AE105">
        <f t="shared" si="40"/>
        <v>196.16666666666666</v>
      </c>
      <c r="AF105">
        <v>159.80000000000001</v>
      </c>
      <c r="AG105">
        <f t="shared" si="41"/>
        <v>159.16666666666669</v>
      </c>
      <c r="AH105">
        <v>143.6</v>
      </c>
      <c r="AI105">
        <f t="shared" si="42"/>
        <v>143.03333333333333</v>
      </c>
      <c r="AJ105">
        <v>157.4</v>
      </c>
      <c r="AK105">
        <f t="shared" si="43"/>
        <v>156.73333333333335</v>
      </c>
      <c r="AL105">
        <v>162.1</v>
      </c>
      <c r="AM105">
        <f t="shared" si="44"/>
        <v>161.9</v>
      </c>
      <c r="AN105">
        <v>160.80000000000001</v>
      </c>
      <c r="AO105">
        <f t="shared" si="45"/>
        <v>159.73333333333332</v>
      </c>
      <c r="AP105">
        <v>153.30000000000001</v>
      </c>
      <c r="AQ105">
        <f t="shared" si="46"/>
        <v>152.4</v>
      </c>
      <c r="AR105">
        <v>162.80000000000001</v>
      </c>
      <c r="AS105">
        <f t="shared" si="47"/>
        <v>162.36666666666667</v>
      </c>
      <c r="AT105">
        <v>150.5</v>
      </c>
      <c r="AU105">
        <f t="shared" si="48"/>
        <v>150.13333333333333</v>
      </c>
      <c r="AV105">
        <v>153.9</v>
      </c>
      <c r="AW105">
        <f t="shared" si="49"/>
        <v>152.93333333333331</v>
      </c>
      <c r="AX105">
        <v>160.30000000000001</v>
      </c>
      <c r="AY105">
        <f t="shared" si="50"/>
        <v>160.33333333333334</v>
      </c>
      <c r="AZ105">
        <v>159.6</v>
      </c>
      <c r="BA105">
        <f t="shared" si="51"/>
        <v>159.6</v>
      </c>
      <c r="BB105">
        <v>156</v>
      </c>
      <c r="BC105">
        <f t="shared" si="52"/>
        <v>155.66666666666666</v>
      </c>
      <c r="BD105">
        <v>162.30000000000001</v>
      </c>
      <c r="BE105">
        <f t="shared" si="53"/>
        <v>162.13333333333335</v>
      </c>
    </row>
    <row r="106" spans="1:57" hidden="1">
      <c r="A106" t="s">
        <v>33</v>
      </c>
      <c r="B106">
        <v>2021</v>
      </c>
      <c r="C106" t="s">
        <v>43</v>
      </c>
      <c r="D106">
        <v>150.1</v>
      </c>
      <c r="E106">
        <f t="shared" si="27"/>
        <v>149.56666666666669</v>
      </c>
      <c r="F106">
        <v>208.4</v>
      </c>
      <c r="G106">
        <f t="shared" si="28"/>
        <v>207.73333333333335</v>
      </c>
      <c r="H106">
        <v>173</v>
      </c>
      <c r="I106">
        <f t="shared" si="29"/>
        <v>173.73333333333335</v>
      </c>
      <c r="J106">
        <v>159.19999999999999</v>
      </c>
      <c r="K106">
        <f t="shared" si="30"/>
        <v>159.16666666666666</v>
      </c>
      <c r="L106">
        <v>176.6</v>
      </c>
      <c r="M106">
        <f t="shared" si="31"/>
        <v>175.53333333333333</v>
      </c>
      <c r="N106">
        <v>159.30000000000001</v>
      </c>
      <c r="O106">
        <f t="shared" si="32"/>
        <v>160.6</v>
      </c>
      <c r="P106">
        <v>214.4</v>
      </c>
      <c r="Q106">
        <f t="shared" si="33"/>
        <v>193.73333333333335</v>
      </c>
      <c r="R106">
        <v>165.3</v>
      </c>
      <c r="S106">
        <f t="shared" si="34"/>
        <v>164.76666666666668</v>
      </c>
      <c r="T106">
        <v>122.5</v>
      </c>
      <c r="U106">
        <f t="shared" si="35"/>
        <v>121.10000000000001</v>
      </c>
      <c r="V106">
        <v>166.8</v>
      </c>
      <c r="W106">
        <f t="shared" si="36"/>
        <v>166.4</v>
      </c>
      <c r="X106">
        <v>155.4</v>
      </c>
      <c r="Y106">
        <f t="shared" si="37"/>
        <v>155</v>
      </c>
      <c r="Z106">
        <v>175.9</v>
      </c>
      <c r="AA106">
        <f t="shared" si="38"/>
        <v>175.36666666666667</v>
      </c>
      <c r="AB106">
        <v>171.5</v>
      </c>
      <c r="AC106">
        <f t="shared" si="39"/>
        <v>168.70000000000002</v>
      </c>
      <c r="AD106">
        <v>197</v>
      </c>
      <c r="AE106">
        <f t="shared" si="40"/>
        <v>196.66666666666666</v>
      </c>
      <c r="AF106">
        <v>160.80000000000001</v>
      </c>
      <c r="AG106">
        <f t="shared" si="41"/>
        <v>160.13333333333335</v>
      </c>
      <c r="AH106">
        <v>144.4</v>
      </c>
      <c r="AI106">
        <f t="shared" si="42"/>
        <v>143.86666666666667</v>
      </c>
      <c r="AJ106">
        <v>158.30000000000001</v>
      </c>
      <c r="AK106">
        <f t="shared" si="43"/>
        <v>157.66666666666669</v>
      </c>
      <c r="AL106">
        <v>163.6</v>
      </c>
      <c r="AM106">
        <f t="shared" si="44"/>
        <v>162.6</v>
      </c>
      <c r="AN106">
        <v>162.19999999999999</v>
      </c>
      <c r="AO106">
        <f t="shared" si="45"/>
        <v>161.23333333333332</v>
      </c>
      <c r="AP106">
        <v>154.30000000000001</v>
      </c>
      <c r="AQ106">
        <f t="shared" si="46"/>
        <v>153.6</v>
      </c>
      <c r="AR106">
        <v>163.5</v>
      </c>
      <c r="AS106">
        <f t="shared" si="47"/>
        <v>163.03333333333333</v>
      </c>
      <c r="AT106">
        <v>152.19999999999999</v>
      </c>
      <c r="AU106">
        <f t="shared" si="48"/>
        <v>151.03333333333333</v>
      </c>
      <c r="AV106">
        <v>155.1</v>
      </c>
      <c r="AW106">
        <f t="shared" si="49"/>
        <v>154.23333333333335</v>
      </c>
      <c r="AX106">
        <v>160.30000000000001</v>
      </c>
      <c r="AY106">
        <f t="shared" si="50"/>
        <v>160.33333333333334</v>
      </c>
      <c r="AZ106">
        <v>160.30000000000001</v>
      </c>
      <c r="BA106">
        <f t="shared" si="51"/>
        <v>159.83333333333334</v>
      </c>
      <c r="BB106">
        <v>157</v>
      </c>
      <c r="BC106">
        <f t="shared" si="52"/>
        <v>156.33333333333334</v>
      </c>
      <c r="BD106">
        <v>164.6</v>
      </c>
      <c r="BE106">
        <f t="shared" si="53"/>
        <v>163.06666666666669</v>
      </c>
    </row>
    <row r="107" spans="1:57" hidden="1">
      <c r="A107" t="s">
        <v>33</v>
      </c>
      <c r="B107">
        <v>2021</v>
      </c>
      <c r="C107" t="s">
        <v>45</v>
      </c>
      <c r="D107">
        <v>151</v>
      </c>
      <c r="E107">
        <f t="shared" si="27"/>
        <v>150.13333333333333</v>
      </c>
      <c r="F107">
        <v>204.9</v>
      </c>
      <c r="G107">
        <f t="shared" si="28"/>
        <v>206.9</v>
      </c>
      <c r="H107">
        <v>175.4</v>
      </c>
      <c r="I107">
        <f t="shared" si="29"/>
        <v>174.16666666666666</v>
      </c>
      <c r="J107">
        <v>159.6</v>
      </c>
      <c r="K107">
        <f t="shared" si="30"/>
        <v>159.29999999999998</v>
      </c>
      <c r="L107">
        <v>175.8</v>
      </c>
      <c r="M107">
        <f t="shared" si="31"/>
        <v>175.80000000000004</v>
      </c>
      <c r="N107">
        <v>160.30000000000001</v>
      </c>
      <c r="O107">
        <f t="shared" si="32"/>
        <v>160.26666666666668</v>
      </c>
      <c r="P107">
        <v>229.1</v>
      </c>
      <c r="Q107">
        <f t="shared" si="33"/>
        <v>209</v>
      </c>
      <c r="R107">
        <v>165.1</v>
      </c>
      <c r="S107">
        <f t="shared" si="34"/>
        <v>164.96666666666667</v>
      </c>
      <c r="T107">
        <v>123.1</v>
      </c>
      <c r="U107">
        <f t="shared" si="35"/>
        <v>122</v>
      </c>
      <c r="V107">
        <v>167.2</v>
      </c>
      <c r="W107">
        <f t="shared" si="36"/>
        <v>166.73333333333332</v>
      </c>
      <c r="X107">
        <v>156.1</v>
      </c>
      <c r="Y107">
        <f t="shared" si="37"/>
        <v>155.43333333333337</v>
      </c>
      <c r="Z107">
        <v>176.8</v>
      </c>
      <c r="AA107">
        <f t="shared" si="38"/>
        <v>175.93333333333331</v>
      </c>
      <c r="AB107">
        <v>173.5</v>
      </c>
      <c r="AC107">
        <f t="shared" si="39"/>
        <v>170.76666666666665</v>
      </c>
      <c r="AD107">
        <v>197</v>
      </c>
      <c r="AE107">
        <f t="shared" si="40"/>
        <v>196.83333333333334</v>
      </c>
      <c r="AF107">
        <v>162.30000000000001</v>
      </c>
      <c r="AG107">
        <f t="shared" si="41"/>
        <v>160.96666666666667</v>
      </c>
      <c r="AH107">
        <v>145.30000000000001</v>
      </c>
      <c r="AI107">
        <f t="shared" si="42"/>
        <v>144.43333333333334</v>
      </c>
      <c r="AJ107">
        <v>159.69999999999999</v>
      </c>
      <c r="AK107">
        <f t="shared" si="43"/>
        <v>158.46666666666667</v>
      </c>
      <c r="AL107">
        <v>164.2</v>
      </c>
      <c r="AM107">
        <f t="shared" si="44"/>
        <v>163.29999999999998</v>
      </c>
      <c r="AN107">
        <v>161.6</v>
      </c>
      <c r="AO107">
        <f t="shared" si="45"/>
        <v>161.53333333333333</v>
      </c>
      <c r="AP107">
        <v>155.19999999999999</v>
      </c>
      <c r="AQ107">
        <f t="shared" si="46"/>
        <v>154.26666666666668</v>
      </c>
      <c r="AR107">
        <v>164.2</v>
      </c>
      <c r="AS107">
        <f t="shared" si="47"/>
        <v>163.5</v>
      </c>
      <c r="AT107">
        <v>151.19999999999999</v>
      </c>
      <c r="AU107">
        <f t="shared" si="48"/>
        <v>151.29999999999998</v>
      </c>
      <c r="AV107">
        <v>156.69999999999999</v>
      </c>
      <c r="AW107">
        <f t="shared" si="49"/>
        <v>155.23333333333332</v>
      </c>
      <c r="AX107">
        <v>160.80000000000001</v>
      </c>
      <c r="AY107">
        <f t="shared" si="50"/>
        <v>160.46666666666667</v>
      </c>
      <c r="AZ107">
        <v>161.80000000000001</v>
      </c>
      <c r="BA107">
        <f t="shared" si="51"/>
        <v>160.56666666666666</v>
      </c>
      <c r="BB107">
        <v>157.30000000000001</v>
      </c>
      <c r="BC107">
        <f t="shared" si="52"/>
        <v>156.76666666666668</v>
      </c>
      <c r="BD107">
        <v>165.6</v>
      </c>
      <c r="BE107">
        <f t="shared" si="53"/>
        <v>164.16666666666666</v>
      </c>
    </row>
    <row r="108" spans="1:57" hidden="1">
      <c r="A108" t="s">
        <v>33</v>
      </c>
      <c r="B108">
        <v>2021</v>
      </c>
      <c r="C108" t="s">
        <v>46</v>
      </c>
      <c r="D108">
        <v>151.6</v>
      </c>
      <c r="E108">
        <f t="shared" si="27"/>
        <v>150.9</v>
      </c>
      <c r="F108">
        <v>202.2</v>
      </c>
      <c r="G108">
        <f t="shared" si="28"/>
        <v>205.16666666666666</v>
      </c>
      <c r="H108">
        <v>180</v>
      </c>
      <c r="I108">
        <f t="shared" si="29"/>
        <v>176.13333333333333</v>
      </c>
      <c r="J108">
        <v>160</v>
      </c>
      <c r="K108">
        <f t="shared" si="30"/>
        <v>159.6</v>
      </c>
      <c r="L108">
        <v>173.5</v>
      </c>
      <c r="M108">
        <f t="shared" si="31"/>
        <v>175.29999999999998</v>
      </c>
      <c r="N108">
        <v>158.30000000000001</v>
      </c>
      <c r="O108">
        <f t="shared" si="32"/>
        <v>159.30000000000001</v>
      </c>
      <c r="P108">
        <v>219.5</v>
      </c>
      <c r="Q108">
        <f t="shared" si="33"/>
        <v>221</v>
      </c>
      <c r="R108">
        <v>164.2</v>
      </c>
      <c r="S108">
        <f t="shared" si="34"/>
        <v>164.86666666666665</v>
      </c>
      <c r="T108">
        <v>121.9</v>
      </c>
      <c r="U108">
        <f t="shared" si="35"/>
        <v>122.5</v>
      </c>
      <c r="V108">
        <v>168.2</v>
      </c>
      <c r="W108">
        <f t="shared" si="36"/>
        <v>167.4</v>
      </c>
      <c r="X108">
        <v>156.5</v>
      </c>
      <c r="Y108">
        <f t="shared" si="37"/>
        <v>156</v>
      </c>
      <c r="Z108">
        <v>178.2</v>
      </c>
      <c r="AA108">
        <f t="shared" si="38"/>
        <v>176.9666666666667</v>
      </c>
      <c r="AB108">
        <v>172.2</v>
      </c>
      <c r="AC108">
        <f t="shared" si="39"/>
        <v>172.4</v>
      </c>
      <c r="AD108">
        <v>196.8</v>
      </c>
      <c r="AE108">
        <f t="shared" si="40"/>
        <v>196.93333333333331</v>
      </c>
      <c r="AF108">
        <v>163.30000000000001</v>
      </c>
      <c r="AG108">
        <f t="shared" si="41"/>
        <v>162.13333333333335</v>
      </c>
      <c r="AH108">
        <v>146.69999999999999</v>
      </c>
      <c r="AI108">
        <f t="shared" si="42"/>
        <v>145.46666666666667</v>
      </c>
      <c r="AJ108">
        <v>160.69999999999999</v>
      </c>
      <c r="AK108">
        <f t="shared" si="43"/>
        <v>159.56666666666666</v>
      </c>
      <c r="AL108">
        <v>163.4</v>
      </c>
      <c r="AM108">
        <f t="shared" si="44"/>
        <v>163.73333333333332</v>
      </c>
      <c r="AN108">
        <v>161.69999999999999</v>
      </c>
      <c r="AO108">
        <f t="shared" si="45"/>
        <v>161.83333333333331</v>
      </c>
      <c r="AP108">
        <v>156</v>
      </c>
      <c r="AQ108">
        <f t="shared" si="46"/>
        <v>155.16666666666666</v>
      </c>
      <c r="AR108">
        <v>165.1</v>
      </c>
      <c r="AS108">
        <f t="shared" si="47"/>
        <v>164.26666666666665</v>
      </c>
      <c r="AT108">
        <v>151.80000000000001</v>
      </c>
      <c r="AU108">
        <f t="shared" si="48"/>
        <v>151.73333333333332</v>
      </c>
      <c r="AV108">
        <v>157.6</v>
      </c>
      <c r="AW108">
        <f t="shared" si="49"/>
        <v>156.46666666666667</v>
      </c>
      <c r="AX108">
        <v>160.6</v>
      </c>
      <c r="AY108">
        <f t="shared" si="50"/>
        <v>160.56666666666669</v>
      </c>
      <c r="AZ108">
        <v>162.4</v>
      </c>
      <c r="BA108">
        <f t="shared" si="51"/>
        <v>161.5</v>
      </c>
      <c r="BB108">
        <v>157.80000000000001</v>
      </c>
      <c r="BC108">
        <f t="shared" si="52"/>
        <v>157.36666666666667</v>
      </c>
      <c r="BD108">
        <v>165.2</v>
      </c>
      <c r="BE108">
        <f t="shared" si="53"/>
        <v>165.13333333333333</v>
      </c>
    </row>
    <row r="109" spans="1:57" hidden="1">
      <c r="A109" t="s">
        <v>33</v>
      </c>
      <c r="B109">
        <v>2022</v>
      </c>
      <c r="C109" t="s">
        <v>31</v>
      </c>
      <c r="D109">
        <v>152.19999999999999</v>
      </c>
      <c r="E109">
        <f t="shared" si="27"/>
        <v>151.6</v>
      </c>
      <c r="F109">
        <v>202.1</v>
      </c>
      <c r="G109">
        <f t="shared" si="28"/>
        <v>203.06666666666669</v>
      </c>
      <c r="H109">
        <v>180.1</v>
      </c>
      <c r="I109">
        <f t="shared" si="29"/>
        <v>178.5</v>
      </c>
      <c r="J109">
        <v>160.4</v>
      </c>
      <c r="K109">
        <f t="shared" si="30"/>
        <v>160</v>
      </c>
      <c r="L109">
        <v>171</v>
      </c>
      <c r="M109">
        <f t="shared" si="31"/>
        <v>173.43333333333331</v>
      </c>
      <c r="N109">
        <v>156.5</v>
      </c>
      <c r="O109">
        <f t="shared" si="32"/>
        <v>158.36666666666667</v>
      </c>
      <c r="P109">
        <v>203.6</v>
      </c>
      <c r="Q109">
        <f t="shared" si="33"/>
        <v>217.4</v>
      </c>
      <c r="R109">
        <v>163.80000000000001</v>
      </c>
      <c r="S109">
        <f t="shared" si="34"/>
        <v>164.36666666666665</v>
      </c>
      <c r="T109">
        <v>121.3</v>
      </c>
      <c r="U109">
        <f t="shared" si="35"/>
        <v>122.10000000000001</v>
      </c>
      <c r="V109">
        <v>169.8</v>
      </c>
      <c r="W109">
        <f t="shared" si="36"/>
        <v>168.4</v>
      </c>
      <c r="X109">
        <v>156.6</v>
      </c>
      <c r="Y109">
        <f t="shared" si="37"/>
        <v>156.4</v>
      </c>
      <c r="Z109">
        <v>179</v>
      </c>
      <c r="AA109">
        <f t="shared" si="38"/>
        <v>178</v>
      </c>
      <c r="AB109">
        <v>170.3</v>
      </c>
      <c r="AC109">
        <f t="shared" si="39"/>
        <v>172</v>
      </c>
      <c r="AD109">
        <v>196.4</v>
      </c>
      <c r="AE109">
        <f t="shared" si="40"/>
        <v>196.73333333333335</v>
      </c>
      <c r="AF109">
        <v>164.7</v>
      </c>
      <c r="AG109">
        <f t="shared" si="41"/>
        <v>163.43333333333334</v>
      </c>
      <c r="AH109">
        <v>148.5</v>
      </c>
      <c r="AI109">
        <f t="shared" si="42"/>
        <v>146.83333333333334</v>
      </c>
      <c r="AJ109">
        <v>162.19999999999999</v>
      </c>
      <c r="AK109">
        <f t="shared" si="43"/>
        <v>160.86666666666665</v>
      </c>
      <c r="AL109">
        <v>164.5</v>
      </c>
      <c r="AM109">
        <f t="shared" si="44"/>
        <v>164.03333333333333</v>
      </c>
      <c r="AN109">
        <v>161.6</v>
      </c>
      <c r="AO109">
        <f t="shared" si="45"/>
        <v>161.63333333333333</v>
      </c>
      <c r="AP109">
        <v>156.80000000000001</v>
      </c>
      <c r="AQ109">
        <f t="shared" si="46"/>
        <v>156</v>
      </c>
      <c r="AR109">
        <v>166.1</v>
      </c>
      <c r="AS109">
        <f t="shared" si="47"/>
        <v>165.13333333333333</v>
      </c>
      <c r="AT109">
        <v>152.69999999999999</v>
      </c>
      <c r="AU109">
        <f t="shared" si="48"/>
        <v>151.9</v>
      </c>
      <c r="AV109">
        <v>158.4</v>
      </c>
      <c r="AW109">
        <f t="shared" si="49"/>
        <v>157.56666666666663</v>
      </c>
      <c r="AX109">
        <v>161</v>
      </c>
      <c r="AY109">
        <f t="shared" si="50"/>
        <v>160.79999999999998</v>
      </c>
      <c r="AZ109">
        <v>162.80000000000001</v>
      </c>
      <c r="BA109">
        <f t="shared" si="51"/>
        <v>162.33333333333334</v>
      </c>
      <c r="BB109">
        <v>158.6</v>
      </c>
      <c r="BC109">
        <f t="shared" si="52"/>
        <v>157.9</v>
      </c>
      <c r="BD109">
        <v>165</v>
      </c>
      <c r="BE109">
        <f t="shared" si="53"/>
        <v>165.26666666666665</v>
      </c>
    </row>
    <row r="110" spans="1:57" hidden="1">
      <c r="A110" t="s">
        <v>33</v>
      </c>
      <c r="B110">
        <v>2022</v>
      </c>
      <c r="C110" t="s">
        <v>35</v>
      </c>
      <c r="D110">
        <v>152.5</v>
      </c>
      <c r="E110">
        <f t="shared" si="27"/>
        <v>152.1</v>
      </c>
      <c r="F110">
        <v>205.2</v>
      </c>
      <c r="G110">
        <f t="shared" si="28"/>
        <v>203.16666666666666</v>
      </c>
      <c r="H110">
        <v>176.4</v>
      </c>
      <c r="I110">
        <f t="shared" si="29"/>
        <v>178.83333333333334</v>
      </c>
      <c r="J110">
        <v>160.6</v>
      </c>
      <c r="K110">
        <f t="shared" si="30"/>
        <v>160.33333333333334</v>
      </c>
      <c r="L110">
        <v>171.5</v>
      </c>
      <c r="M110">
        <f t="shared" si="31"/>
        <v>172</v>
      </c>
      <c r="N110">
        <v>156.4</v>
      </c>
      <c r="O110">
        <f t="shared" si="32"/>
        <v>157.06666666666669</v>
      </c>
      <c r="P110">
        <v>198</v>
      </c>
      <c r="Q110">
        <f t="shared" si="33"/>
        <v>207.03333333333333</v>
      </c>
      <c r="R110">
        <v>163.19999999999999</v>
      </c>
      <c r="S110">
        <f t="shared" si="34"/>
        <v>163.73333333333332</v>
      </c>
      <c r="T110">
        <v>120.6</v>
      </c>
      <c r="U110">
        <f t="shared" si="35"/>
        <v>121.26666666666665</v>
      </c>
      <c r="V110">
        <v>172.2</v>
      </c>
      <c r="W110">
        <f t="shared" si="36"/>
        <v>170.06666666666666</v>
      </c>
      <c r="X110">
        <v>156.69999999999999</v>
      </c>
      <c r="Y110">
        <f t="shared" si="37"/>
        <v>156.6</v>
      </c>
      <c r="Z110">
        <v>180</v>
      </c>
      <c r="AA110">
        <f t="shared" si="38"/>
        <v>179.06666666666669</v>
      </c>
      <c r="AB110">
        <v>170.2</v>
      </c>
      <c r="AC110">
        <f t="shared" si="39"/>
        <v>170.9</v>
      </c>
      <c r="AD110">
        <v>196.5</v>
      </c>
      <c r="AE110">
        <f t="shared" si="40"/>
        <v>196.56666666666669</v>
      </c>
      <c r="AF110">
        <v>165.7</v>
      </c>
      <c r="AG110">
        <f t="shared" si="41"/>
        <v>164.56666666666666</v>
      </c>
      <c r="AH110">
        <v>150.4</v>
      </c>
      <c r="AI110">
        <f t="shared" si="42"/>
        <v>148.53333333333333</v>
      </c>
      <c r="AJ110">
        <v>163.4</v>
      </c>
      <c r="AK110">
        <f t="shared" si="43"/>
        <v>162.1</v>
      </c>
      <c r="AL110">
        <v>165.5</v>
      </c>
      <c r="AM110">
        <f t="shared" si="44"/>
        <v>164.46666666666667</v>
      </c>
      <c r="AN110">
        <v>163</v>
      </c>
      <c r="AO110">
        <f t="shared" si="45"/>
        <v>162.1</v>
      </c>
      <c r="AP110">
        <v>157.4</v>
      </c>
      <c r="AQ110">
        <f t="shared" si="46"/>
        <v>156.73333333333335</v>
      </c>
      <c r="AR110">
        <v>167.2</v>
      </c>
      <c r="AS110">
        <f t="shared" si="47"/>
        <v>166.13333333333333</v>
      </c>
      <c r="AT110">
        <v>153.1</v>
      </c>
      <c r="AU110">
        <f t="shared" si="48"/>
        <v>152.53333333333333</v>
      </c>
      <c r="AV110">
        <v>159.5</v>
      </c>
      <c r="AW110">
        <f t="shared" si="49"/>
        <v>158.5</v>
      </c>
      <c r="AX110">
        <v>162</v>
      </c>
      <c r="AY110">
        <f t="shared" si="50"/>
        <v>161.20000000000002</v>
      </c>
      <c r="AZ110">
        <v>164.2</v>
      </c>
      <c r="BA110">
        <f t="shared" si="51"/>
        <v>163.13333333333335</v>
      </c>
      <c r="BB110">
        <v>159.4</v>
      </c>
      <c r="BC110">
        <f t="shared" si="52"/>
        <v>158.6</v>
      </c>
      <c r="BD110">
        <v>165.5</v>
      </c>
      <c r="BE110">
        <f t="shared" si="53"/>
        <v>165.23333333333332</v>
      </c>
    </row>
    <row r="111" spans="1:57" hidden="1">
      <c r="A111" t="s">
        <v>33</v>
      </c>
      <c r="B111">
        <v>2022</v>
      </c>
      <c r="C111" t="s">
        <v>36</v>
      </c>
      <c r="D111">
        <v>153.69999999999999</v>
      </c>
      <c r="E111">
        <f t="shared" si="27"/>
        <v>152.79999999999998</v>
      </c>
      <c r="F111">
        <v>215.8</v>
      </c>
      <c r="G111">
        <f t="shared" si="28"/>
        <v>207.69999999999996</v>
      </c>
      <c r="H111">
        <v>167.7</v>
      </c>
      <c r="I111">
        <f t="shared" si="29"/>
        <v>174.73333333333335</v>
      </c>
      <c r="J111">
        <v>162.6</v>
      </c>
      <c r="K111">
        <f t="shared" si="30"/>
        <v>161.20000000000002</v>
      </c>
      <c r="L111">
        <v>180</v>
      </c>
      <c r="M111">
        <f t="shared" si="31"/>
        <v>174.16666666666666</v>
      </c>
      <c r="N111">
        <v>159.6</v>
      </c>
      <c r="O111">
        <f t="shared" si="32"/>
        <v>157.5</v>
      </c>
      <c r="P111">
        <v>188.4</v>
      </c>
      <c r="Q111">
        <f t="shared" si="33"/>
        <v>196.66666666666666</v>
      </c>
      <c r="R111">
        <v>163.4</v>
      </c>
      <c r="S111">
        <f t="shared" si="34"/>
        <v>163.46666666666667</v>
      </c>
      <c r="T111">
        <v>120.3</v>
      </c>
      <c r="U111">
        <f t="shared" si="35"/>
        <v>120.73333333333333</v>
      </c>
      <c r="V111">
        <v>174.7</v>
      </c>
      <c r="W111">
        <f t="shared" si="36"/>
        <v>172.23333333333335</v>
      </c>
      <c r="X111">
        <v>157.1</v>
      </c>
      <c r="Y111">
        <f t="shared" si="37"/>
        <v>156.79999999999998</v>
      </c>
      <c r="Z111">
        <v>181.5</v>
      </c>
      <c r="AA111">
        <f t="shared" si="38"/>
        <v>180.16666666666666</v>
      </c>
      <c r="AB111">
        <v>171.5</v>
      </c>
      <c r="AC111">
        <f t="shared" si="39"/>
        <v>170.66666666666666</v>
      </c>
      <c r="AD111">
        <v>197.5</v>
      </c>
      <c r="AE111">
        <f t="shared" si="40"/>
        <v>196.79999999999998</v>
      </c>
      <c r="AF111">
        <v>167.1</v>
      </c>
      <c r="AG111">
        <f t="shared" si="41"/>
        <v>165.83333333333334</v>
      </c>
      <c r="AH111">
        <v>152.6</v>
      </c>
      <c r="AI111">
        <f t="shared" si="42"/>
        <v>150.5</v>
      </c>
      <c r="AJ111">
        <v>164.9</v>
      </c>
      <c r="AK111">
        <f t="shared" si="43"/>
        <v>163.5</v>
      </c>
      <c r="AL111">
        <v>165.3</v>
      </c>
      <c r="AM111">
        <f t="shared" si="44"/>
        <v>165.1</v>
      </c>
      <c r="AN111">
        <v>164.5</v>
      </c>
      <c r="AO111">
        <f t="shared" si="45"/>
        <v>163.03333333333333</v>
      </c>
      <c r="AP111">
        <v>158.6</v>
      </c>
      <c r="AQ111">
        <f t="shared" si="46"/>
        <v>157.60000000000002</v>
      </c>
      <c r="AR111">
        <v>168.2</v>
      </c>
      <c r="AS111">
        <f t="shared" si="47"/>
        <v>167.16666666666666</v>
      </c>
      <c r="AT111">
        <v>154.19999999999999</v>
      </c>
      <c r="AU111">
        <f t="shared" si="48"/>
        <v>153.33333333333331</v>
      </c>
      <c r="AV111">
        <v>160.80000000000001</v>
      </c>
      <c r="AW111">
        <f t="shared" si="49"/>
        <v>159.56666666666666</v>
      </c>
      <c r="AX111">
        <v>162.69999999999999</v>
      </c>
      <c r="AY111">
        <f t="shared" si="50"/>
        <v>161.9</v>
      </c>
      <c r="AZ111">
        <v>166.8</v>
      </c>
      <c r="BA111">
        <f t="shared" si="51"/>
        <v>164.6</v>
      </c>
      <c r="BB111">
        <v>160.6</v>
      </c>
      <c r="BC111">
        <f t="shared" si="52"/>
        <v>159.53333333333333</v>
      </c>
      <c r="BD111">
        <v>166.5</v>
      </c>
      <c r="BE111">
        <f t="shared" si="53"/>
        <v>165.66666666666666</v>
      </c>
    </row>
    <row r="112" spans="1:57" hidden="1">
      <c r="A112" t="s">
        <v>33</v>
      </c>
      <c r="B112">
        <v>2022</v>
      </c>
      <c r="C112" t="s">
        <v>37</v>
      </c>
      <c r="D112">
        <v>155.4</v>
      </c>
      <c r="E112">
        <f t="shared" si="27"/>
        <v>153.86666666666667</v>
      </c>
      <c r="F112">
        <v>215.8</v>
      </c>
      <c r="G112">
        <f t="shared" si="28"/>
        <v>212.26666666666665</v>
      </c>
      <c r="H112">
        <v>164.6</v>
      </c>
      <c r="I112">
        <f t="shared" si="29"/>
        <v>169.56666666666669</v>
      </c>
      <c r="J112">
        <v>164.2</v>
      </c>
      <c r="K112">
        <f t="shared" si="30"/>
        <v>162.46666666666667</v>
      </c>
      <c r="L112">
        <v>186</v>
      </c>
      <c r="M112">
        <f t="shared" si="31"/>
        <v>179.16666666666666</v>
      </c>
      <c r="N112">
        <v>175.9</v>
      </c>
      <c r="O112">
        <f t="shared" si="32"/>
        <v>163.96666666666667</v>
      </c>
      <c r="P112">
        <v>190.7</v>
      </c>
      <c r="Q112">
        <f t="shared" si="33"/>
        <v>192.36666666666665</v>
      </c>
      <c r="R112">
        <v>164</v>
      </c>
      <c r="S112">
        <f t="shared" si="34"/>
        <v>163.53333333333333</v>
      </c>
      <c r="T112">
        <v>120.5</v>
      </c>
      <c r="U112">
        <f t="shared" si="35"/>
        <v>120.46666666666665</v>
      </c>
      <c r="V112">
        <v>178</v>
      </c>
      <c r="W112">
        <f t="shared" si="36"/>
        <v>174.96666666666667</v>
      </c>
      <c r="X112">
        <v>157.5</v>
      </c>
      <c r="Y112">
        <f t="shared" si="37"/>
        <v>157.1</v>
      </c>
      <c r="Z112">
        <v>183.3</v>
      </c>
      <c r="AA112">
        <f t="shared" si="38"/>
        <v>181.6</v>
      </c>
      <c r="AB112">
        <v>174.5</v>
      </c>
      <c r="AC112">
        <f t="shared" si="39"/>
        <v>172.06666666666669</v>
      </c>
      <c r="AD112">
        <v>197.1</v>
      </c>
      <c r="AE112">
        <f t="shared" si="40"/>
        <v>197.03333333333333</v>
      </c>
      <c r="AF112">
        <v>168.4</v>
      </c>
      <c r="AG112">
        <f t="shared" si="41"/>
        <v>167.06666666666663</v>
      </c>
      <c r="AH112">
        <v>154.5</v>
      </c>
      <c r="AI112">
        <f t="shared" si="42"/>
        <v>152.5</v>
      </c>
      <c r="AJ112">
        <v>166.3</v>
      </c>
      <c r="AK112">
        <f t="shared" si="43"/>
        <v>164.86666666666667</v>
      </c>
      <c r="AL112">
        <v>167</v>
      </c>
      <c r="AM112">
        <f t="shared" si="44"/>
        <v>165.93333333333334</v>
      </c>
      <c r="AN112">
        <v>170.5</v>
      </c>
      <c r="AO112">
        <f t="shared" si="45"/>
        <v>166</v>
      </c>
      <c r="AP112">
        <v>159.80000000000001</v>
      </c>
      <c r="AQ112">
        <f t="shared" si="46"/>
        <v>158.6</v>
      </c>
      <c r="AR112">
        <v>169</v>
      </c>
      <c r="AS112">
        <f t="shared" si="47"/>
        <v>168.13333333333333</v>
      </c>
      <c r="AT112">
        <v>159.30000000000001</v>
      </c>
      <c r="AU112">
        <f t="shared" si="48"/>
        <v>155.53333333333333</v>
      </c>
      <c r="AV112">
        <v>162.19999999999999</v>
      </c>
      <c r="AW112">
        <f t="shared" si="49"/>
        <v>160.83333333333334</v>
      </c>
      <c r="AX112">
        <v>164</v>
      </c>
      <c r="AY112">
        <f t="shared" si="50"/>
        <v>162.9</v>
      </c>
      <c r="AZ112">
        <v>168.4</v>
      </c>
      <c r="BA112">
        <f t="shared" si="51"/>
        <v>166.46666666666667</v>
      </c>
      <c r="BB112">
        <v>163.1</v>
      </c>
      <c r="BC112">
        <f t="shared" si="52"/>
        <v>161.03333333333333</v>
      </c>
      <c r="BD112">
        <v>169.2</v>
      </c>
      <c r="BE112">
        <f t="shared" si="53"/>
        <v>167.06666666666666</v>
      </c>
    </row>
    <row r="113" spans="1:57" hidden="1">
      <c r="A113" t="s">
        <v>33</v>
      </c>
      <c r="B113">
        <v>2022</v>
      </c>
      <c r="C113" t="s">
        <v>38</v>
      </c>
      <c r="D113">
        <v>156.69999999999999</v>
      </c>
      <c r="E113">
        <f t="shared" si="27"/>
        <v>155.26666666666668</v>
      </c>
      <c r="F113">
        <v>221.2</v>
      </c>
      <c r="G113">
        <f t="shared" si="28"/>
        <v>217.6</v>
      </c>
      <c r="H113">
        <v>164.1</v>
      </c>
      <c r="I113">
        <f t="shared" si="29"/>
        <v>165.46666666666667</v>
      </c>
      <c r="J113">
        <v>165.4</v>
      </c>
      <c r="K113">
        <f t="shared" si="30"/>
        <v>164.06666666666663</v>
      </c>
      <c r="L113">
        <v>189.5</v>
      </c>
      <c r="M113">
        <f t="shared" si="31"/>
        <v>185.16666666666666</v>
      </c>
      <c r="N113">
        <v>174.5</v>
      </c>
      <c r="O113">
        <f t="shared" si="32"/>
        <v>170</v>
      </c>
      <c r="P113">
        <v>203.2</v>
      </c>
      <c r="Q113">
        <f t="shared" si="33"/>
        <v>194.1</v>
      </c>
      <c r="R113">
        <v>164.1</v>
      </c>
      <c r="S113">
        <f t="shared" si="34"/>
        <v>163.83333333333334</v>
      </c>
      <c r="T113">
        <v>121.2</v>
      </c>
      <c r="U113">
        <f t="shared" si="35"/>
        <v>120.66666666666667</v>
      </c>
      <c r="V113">
        <v>181.4</v>
      </c>
      <c r="W113">
        <f t="shared" si="36"/>
        <v>178.03333333333333</v>
      </c>
      <c r="X113">
        <v>158.5</v>
      </c>
      <c r="Y113">
        <f t="shared" si="37"/>
        <v>157.70000000000002</v>
      </c>
      <c r="Z113">
        <v>184.9</v>
      </c>
      <c r="AA113">
        <f t="shared" si="38"/>
        <v>183.23333333333335</v>
      </c>
      <c r="AB113">
        <v>177.5</v>
      </c>
      <c r="AC113">
        <f t="shared" si="39"/>
        <v>174.5</v>
      </c>
      <c r="AD113">
        <v>197.5</v>
      </c>
      <c r="AE113">
        <f t="shared" si="40"/>
        <v>197.36666666666667</v>
      </c>
      <c r="AF113">
        <v>170</v>
      </c>
      <c r="AG113">
        <f t="shared" si="41"/>
        <v>168.5</v>
      </c>
      <c r="AH113">
        <v>155.9</v>
      </c>
      <c r="AI113">
        <f t="shared" si="42"/>
        <v>154.33333333333334</v>
      </c>
      <c r="AJ113">
        <v>167.8</v>
      </c>
      <c r="AK113">
        <f t="shared" si="43"/>
        <v>166.33333333333334</v>
      </c>
      <c r="AL113">
        <v>167.5</v>
      </c>
      <c r="AM113">
        <f t="shared" si="44"/>
        <v>166.6</v>
      </c>
      <c r="AN113">
        <v>173.5</v>
      </c>
      <c r="AO113">
        <f t="shared" si="45"/>
        <v>169.5</v>
      </c>
      <c r="AP113">
        <v>161.1</v>
      </c>
      <c r="AQ113">
        <f t="shared" si="46"/>
        <v>159.83333333333334</v>
      </c>
      <c r="AR113">
        <v>170.1</v>
      </c>
      <c r="AS113">
        <f t="shared" si="47"/>
        <v>169.1</v>
      </c>
      <c r="AT113">
        <v>159.4</v>
      </c>
      <c r="AU113">
        <f t="shared" si="48"/>
        <v>157.63333333333333</v>
      </c>
      <c r="AV113">
        <v>163.19999999999999</v>
      </c>
      <c r="AW113">
        <f t="shared" si="49"/>
        <v>162.06666666666666</v>
      </c>
      <c r="AX113">
        <v>165.2</v>
      </c>
      <c r="AY113">
        <f t="shared" si="50"/>
        <v>163.96666666666667</v>
      </c>
      <c r="AZ113">
        <v>168.2</v>
      </c>
      <c r="BA113">
        <f t="shared" si="51"/>
        <v>167.8</v>
      </c>
      <c r="BB113">
        <v>163.80000000000001</v>
      </c>
      <c r="BC113">
        <f t="shared" si="52"/>
        <v>162.5</v>
      </c>
      <c r="BD113">
        <v>170.8</v>
      </c>
      <c r="BE113">
        <f t="shared" si="53"/>
        <v>168.83333333333334</v>
      </c>
    </row>
    <row r="114" spans="1:57" hidden="1">
      <c r="A114" t="s">
        <v>33</v>
      </c>
      <c r="B114">
        <v>2022</v>
      </c>
      <c r="C114" t="s">
        <v>39</v>
      </c>
      <c r="D114">
        <v>157.5</v>
      </c>
      <c r="E114">
        <f t="shared" si="27"/>
        <v>156.53333333333333</v>
      </c>
      <c r="F114">
        <v>223.4</v>
      </c>
      <c r="G114">
        <f t="shared" si="28"/>
        <v>220.13333333333333</v>
      </c>
      <c r="H114">
        <v>172.8</v>
      </c>
      <c r="I114">
        <f t="shared" si="29"/>
        <v>167.16666666666666</v>
      </c>
      <c r="J114">
        <v>166.4</v>
      </c>
      <c r="K114">
        <f t="shared" si="30"/>
        <v>165.33333333333334</v>
      </c>
      <c r="L114">
        <v>188.6</v>
      </c>
      <c r="M114">
        <f t="shared" si="31"/>
        <v>188.03333333333333</v>
      </c>
      <c r="N114">
        <v>174.1</v>
      </c>
      <c r="O114">
        <f t="shared" si="32"/>
        <v>174.83333333333334</v>
      </c>
      <c r="P114">
        <v>211.5</v>
      </c>
      <c r="Q114">
        <f t="shared" si="33"/>
        <v>201.79999999999998</v>
      </c>
      <c r="R114">
        <v>163.6</v>
      </c>
      <c r="S114">
        <f t="shared" si="34"/>
        <v>163.9</v>
      </c>
      <c r="T114">
        <v>121.4</v>
      </c>
      <c r="U114">
        <f t="shared" si="35"/>
        <v>121.03333333333335</v>
      </c>
      <c r="V114">
        <v>183.5</v>
      </c>
      <c r="W114">
        <f t="shared" si="36"/>
        <v>180.96666666666667</v>
      </c>
      <c r="X114">
        <v>159.1</v>
      </c>
      <c r="Y114">
        <f t="shared" si="37"/>
        <v>158.36666666666667</v>
      </c>
      <c r="Z114">
        <v>186.3</v>
      </c>
      <c r="AA114">
        <f t="shared" si="38"/>
        <v>184.83333333333334</v>
      </c>
      <c r="AB114">
        <v>179.3</v>
      </c>
      <c r="AC114">
        <f t="shared" si="39"/>
        <v>177.1</v>
      </c>
      <c r="AD114">
        <v>198.3</v>
      </c>
      <c r="AE114">
        <f t="shared" si="40"/>
        <v>197.63333333333335</v>
      </c>
      <c r="AF114">
        <v>171.6</v>
      </c>
      <c r="AG114">
        <f t="shared" si="41"/>
        <v>170</v>
      </c>
      <c r="AH114">
        <v>157.4</v>
      </c>
      <c r="AI114">
        <f t="shared" si="42"/>
        <v>155.93333333333331</v>
      </c>
      <c r="AJ114">
        <v>169.4</v>
      </c>
      <c r="AK114">
        <f t="shared" si="43"/>
        <v>167.83333333333334</v>
      </c>
      <c r="AL114">
        <v>166.8</v>
      </c>
      <c r="AM114">
        <f t="shared" si="44"/>
        <v>167.1</v>
      </c>
      <c r="AN114">
        <v>174.9</v>
      </c>
      <c r="AO114">
        <f t="shared" si="45"/>
        <v>172.96666666666667</v>
      </c>
      <c r="AP114">
        <v>162.1</v>
      </c>
      <c r="AQ114">
        <f t="shared" si="46"/>
        <v>161</v>
      </c>
      <c r="AR114">
        <v>170.9</v>
      </c>
      <c r="AS114">
        <f t="shared" si="47"/>
        <v>170</v>
      </c>
      <c r="AT114">
        <v>157.19999999999999</v>
      </c>
      <c r="AU114">
        <f t="shared" si="48"/>
        <v>158.63333333333335</v>
      </c>
      <c r="AV114">
        <v>164.1</v>
      </c>
      <c r="AW114">
        <f t="shared" si="49"/>
        <v>163.16666666666666</v>
      </c>
      <c r="AX114">
        <v>166.5</v>
      </c>
      <c r="AY114">
        <f t="shared" si="50"/>
        <v>165.23333333333332</v>
      </c>
      <c r="AZ114">
        <v>169.2</v>
      </c>
      <c r="BA114">
        <f t="shared" si="51"/>
        <v>168.6</v>
      </c>
      <c r="BB114">
        <v>163.80000000000001</v>
      </c>
      <c r="BC114">
        <f t="shared" si="52"/>
        <v>163.56666666666666</v>
      </c>
      <c r="BD114">
        <v>171.4</v>
      </c>
      <c r="BE114">
        <f t="shared" si="53"/>
        <v>170.46666666666667</v>
      </c>
    </row>
    <row r="115" spans="1:57" hidden="1">
      <c r="A115" t="s">
        <v>33</v>
      </c>
      <c r="B115">
        <v>2022</v>
      </c>
      <c r="C115" t="s">
        <v>40</v>
      </c>
      <c r="D115">
        <v>159.30000000000001</v>
      </c>
      <c r="E115">
        <f t="shared" si="27"/>
        <v>157.83333333333334</v>
      </c>
      <c r="F115">
        <v>217.1</v>
      </c>
      <c r="G115">
        <f t="shared" si="28"/>
        <v>220.56666666666669</v>
      </c>
      <c r="H115">
        <v>176.6</v>
      </c>
      <c r="I115">
        <f t="shared" si="29"/>
        <v>171.16666666666666</v>
      </c>
      <c r="J115">
        <v>167.1</v>
      </c>
      <c r="K115">
        <f t="shared" si="30"/>
        <v>166.29999999999998</v>
      </c>
      <c r="L115">
        <v>184.8</v>
      </c>
      <c r="M115">
        <f t="shared" si="31"/>
        <v>187.63333333333335</v>
      </c>
      <c r="N115">
        <v>179.5</v>
      </c>
      <c r="O115">
        <f t="shared" si="32"/>
        <v>176.03333333333333</v>
      </c>
      <c r="P115">
        <v>208.5</v>
      </c>
      <c r="Q115">
        <f t="shared" si="33"/>
        <v>207.73333333333335</v>
      </c>
      <c r="R115">
        <v>164</v>
      </c>
      <c r="S115">
        <f t="shared" si="34"/>
        <v>163.9</v>
      </c>
      <c r="T115">
        <v>121.5</v>
      </c>
      <c r="U115">
        <f t="shared" si="35"/>
        <v>121.36666666666667</v>
      </c>
      <c r="V115">
        <v>186.3</v>
      </c>
      <c r="W115">
        <f t="shared" si="36"/>
        <v>183.73333333333335</v>
      </c>
      <c r="X115">
        <v>159.80000000000001</v>
      </c>
      <c r="Y115">
        <f t="shared" si="37"/>
        <v>159.13333333333335</v>
      </c>
      <c r="Z115">
        <v>187.7</v>
      </c>
      <c r="AA115">
        <f t="shared" si="38"/>
        <v>186.30000000000004</v>
      </c>
      <c r="AB115">
        <v>179.4</v>
      </c>
      <c r="AC115">
        <f t="shared" si="39"/>
        <v>178.73333333333335</v>
      </c>
      <c r="AD115">
        <v>198.6</v>
      </c>
      <c r="AE115">
        <f t="shared" si="40"/>
        <v>198.13333333333333</v>
      </c>
      <c r="AF115">
        <v>172.7</v>
      </c>
      <c r="AG115">
        <f t="shared" si="41"/>
        <v>171.43333333333331</v>
      </c>
      <c r="AH115">
        <v>158.69999999999999</v>
      </c>
      <c r="AI115">
        <f t="shared" si="42"/>
        <v>157.33333333333334</v>
      </c>
      <c r="AJ115">
        <v>170.6</v>
      </c>
      <c r="AK115">
        <f t="shared" si="43"/>
        <v>169.26666666666668</v>
      </c>
      <c r="AL115">
        <v>167.8</v>
      </c>
      <c r="AM115">
        <f t="shared" si="44"/>
        <v>167.36666666666667</v>
      </c>
      <c r="AN115">
        <v>179.5</v>
      </c>
      <c r="AO115">
        <f t="shared" si="45"/>
        <v>175.96666666666667</v>
      </c>
      <c r="AP115">
        <v>163.1</v>
      </c>
      <c r="AQ115">
        <f t="shared" si="46"/>
        <v>162.1</v>
      </c>
      <c r="AR115">
        <v>171.7</v>
      </c>
      <c r="AS115">
        <f t="shared" si="47"/>
        <v>170.9</v>
      </c>
      <c r="AT115">
        <v>157.4</v>
      </c>
      <c r="AU115">
        <f t="shared" si="48"/>
        <v>158</v>
      </c>
      <c r="AV115">
        <v>164.6</v>
      </c>
      <c r="AW115">
        <f t="shared" si="49"/>
        <v>163.96666666666667</v>
      </c>
      <c r="AX115">
        <v>169.1</v>
      </c>
      <c r="AY115">
        <f t="shared" si="50"/>
        <v>166.93333333333331</v>
      </c>
      <c r="AZ115">
        <v>169.8</v>
      </c>
      <c r="BA115">
        <f t="shared" si="51"/>
        <v>169.06666666666666</v>
      </c>
      <c r="BB115">
        <v>164.7</v>
      </c>
      <c r="BC115">
        <f t="shared" si="52"/>
        <v>164.1</v>
      </c>
      <c r="BD115">
        <v>172.3</v>
      </c>
      <c r="BE115">
        <f t="shared" si="53"/>
        <v>171.5</v>
      </c>
    </row>
    <row r="116" spans="1:57" hidden="1">
      <c r="A116" t="s">
        <v>33</v>
      </c>
      <c r="B116">
        <v>2022</v>
      </c>
      <c r="C116" t="s">
        <v>41</v>
      </c>
      <c r="D116">
        <v>162.1</v>
      </c>
      <c r="E116">
        <f t="shared" si="27"/>
        <v>159.63333333333333</v>
      </c>
      <c r="F116">
        <v>210.9</v>
      </c>
      <c r="G116">
        <f t="shared" si="28"/>
        <v>217.13333333333333</v>
      </c>
      <c r="H116">
        <v>170.6</v>
      </c>
      <c r="I116">
        <f t="shared" si="29"/>
        <v>173.33333333333334</v>
      </c>
      <c r="J116">
        <v>168.4</v>
      </c>
      <c r="K116">
        <f t="shared" si="30"/>
        <v>167.29999999999998</v>
      </c>
      <c r="L116">
        <v>182.5</v>
      </c>
      <c r="M116">
        <f t="shared" si="31"/>
        <v>185.29999999999998</v>
      </c>
      <c r="N116">
        <v>177.1</v>
      </c>
      <c r="O116">
        <f t="shared" si="32"/>
        <v>176.9</v>
      </c>
      <c r="P116">
        <v>213.1</v>
      </c>
      <c r="Q116">
        <f t="shared" si="33"/>
        <v>211.03333333333333</v>
      </c>
      <c r="R116">
        <v>167.3</v>
      </c>
      <c r="S116">
        <f t="shared" si="34"/>
        <v>164.96666666666667</v>
      </c>
      <c r="T116">
        <v>122.2</v>
      </c>
      <c r="U116">
        <f t="shared" si="35"/>
        <v>121.7</v>
      </c>
      <c r="V116">
        <v>189.7</v>
      </c>
      <c r="W116">
        <f t="shared" si="36"/>
        <v>186.5</v>
      </c>
      <c r="X116">
        <v>160.5</v>
      </c>
      <c r="Y116">
        <f t="shared" si="37"/>
        <v>159.79999999999998</v>
      </c>
      <c r="Z116">
        <v>188.9</v>
      </c>
      <c r="AA116">
        <f t="shared" si="38"/>
        <v>187.63333333333333</v>
      </c>
      <c r="AB116">
        <v>180.4</v>
      </c>
      <c r="AC116">
        <f t="shared" si="39"/>
        <v>179.70000000000002</v>
      </c>
      <c r="AD116">
        <v>198.7</v>
      </c>
      <c r="AE116">
        <f t="shared" si="40"/>
        <v>198.5333333333333</v>
      </c>
      <c r="AF116">
        <v>173.7</v>
      </c>
      <c r="AG116">
        <f t="shared" si="41"/>
        <v>172.66666666666666</v>
      </c>
      <c r="AH116">
        <v>160</v>
      </c>
      <c r="AI116">
        <f t="shared" si="42"/>
        <v>158.70000000000002</v>
      </c>
      <c r="AJ116">
        <v>171.6</v>
      </c>
      <c r="AK116">
        <f t="shared" si="43"/>
        <v>170.53333333333333</v>
      </c>
      <c r="AL116">
        <v>169</v>
      </c>
      <c r="AM116">
        <f t="shared" si="44"/>
        <v>167.86666666666667</v>
      </c>
      <c r="AN116">
        <v>178.4</v>
      </c>
      <c r="AO116">
        <f t="shared" si="45"/>
        <v>177.6</v>
      </c>
      <c r="AP116">
        <v>164.2</v>
      </c>
      <c r="AQ116">
        <f t="shared" si="46"/>
        <v>163.13333333333333</v>
      </c>
      <c r="AR116">
        <v>172.6</v>
      </c>
      <c r="AS116">
        <f t="shared" si="47"/>
        <v>171.73333333333335</v>
      </c>
      <c r="AT116">
        <v>157.69999999999999</v>
      </c>
      <c r="AU116">
        <f t="shared" si="48"/>
        <v>157.43333333333334</v>
      </c>
      <c r="AV116">
        <v>165.1</v>
      </c>
      <c r="AW116">
        <f t="shared" si="49"/>
        <v>164.6</v>
      </c>
      <c r="AX116">
        <v>169.9</v>
      </c>
      <c r="AY116">
        <f t="shared" si="50"/>
        <v>168.5</v>
      </c>
      <c r="AZ116">
        <v>171.4</v>
      </c>
      <c r="BA116">
        <f t="shared" si="51"/>
        <v>170.13333333333333</v>
      </c>
      <c r="BB116">
        <v>165.4</v>
      </c>
      <c r="BC116">
        <f t="shared" si="52"/>
        <v>164.63333333333333</v>
      </c>
      <c r="BD116">
        <v>173.1</v>
      </c>
      <c r="BE116">
        <f t="shared" si="53"/>
        <v>172.26666666666668</v>
      </c>
    </row>
    <row r="117" spans="1:57" hidden="1">
      <c r="A117" t="s">
        <v>33</v>
      </c>
      <c r="B117">
        <v>2022</v>
      </c>
      <c r="C117" t="s">
        <v>42</v>
      </c>
      <c r="D117">
        <v>164.9</v>
      </c>
      <c r="E117">
        <f t="shared" si="27"/>
        <v>162.1</v>
      </c>
      <c r="F117">
        <v>213.7</v>
      </c>
      <c r="G117">
        <f t="shared" si="28"/>
        <v>213.9</v>
      </c>
      <c r="H117">
        <v>170.9</v>
      </c>
      <c r="I117">
        <f t="shared" si="29"/>
        <v>172.70000000000002</v>
      </c>
      <c r="J117">
        <v>170.1</v>
      </c>
      <c r="K117">
        <f t="shared" si="30"/>
        <v>168.53333333333333</v>
      </c>
      <c r="L117">
        <v>179.3</v>
      </c>
      <c r="M117">
        <f t="shared" si="31"/>
        <v>182.20000000000002</v>
      </c>
      <c r="N117">
        <v>167.5</v>
      </c>
      <c r="O117">
        <f t="shared" si="32"/>
        <v>174.70000000000002</v>
      </c>
      <c r="P117">
        <v>220.8</v>
      </c>
      <c r="Q117">
        <f t="shared" si="33"/>
        <v>214.13333333333335</v>
      </c>
      <c r="R117">
        <v>169.2</v>
      </c>
      <c r="S117">
        <f t="shared" si="34"/>
        <v>166.83333333333334</v>
      </c>
      <c r="T117">
        <v>123.1</v>
      </c>
      <c r="U117">
        <f t="shared" si="35"/>
        <v>122.26666666666665</v>
      </c>
      <c r="V117">
        <v>193.6</v>
      </c>
      <c r="W117">
        <f t="shared" si="36"/>
        <v>189.86666666666667</v>
      </c>
      <c r="X117">
        <v>161.1</v>
      </c>
      <c r="Y117">
        <f t="shared" si="37"/>
        <v>160.46666666666667</v>
      </c>
      <c r="Z117">
        <v>190.4</v>
      </c>
      <c r="AA117">
        <f t="shared" si="38"/>
        <v>189</v>
      </c>
      <c r="AB117">
        <v>181.8</v>
      </c>
      <c r="AC117">
        <f t="shared" si="39"/>
        <v>180.53333333333333</v>
      </c>
      <c r="AD117">
        <v>199.7</v>
      </c>
      <c r="AE117">
        <f t="shared" si="40"/>
        <v>199</v>
      </c>
      <c r="AF117">
        <v>175</v>
      </c>
      <c r="AG117">
        <f t="shared" si="41"/>
        <v>173.79999999999998</v>
      </c>
      <c r="AH117">
        <v>161.69999999999999</v>
      </c>
      <c r="AI117">
        <f t="shared" si="42"/>
        <v>160.13333333333333</v>
      </c>
      <c r="AJ117">
        <v>173</v>
      </c>
      <c r="AK117">
        <f t="shared" si="43"/>
        <v>171.73333333333335</v>
      </c>
      <c r="AL117">
        <v>169.5</v>
      </c>
      <c r="AM117">
        <f t="shared" si="44"/>
        <v>168.76666666666668</v>
      </c>
      <c r="AN117">
        <v>179.2</v>
      </c>
      <c r="AO117">
        <f t="shared" si="45"/>
        <v>179.0333333333333</v>
      </c>
      <c r="AP117">
        <v>165</v>
      </c>
      <c r="AQ117">
        <f t="shared" si="46"/>
        <v>164.1</v>
      </c>
      <c r="AR117">
        <v>173.8</v>
      </c>
      <c r="AS117">
        <f t="shared" si="47"/>
        <v>172.69999999999996</v>
      </c>
      <c r="AT117">
        <v>158.19999999999999</v>
      </c>
      <c r="AU117">
        <f t="shared" si="48"/>
        <v>157.76666666666668</v>
      </c>
      <c r="AV117">
        <v>165.8</v>
      </c>
      <c r="AW117">
        <f t="shared" si="49"/>
        <v>165.16666666666666</v>
      </c>
      <c r="AX117">
        <v>170.9</v>
      </c>
      <c r="AY117">
        <f t="shared" si="50"/>
        <v>169.96666666666667</v>
      </c>
      <c r="AZ117">
        <v>171.1</v>
      </c>
      <c r="BA117">
        <f t="shared" si="51"/>
        <v>170.76666666666668</v>
      </c>
      <c r="BB117">
        <v>166.1</v>
      </c>
      <c r="BC117">
        <f t="shared" si="52"/>
        <v>165.4</v>
      </c>
      <c r="BD117">
        <v>174.1</v>
      </c>
      <c r="BE117">
        <f t="shared" si="53"/>
        <v>173.16666666666666</v>
      </c>
    </row>
    <row r="118" spans="1:57" hidden="1">
      <c r="A118" t="s">
        <v>33</v>
      </c>
      <c r="B118">
        <v>2022</v>
      </c>
      <c r="C118" t="s">
        <v>43</v>
      </c>
      <c r="D118">
        <v>166.4</v>
      </c>
      <c r="E118">
        <f t="shared" si="27"/>
        <v>164.46666666666667</v>
      </c>
      <c r="F118">
        <v>214.9</v>
      </c>
      <c r="G118">
        <f t="shared" si="28"/>
        <v>213.16666666666666</v>
      </c>
      <c r="H118">
        <v>171.9</v>
      </c>
      <c r="I118">
        <f t="shared" si="29"/>
        <v>171.13333333333333</v>
      </c>
      <c r="J118">
        <v>171</v>
      </c>
      <c r="K118">
        <f t="shared" si="30"/>
        <v>169.83333333333334</v>
      </c>
      <c r="L118">
        <v>177.7</v>
      </c>
      <c r="M118">
        <f t="shared" si="31"/>
        <v>179.83333333333334</v>
      </c>
      <c r="N118">
        <v>165.7</v>
      </c>
      <c r="O118">
        <f t="shared" si="32"/>
        <v>170.1</v>
      </c>
      <c r="P118">
        <v>228.6</v>
      </c>
      <c r="Q118">
        <f t="shared" si="33"/>
        <v>220.83333333333334</v>
      </c>
      <c r="R118">
        <v>169.9</v>
      </c>
      <c r="S118">
        <f t="shared" si="34"/>
        <v>168.79999999999998</v>
      </c>
      <c r="T118">
        <v>123.4</v>
      </c>
      <c r="U118">
        <f t="shared" si="35"/>
        <v>122.90000000000002</v>
      </c>
      <c r="V118">
        <v>196.4</v>
      </c>
      <c r="W118">
        <f t="shared" si="36"/>
        <v>193.23333333333332</v>
      </c>
      <c r="X118">
        <v>161.6</v>
      </c>
      <c r="Y118">
        <f t="shared" si="37"/>
        <v>161.06666666666669</v>
      </c>
      <c r="Z118">
        <v>191.5</v>
      </c>
      <c r="AA118">
        <f t="shared" si="38"/>
        <v>190.26666666666665</v>
      </c>
      <c r="AB118">
        <v>183.3</v>
      </c>
      <c r="AC118">
        <f t="shared" si="39"/>
        <v>181.83333333333334</v>
      </c>
      <c r="AD118">
        <v>200.1</v>
      </c>
      <c r="AE118">
        <f t="shared" si="40"/>
        <v>199.5</v>
      </c>
      <c r="AF118">
        <v>175.5</v>
      </c>
      <c r="AG118">
        <f t="shared" si="41"/>
        <v>174.73333333333335</v>
      </c>
      <c r="AH118">
        <v>162.6</v>
      </c>
      <c r="AI118">
        <f t="shared" si="42"/>
        <v>161.43333333333331</v>
      </c>
      <c r="AJ118">
        <v>173.6</v>
      </c>
      <c r="AK118">
        <f t="shared" si="43"/>
        <v>172.73333333333335</v>
      </c>
      <c r="AL118">
        <v>171.2</v>
      </c>
      <c r="AM118">
        <f t="shared" si="44"/>
        <v>169.9</v>
      </c>
      <c r="AN118">
        <v>180</v>
      </c>
      <c r="AO118">
        <f t="shared" si="45"/>
        <v>179.20000000000002</v>
      </c>
      <c r="AP118">
        <v>166</v>
      </c>
      <c r="AQ118">
        <f t="shared" si="46"/>
        <v>165.06666666666666</v>
      </c>
      <c r="AR118">
        <v>174.7</v>
      </c>
      <c r="AS118">
        <f t="shared" si="47"/>
        <v>173.69999999999996</v>
      </c>
      <c r="AT118">
        <v>158.80000000000001</v>
      </c>
      <c r="AU118">
        <f t="shared" si="48"/>
        <v>158.23333333333332</v>
      </c>
      <c r="AV118">
        <v>166.3</v>
      </c>
      <c r="AW118">
        <f t="shared" si="49"/>
        <v>165.73333333333332</v>
      </c>
      <c r="AX118">
        <v>171.2</v>
      </c>
      <c r="AY118">
        <f t="shared" si="50"/>
        <v>170.66666666666666</v>
      </c>
      <c r="AZ118">
        <v>172.3</v>
      </c>
      <c r="BA118">
        <f t="shared" si="51"/>
        <v>171.6</v>
      </c>
      <c r="BB118">
        <v>166.8</v>
      </c>
      <c r="BC118">
        <f t="shared" si="52"/>
        <v>166.1</v>
      </c>
      <c r="BD118">
        <v>175.3</v>
      </c>
      <c r="BE118">
        <f t="shared" si="53"/>
        <v>174.16666666666666</v>
      </c>
    </row>
    <row r="119" spans="1:57" hidden="1">
      <c r="A119" t="s">
        <v>33</v>
      </c>
      <c r="B119">
        <v>2022</v>
      </c>
      <c r="C119" t="s">
        <v>45</v>
      </c>
      <c r="D119">
        <v>168.4</v>
      </c>
      <c r="E119">
        <f t="shared" si="27"/>
        <v>166.56666666666669</v>
      </c>
      <c r="F119">
        <v>213.4</v>
      </c>
      <c r="G119">
        <f t="shared" si="28"/>
        <v>214</v>
      </c>
      <c r="H119">
        <v>183.2</v>
      </c>
      <c r="I119">
        <f t="shared" si="29"/>
        <v>175.33333333333334</v>
      </c>
      <c r="J119">
        <v>172.3</v>
      </c>
      <c r="K119">
        <f t="shared" si="30"/>
        <v>171.13333333333335</v>
      </c>
      <c r="L119">
        <v>180</v>
      </c>
      <c r="M119">
        <f t="shared" si="31"/>
        <v>179</v>
      </c>
      <c r="N119">
        <v>162.6</v>
      </c>
      <c r="O119">
        <f t="shared" si="32"/>
        <v>165.26666666666665</v>
      </c>
      <c r="P119">
        <v>205.5</v>
      </c>
      <c r="Q119">
        <f t="shared" si="33"/>
        <v>218.29999999999998</v>
      </c>
      <c r="R119">
        <v>171</v>
      </c>
      <c r="S119">
        <f t="shared" si="34"/>
        <v>170.03333333333333</v>
      </c>
      <c r="T119">
        <v>123.4</v>
      </c>
      <c r="U119">
        <f t="shared" si="35"/>
        <v>123.3</v>
      </c>
      <c r="V119">
        <v>198.8</v>
      </c>
      <c r="W119">
        <f t="shared" si="36"/>
        <v>196.26666666666665</v>
      </c>
      <c r="X119">
        <v>162.1</v>
      </c>
      <c r="Y119">
        <f t="shared" si="37"/>
        <v>161.6</v>
      </c>
      <c r="Z119">
        <v>192.4</v>
      </c>
      <c r="AA119">
        <f t="shared" si="38"/>
        <v>191.43333333333331</v>
      </c>
      <c r="AB119">
        <v>181.3</v>
      </c>
      <c r="AC119">
        <f t="shared" si="39"/>
        <v>182.13333333333335</v>
      </c>
      <c r="AD119">
        <v>200.6</v>
      </c>
      <c r="AE119">
        <f t="shared" si="40"/>
        <v>200.13333333333333</v>
      </c>
      <c r="AF119">
        <v>176.7</v>
      </c>
      <c r="AG119">
        <f t="shared" si="41"/>
        <v>175.73333333333335</v>
      </c>
      <c r="AH119">
        <v>163.5</v>
      </c>
      <c r="AI119">
        <f t="shared" si="42"/>
        <v>162.6</v>
      </c>
      <c r="AJ119">
        <v>174.7</v>
      </c>
      <c r="AK119">
        <f t="shared" si="43"/>
        <v>173.76666666666665</v>
      </c>
      <c r="AL119">
        <v>171.8</v>
      </c>
      <c r="AM119">
        <f t="shared" si="44"/>
        <v>170.83333333333334</v>
      </c>
      <c r="AN119">
        <v>180.3</v>
      </c>
      <c r="AO119">
        <f t="shared" si="45"/>
        <v>179.83333333333334</v>
      </c>
      <c r="AP119">
        <v>166.9</v>
      </c>
      <c r="AQ119">
        <f t="shared" si="46"/>
        <v>165.96666666666667</v>
      </c>
      <c r="AR119">
        <v>175.8</v>
      </c>
      <c r="AS119">
        <f t="shared" si="47"/>
        <v>174.76666666666665</v>
      </c>
      <c r="AT119">
        <v>158.9</v>
      </c>
      <c r="AU119">
        <f t="shared" si="48"/>
        <v>158.63333333333333</v>
      </c>
      <c r="AV119">
        <v>166.7</v>
      </c>
      <c r="AW119">
        <f t="shared" si="49"/>
        <v>166.26666666666668</v>
      </c>
      <c r="AX119">
        <v>171.5</v>
      </c>
      <c r="AY119">
        <f t="shared" si="50"/>
        <v>171.20000000000002</v>
      </c>
      <c r="AZ119">
        <v>173.8</v>
      </c>
      <c r="BA119">
        <f t="shared" si="51"/>
        <v>172.4</v>
      </c>
      <c r="BB119">
        <v>167.4</v>
      </c>
      <c r="BC119">
        <f t="shared" si="52"/>
        <v>166.76666666666665</v>
      </c>
      <c r="BD119">
        <v>174.1</v>
      </c>
      <c r="BE119">
        <f t="shared" si="53"/>
        <v>174.5</v>
      </c>
    </row>
    <row r="120" spans="1:57" hidden="1">
      <c r="A120" t="s">
        <v>33</v>
      </c>
      <c r="B120">
        <v>2022</v>
      </c>
      <c r="C120" t="s">
        <v>46</v>
      </c>
      <c r="D120">
        <v>170.2</v>
      </c>
      <c r="E120">
        <f t="shared" si="27"/>
        <v>168.33333333333334</v>
      </c>
      <c r="F120">
        <v>212.9</v>
      </c>
      <c r="G120">
        <f t="shared" si="28"/>
        <v>213.73333333333335</v>
      </c>
      <c r="H120">
        <v>191.9</v>
      </c>
      <c r="I120">
        <f t="shared" si="29"/>
        <v>182.33333333333334</v>
      </c>
      <c r="J120">
        <v>173.9</v>
      </c>
      <c r="K120">
        <f t="shared" si="30"/>
        <v>172.4</v>
      </c>
      <c r="L120">
        <v>179.1</v>
      </c>
      <c r="M120">
        <f t="shared" si="31"/>
        <v>178.93333333333331</v>
      </c>
      <c r="N120">
        <v>159.5</v>
      </c>
      <c r="O120">
        <f t="shared" si="32"/>
        <v>162.6</v>
      </c>
      <c r="P120">
        <v>178.7</v>
      </c>
      <c r="Q120">
        <f t="shared" si="33"/>
        <v>204.26666666666665</v>
      </c>
      <c r="R120">
        <v>171.3</v>
      </c>
      <c r="S120">
        <f t="shared" si="34"/>
        <v>170.73333333333335</v>
      </c>
      <c r="T120">
        <v>123.1</v>
      </c>
      <c r="U120">
        <f t="shared" si="35"/>
        <v>123.3</v>
      </c>
      <c r="V120">
        <v>200.5</v>
      </c>
      <c r="W120">
        <f t="shared" si="36"/>
        <v>198.56666666666669</v>
      </c>
      <c r="X120">
        <v>162.80000000000001</v>
      </c>
      <c r="Y120">
        <f t="shared" si="37"/>
        <v>162.16666666666666</v>
      </c>
      <c r="Z120">
        <v>193.3</v>
      </c>
      <c r="AA120">
        <f t="shared" si="38"/>
        <v>192.4</v>
      </c>
      <c r="AB120">
        <v>178.6</v>
      </c>
      <c r="AC120">
        <f t="shared" si="39"/>
        <v>181.06666666666669</v>
      </c>
      <c r="AD120">
        <v>201.1</v>
      </c>
      <c r="AE120">
        <f t="shared" si="40"/>
        <v>200.6</v>
      </c>
      <c r="AF120">
        <v>177.7</v>
      </c>
      <c r="AG120">
        <f t="shared" si="41"/>
        <v>176.63333333333333</v>
      </c>
      <c r="AH120">
        <v>164.5</v>
      </c>
      <c r="AI120">
        <f t="shared" si="42"/>
        <v>163.53333333333333</v>
      </c>
      <c r="AJ120">
        <v>175.7</v>
      </c>
      <c r="AK120">
        <f t="shared" si="43"/>
        <v>174.66666666666666</v>
      </c>
      <c r="AL120">
        <v>170.7</v>
      </c>
      <c r="AM120">
        <f t="shared" si="44"/>
        <v>171.23333333333335</v>
      </c>
      <c r="AN120">
        <v>180.6</v>
      </c>
      <c r="AO120">
        <f t="shared" si="45"/>
        <v>180.29999999999998</v>
      </c>
      <c r="AP120">
        <v>167.3</v>
      </c>
      <c r="AQ120">
        <f t="shared" si="46"/>
        <v>166.73333333333332</v>
      </c>
      <c r="AR120">
        <v>177.2</v>
      </c>
      <c r="AS120">
        <f t="shared" si="47"/>
        <v>175.9</v>
      </c>
      <c r="AT120">
        <v>159.4</v>
      </c>
      <c r="AU120">
        <f t="shared" si="48"/>
        <v>159.03333333333333</v>
      </c>
      <c r="AV120">
        <v>167.1</v>
      </c>
      <c r="AW120">
        <f t="shared" si="49"/>
        <v>166.70000000000002</v>
      </c>
      <c r="AX120">
        <v>171.8</v>
      </c>
      <c r="AY120">
        <f t="shared" si="50"/>
        <v>171.5</v>
      </c>
      <c r="AZ120">
        <v>176</v>
      </c>
      <c r="BA120">
        <f t="shared" si="51"/>
        <v>174.03333333333333</v>
      </c>
      <c r="BB120">
        <v>168.2</v>
      </c>
      <c r="BC120">
        <f t="shared" si="52"/>
        <v>167.46666666666667</v>
      </c>
      <c r="BD120">
        <v>174.1</v>
      </c>
      <c r="BE120">
        <f t="shared" si="53"/>
        <v>174.5</v>
      </c>
    </row>
    <row r="121" spans="1:57" hidden="1">
      <c r="A121" t="s">
        <v>33</v>
      </c>
      <c r="B121">
        <v>2023</v>
      </c>
      <c r="C121" t="s">
        <v>31</v>
      </c>
      <c r="D121">
        <v>173.3</v>
      </c>
      <c r="E121">
        <f t="shared" si="27"/>
        <v>170.63333333333335</v>
      </c>
      <c r="F121">
        <v>215.2</v>
      </c>
      <c r="G121">
        <f t="shared" si="28"/>
        <v>213.83333333333334</v>
      </c>
      <c r="H121">
        <v>197</v>
      </c>
      <c r="I121">
        <f t="shared" si="29"/>
        <v>190.70000000000002</v>
      </c>
      <c r="J121">
        <v>175.2</v>
      </c>
      <c r="K121">
        <f t="shared" si="30"/>
        <v>173.80000000000004</v>
      </c>
      <c r="L121">
        <v>178</v>
      </c>
      <c r="M121">
        <f t="shared" si="31"/>
        <v>179.03333333333333</v>
      </c>
      <c r="N121">
        <v>160.5</v>
      </c>
      <c r="O121">
        <f t="shared" si="32"/>
        <v>160.86666666666667</v>
      </c>
      <c r="P121">
        <v>175.3</v>
      </c>
      <c r="Q121">
        <f t="shared" si="33"/>
        <v>186.5</v>
      </c>
      <c r="R121">
        <v>171.2</v>
      </c>
      <c r="S121">
        <f t="shared" si="34"/>
        <v>171.16666666666666</v>
      </c>
      <c r="T121">
        <v>122.7</v>
      </c>
      <c r="U121">
        <f t="shared" si="35"/>
        <v>123.06666666666666</v>
      </c>
      <c r="V121">
        <v>204.3</v>
      </c>
      <c r="W121">
        <f t="shared" si="36"/>
        <v>201.20000000000002</v>
      </c>
      <c r="X121">
        <v>163.69999999999999</v>
      </c>
      <c r="Y121">
        <f t="shared" si="37"/>
        <v>162.86666666666665</v>
      </c>
      <c r="Z121">
        <v>194.3</v>
      </c>
      <c r="AA121">
        <f t="shared" si="38"/>
        <v>193.33333333333334</v>
      </c>
      <c r="AB121">
        <v>179.5</v>
      </c>
      <c r="AC121">
        <f t="shared" si="39"/>
        <v>179.79999999999998</v>
      </c>
      <c r="AD121">
        <v>201.6</v>
      </c>
      <c r="AE121">
        <f t="shared" si="40"/>
        <v>201.1</v>
      </c>
      <c r="AF121">
        <v>178.7</v>
      </c>
      <c r="AG121">
        <f t="shared" si="41"/>
        <v>177.69999999999996</v>
      </c>
      <c r="AH121">
        <v>165.3</v>
      </c>
      <c r="AI121">
        <f t="shared" si="42"/>
        <v>164.43333333333334</v>
      </c>
      <c r="AJ121">
        <v>176.6</v>
      </c>
      <c r="AK121">
        <f t="shared" si="43"/>
        <v>175.66666666666666</v>
      </c>
      <c r="AL121">
        <v>172.1</v>
      </c>
      <c r="AM121">
        <f t="shared" si="44"/>
        <v>171.53333333333333</v>
      </c>
      <c r="AN121">
        <v>180.1</v>
      </c>
      <c r="AO121">
        <f t="shared" si="45"/>
        <v>180.33333333333334</v>
      </c>
      <c r="AP121">
        <v>168</v>
      </c>
      <c r="AQ121">
        <f t="shared" si="46"/>
        <v>167.4</v>
      </c>
      <c r="AR121">
        <v>178.5</v>
      </c>
      <c r="AS121">
        <f t="shared" si="47"/>
        <v>177.16666666666666</v>
      </c>
      <c r="AT121">
        <v>159.5</v>
      </c>
      <c r="AU121">
        <f t="shared" si="48"/>
        <v>159.26666666666668</v>
      </c>
      <c r="AV121">
        <v>167.8</v>
      </c>
      <c r="AW121">
        <f t="shared" si="49"/>
        <v>167.2</v>
      </c>
      <c r="AX121">
        <v>171.8</v>
      </c>
      <c r="AY121">
        <f t="shared" si="50"/>
        <v>171.70000000000002</v>
      </c>
      <c r="AZ121">
        <v>178.8</v>
      </c>
      <c r="BA121">
        <f t="shared" si="51"/>
        <v>176.20000000000002</v>
      </c>
      <c r="BB121">
        <v>168.9</v>
      </c>
      <c r="BC121">
        <f t="shared" si="52"/>
        <v>168.16666666666666</v>
      </c>
      <c r="BD121">
        <v>174.9</v>
      </c>
      <c r="BE121">
        <f t="shared" si="53"/>
        <v>174.36666666666667</v>
      </c>
    </row>
    <row r="122" spans="1:57" hidden="1">
      <c r="A122" t="s">
        <v>33</v>
      </c>
      <c r="B122">
        <v>2023</v>
      </c>
      <c r="C122" t="s">
        <v>35</v>
      </c>
      <c r="D122">
        <v>174.7</v>
      </c>
      <c r="E122">
        <f t="shared" si="27"/>
        <v>172.73333333333335</v>
      </c>
      <c r="F122">
        <v>212.2</v>
      </c>
      <c r="G122">
        <f t="shared" si="28"/>
        <v>213.43333333333331</v>
      </c>
      <c r="H122">
        <v>177.2</v>
      </c>
      <c r="I122">
        <f t="shared" si="29"/>
        <v>188.69999999999996</v>
      </c>
      <c r="J122">
        <v>177.9</v>
      </c>
      <c r="K122">
        <f t="shared" si="30"/>
        <v>175.66666666666666</v>
      </c>
      <c r="L122">
        <v>172.2</v>
      </c>
      <c r="M122">
        <f t="shared" si="31"/>
        <v>176.43333333333331</v>
      </c>
      <c r="N122">
        <v>172.1</v>
      </c>
      <c r="O122">
        <f t="shared" si="32"/>
        <v>164.03333333333333</v>
      </c>
      <c r="P122">
        <v>175.8</v>
      </c>
      <c r="Q122">
        <f t="shared" si="33"/>
        <v>176.6</v>
      </c>
      <c r="R122">
        <v>172.2</v>
      </c>
      <c r="S122">
        <f t="shared" si="34"/>
        <v>171.56666666666669</v>
      </c>
      <c r="T122">
        <v>121.9</v>
      </c>
      <c r="U122">
        <f t="shared" si="35"/>
        <v>122.56666666666668</v>
      </c>
      <c r="V122">
        <v>204.8</v>
      </c>
      <c r="W122">
        <f t="shared" si="36"/>
        <v>203.20000000000002</v>
      </c>
      <c r="X122">
        <v>164.9</v>
      </c>
      <c r="Y122">
        <f t="shared" si="37"/>
        <v>163.79999999999998</v>
      </c>
      <c r="Z122">
        <v>196.6</v>
      </c>
      <c r="AA122">
        <f t="shared" si="38"/>
        <v>194.73333333333335</v>
      </c>
      <c r="AB122">
        <v>180.7</v>
      </c>
      <c r="AC122">
        <f t="shared" si="39"/>
        <v>179.6</v>
      </c>
      <c r="AD122">
        <v>202.7</v>
      </c>
      <c r="AE122">
        <f t="shared" si="40"/>
        <v>201.79999999999998</v>
      </c>
      <c r="AF122">
        <v>180.3</v>
      </c>
      <c r="AG122">
        <f t="shared" si="41"/>
        <v>178.9</v>
      </c>
      <c r="AH122">
        <v>167</v>
      </c>
      <c r="AI122">
        <f t="shared" si="42"/>
        <v>165.6</v>
      </c>
      <c r="AJ122">
        <v>178.2</v>
      </c>
      <c r="AK122">
        <f t="shared" si="43"/>
        <v>176.83333333333334</v>
      </c>
      <c r="AL122">
        <v>173.5</v>
      </c>
      <c r="AM122">
        <f t="shared" si="44"/>
        <v>172.1</v>
      </c>
      <c r="AN122">
        <v>182.8</v>
      </c>
      <c r="AO122">
        <f t="shared" si="45"/>
        <v>181.16666666666666</v>
      </c>
      <c r="AP122">
        <v>169.2</v>
      </c>
      <c r="AQ122">
        <f t="shared" si="46"/>
        <v>168.16666666666666</v>
      </c>
      <c r="AR122">
        <v>180.8</v>
      </c>
      <c r="AS122">
        <f t="shared" si="47"/>
        <v>178.83333333333334</v>
      </c>
      <c r="AT122">
        <v>159.80000000000001</v>
      </c>
      <c r="AU122">
        <f t="shared" si="48"/>
        <v>159.56666666666666</v>
      </c>
      <c r="AV122">
        <v>168.4</v>
      </c>
      <c r="AW122">
        <f t="shared" si="49"/>
        <v>167.76666666666665</v>
      </c>
      <c r="AX122">
        <v>172.5</v>
      </c>
      <c r="AY122">
        <f t="shared" si="50"/>
        <v>172.03333333333333</v>
      </c>
      <c r="AZ122">
        <v>181.4</v>
      </c>
      <c r="BA122">
        <f t="shared" si="51"/>
        <v>178.73333333333335</v>
      </c>
      <c r="BB122">
        <v>170</v>
      </c>
      <c r="BC122">
        <f t="shared" si="52"/>
        <v>169.03333333333333</v>
      </c>
      <c r="BD122">
        <v>176.3</v>
      </c>
      <c r="BE122">
        <f t="shared" si="53"/>
        <v>175.1</v>
      </c>
    </row>
    <row r="123" spans="1:57" hidden="1">
      <c r="A123" t="s">
        <v>33</v>
      </c>
      <c r="B123">
        <v>2023</v>
      </c>
      <c r="C123" t="s">
        <v>36</v>
      </c>
      <c r="D123">
        <v>174.7</v>
      </c>
      <c r="E123">
        <f t="shared" si="27"/>
        <v>174.23333333333335</v>
      </c>
      <c r="F123">
        <v>212.2</v>
      </c>
      <c r="G123">
        <f t="shared" si="28"/>
        <v>213.19999999999996</v>
      </c>
      <c r="H123">
        <v>177.2</v>
      </c>
      <c r="I123">
        <f t="shared" si="29"/>
        <v>183.79999999999998</v>
      </c>
      <c r="J123">
        <v>177.9</v>
      </c>
      <c r="K123">
        <f t="shared" si="30"/>
        <v>177</v>
      </c>
      <c r="L123">
        <v>172.2</v>
      </c>
      <c r="M123">
        <f t="shared" si="31"/>
        <v>174.13333333333333</v>
      </c>
      <c r="N123">
        <v>172.1</v>
      </c>
      <c r="O123">
        <f t="shared" si="32"/>
        <v>168.23333333333335</v>
      </c>
      <c r="P123">
        <v>175.9</v>
      </c>
      <c r="Q123">
        <f t="shared" si="33"/>
        <v>175.66666666666666</v>
      </c>
      <c r="R123">
        <v>172.2</v>
      </c>
      <c r="S123">
        <f t="shared" si="34"/>
        <v>171.86666666666665</v>
      </c>
      <c r="T123">
        <v>121.9</v>
      </c>
      <c r="U123">
        <f t="shared" si="35"/>
        <v>122.16666666666667</v>
      </c>
      <c r="V123">
        <v>204.8</v>
      </c>
      <c r="W123">
        <f t="shared" si="36"/>
        <v>204.63333333333335</v>
      </c>
      <c r="X123">
        <v>164.9</v>
      </c>
      <c r="Y123">
        <f t="shared" si="37"/>
        <v>164.5</v>
      </c>
      <c r="Z123">
        <v>196.6</v>
      </c>
      <c r="AA123">
        <f t="shared" si="38"/>
        <v>195.83333333333334</v>
      </c>
      <c r="AB123">
        <v>180.8</v>
      </c>
      <c r="AC123">
        <f t="shared" si="39"/>
        <v>180.33333333333334</v>
      </c>
      <c r="AD123">
        <v>202.7</v>
      </c>
      <c r="AE123">
        <f t="shared" si="40"/>
        <v>202.33333333333334</v>
      </c>
      <c r="AF123">
        <v>180.2</v>
      </c>
      <c r="AG123">
        <f t="shared" si="41"/>
        <v>179.73333333333335</v>
      </c>
      <c r="AH123">
        <v>167</v>
      </c>
      <c r="AI123">
        <f t="shared" si="42"/>
        <v>166.43333333333334</v>
      </c>
      <c r="AJ123">
        <v>178.2</v>
      </c>
      <c r="AK123">
        <f t="shared" si="43"/>
        <v>177.66666666666666</v>
      </c>
      <c r="AL123">
        <v>173.5</v>
      </c>
      <c r="AM123">
        <f t="shared" si="44"/>
        <v>173.03333333333333</v>
      </c>
      <c r="AN123">
        <v>182.6</v>
      </c>
      <c r="AO123">
        <f t="shared" si="45"/>
        <v>181.83333333333334</v>
      </c>
      <c r="AP123">
        <v>169.2</v>
      </c>
      <c r="AQ123">
        <f t="shared" si="46"/>
        <v>168.79999999999998</v>
      </c>
      <c r="AR123">
        <v>180.8</v>
      </c>
      <c r="AS123">
        <f t="shared" si="47"/>
        <v>180.03333333333333</v>
      </c>
      <c r="AT123">
        <v>159.80000000000001</v>
      </c>
      <c r="AU123">
        <f t="shared" si="48"/>
        <v>159.70000000000002</v>
      </c>
      <c r="AV123">
        <v>168.4</v>
      </c>
      <c r="AW123">
        <f t="shared" si="49"/>
        <v>168.20000000000002</v>
      </c>
      <c r="AX123">
        <v>172.5</v>
      </c>
      <c r="AY123">
        <f t="shared" si="50"/>
        <v>172.26666666666665</v>
      </c>
      <c r="AZ123">
        <v>181.5</v>
      </c>
      <c r="BA123">
        <f t="shared" si="51"/>
        <v>180.56666666666669</v>
      </c>
      <c r="BB123">
        <v>170</v>
      </c>
      <c r="BC123">
        <f t="shared" si="52"/>
        <v>169.63333333333333</v>
      </c>
      <c r="BD123">
        <v>176.3</v>
      </c>
      <c r="BE123">
        <f t="shared" si="53"/>
        <v>175.83333333333334</v>
      </c>
    </row>
    <row r="124" spans="1:57" hidden="1">
      <c r="A124" t="s">
        <v>33</v>
      </c>
      <c r="B124">
        <v>2023</v>
      </c>
      <c r="C124" t="s">
        <v>37</v>
      </c>
      <c r="D124">
        <v>174.8</v>
      </c>
      <c r="E124">
        <f t="shared" si="27"/>
        <v>174.73333333333335</v>
      </c>
      <c r="F124">
        <v>213.7</v>
      </c>
      <c r="G124">
        <f t="shared" si="28"/>
        <v>212.69999999999996</v>
      </c>
      <c r="H124">
        <v>172.4</v>
      </c>
      <c r="I124">
        <f t="shared" si="29"/>
        <v>175.6</v>
      </c>
      <c r="J124">
        <v>178.8</v>
      </c>
      <c r="K124">
        <f t="shared" si="30"/>
        <v>178.20000000000002</v>
      </c>
      <c r="L124">
        <v>168.7</v>
      </c>
      <c r="M124">
        <f t="shared" si="31"/>
        <v>171.0333333333333</v>
      </c>
      <c r="N124">
        <v>179.2</v>
      </c>
      <c r="O124">
        <f t="shared" si="32"/>
        <v>174.46666666666667</v>
      </c>
      <c r="P124">
        <v>179.9</v>
      </c>
      <c r="Q124">
        <f t="shared" si="33"/>
        <v>177.20000000000002</v>
      </c>
      <c r="R124">
        <v>174.7</v>
      </c>
      <c r="S124">
        <f t="shared" si="34"/>
        <v>173.0333333333333</v>
      </c>
      <c r="T124">
        <v>123.1</v>
      </c>
      <c r="U124">
        <f t="shared" si="35"/>
        <v>122.3</v>
      </c>
      <c r="V124">
        <v>207.8</v>
      </c>
      <c r="W124">
        <f t="shared" si="36"/>
        <v>205.80000000000004</v>
      </c>
      <c r="X124">
        <v>165.5</v>
      </c>
      <c r="Y124">
        <f t="shared" si="37"/>
        <v>165.1</v>
      </c>
      <c r="Z124">
        <v>197</v>
      </c>
      <c r="AA124">
        <f t="shared" si="38"/>
        <v>196.73333333333335</v>
      </c>
      <c r="AB124">
        <v>182.1</v>
      </c>
      <c r="AC124">
        <f t="shared" si="39"/>
        <v>181.20000000000002</v>
      </c>
      <c r="AD124">
        <v>203.5</v>
      </c>
      <c r="AE124">
        <f t="shared" si="40"/>
        <v>202.96666666666667</v>
      </c>
      <c r="AF124">
        <v>181</v>
      </c>
      <c r="AG124">
        <f t="shared" si="41"/>
        <v>180.5</v>
      </c>
      <c r="AH124">
        <v>167.7</v>
      </c>
      <c r="AI124">
        <f t="shared" si="42"/>
        <v>167.23333333333332</v>
      </c>
      <c r="AJ124">
        <v>178.9</v>
      </c>
      <c r="AK124">
        <f t="shared" si="43"/>
        <v>178.43333333333331</v>
      </c>
      <c r="AL124">
        <v>175.2</v>
      </c>
      <c r="AM124">
        <f t="shared" si="44"/>
        <v>174.06666666666669</v>
      </c>
      <c r="AN124">
        <v>182.1</v>
      </c>
      <c r="AO124">
        <f t="shared" si="45"/>
        <v>182.5</v>
      </c>
      <c r="AP124">
        <v>169.6</v>
      </c>
      <c r="AQ124">
        <f t="shared" si="46"/>
        <v>169.33333333333334</v>
      </c>
      <c r="AR124">
        <v>181.5</v>
      </c>
      <c r="AS124">
        <f t="shared" si="47"/>
        <v>181.03333333333333</v>
      </c>
      <c r="AT124">
        <v>160.1</v>
      </c>
      <c r="AU124">
        <f t="shared" si="48"/>
        <v>159.9</v>
      </c>
      <c r="AV124">
        <v>168.8</v>
      </c>
      <c r="AW124">
        <f t="shared" si="49"/>
        <v>168.53333333333333</v>
      </c>
      <c r="AX124">
        <v>174.2</v>
      </c>
      <c r="AY124">
        <f t="shared" si="50"/>
        <v>173.06666666666669</v>
      </c>
      <c r="AZ124">
        <v>184.4</v>
      </c>
      <c r="BA124">
        <f t="shared" si="51"/>
        <v>182.43333333333331</v>
      </c>
      <c r="BB124">
        <v>170.9</v>
      </c>
      <c r="BC124">
        <f t="shared" si="52"/>
        <v>170.29999999999998</v>
      </c>
      <c r="BD124">
        <v>177.4</v>
      </c>
      <c r="BE124">
        <f t="shared" si="53"/>
        <v>176.66666666666666</v>
      </c>
    </row>
    <row r="125" spans="1:57" hidden="1">
      <c r="A125" t="s">
        <v>33</v>
      </c>
      <c r="B125">
        <v>2023</v>
      </c>
      <c r="C125" t="s">
        <v>38</v>
      </c>
      <c r="D125">
        <v>174.7</v>
      </c>
      <c r="E125">
        <f t="shared" si="27"/>
        <v>174.73333333333335</v>
      </c>
      <c r="F125">
        <v>219.4</v>
      </c>
      <c r="G125">
        <f t="shared" si="28"/>
        <v>215.1</v>
      </c>
      <c r="H125">
        <v>176.7</v>
      </c>
      <c r="I125">
        <f t="shared" si="29"/>
        <v>175.43333333333331</v>
      </c>
      <c r="J125">
        <v>179.4</v>
      </c>
      <c r="K125">
        <f t="shared" si="30"/>
        <v>178.70000000000002</v>
      </c>
      <c r="L125">
        <v>164.4</v>
      </c>
      <c r="M125">
        <f t="shared" si="31"/>
        <v>168.43333333333331</v>
      </c>
      <c r="N125">
        <v>175.8</v>
      </c>
      <c r="O125">
        <f t="shared" si="32"/>
        <v>175.69999999999996</v>
      </c>
      <c r="P125">
        <v>185</v>
      </c>
      <c r="Q125">
        <f t="shared" si="33"/>
        <v>180.26666666666665</v>
      </c>
      <c r="R125">
        <v>176.9</v>
      </c>
      <c r="S125">
        <f t="shared" si="34"/>
        <v>174.6</v>
      </c>
      <c r="T125">
        <v>124.2</v>
      </c>
      <c r="U125">
        <f t="shared" si="35"/>
        <v>123.06666666666666</v>
      </c>
      <c r="V125">
        <v>211.9</v>
      </c>
      <c r="W125">
        <f t="shared" si="36"/>
        <v>208.16666666666666</v>
      </c>
      <c r="X125">
        <v>165.9</v>
      </c>
      <c r="Y125">
        <f t="shared" si="37"/>
        <v>165.43333333333331</v>
      </c>
      <c r="Z125">
        <v>197.7</v>
      </c>
      <c r="AA125">
        <f t="shared" si="38"/>
        <v>197.1</v>
      </c>
      <c r="AB125">
        <v>183.1</v>
      </c>
      <c r="AC125">
        <f t="shared" si="39"/>
        <v>182</v>
      </c>
      <c r="AD125">
        <v>204.2</v>
      </c>
      <c r="AE125">
        <f t="shared" si="40"/>
        <v>203.46666666666667</v>
      </c>
      <c r="AF125">
        <v>181.3</v>
      </c>
      <c r="AG125">
        <f t="shared" si="41"/>
        <v>180.83333333333334</v>
      </c>
      <c r="AH125">
        <v>168.1</v>
      </c>
      <c r="AI125">
        <f t="shared" si="42"/>
        <v>167.6</v>
      </c>
      <c r="AJ125">
        <v>179.3</v>
      </c>
      <c r="AK125">
        <f t="shared" si="43"/>
        <v>178.80000000000004</v>
      </c>
      <c r="AL125">
        <v>175.6</v>
      </c>
      <c r="AM125">
        <f t="shared" si="44"/>
        <v>174.76666666666665</v>
      </c>
      <c r="AN125">
        <v>183.4</v>
      </c>
      <c r="AO125">
        <f t="shared" si="45"/>
        <v>182.70000000000002</v>
      </c>
      <c r="AP125">
        <v>170.1</v>
      </c>
      <c r="AQ125">
        <f t="shared" si="46"/>
        <v>169.63333333333333</v>
      </c>
      <c r="AR125">
        <v>182.2</v>
      </c>
      <c r="AS125">
        <f t="shared" si="47"/>
        <v>181.5</v>
      </c>
      <c r="AT125">
        <v>160.4</v>
      </c>
      <c r="AU125">
        <f t="shared" si="48"/>
        <v>160.1</v>
      </c>
      <c r="AV125">
        <v>169.2</v>
      </c>
      <c r="AW125">
        <f t="shared" si="49"/>
        <v>168.8</v>
      </c>
      <c r="AX125">
        <v>174.8</v>
      </c>
      <c r="AY125">
        <f t="shared" si="50"/>
        <v>173.83333333333334</v>
      </c>
      <c r="AZ125">
        <v>185.6</v>
      </c>
      <c r="BA125">
        <f t="shared" si="51"/>
        <v>183.83333333333334</v>
      </c>
      <c r="BB125">
        <v>171.6</v>
      </c>
      <c r="BC125">
        <f t="shared" si="52"/>
        <v>170.83333333333334</v>
      </c>
      <c r="BD125">
        <v>178.2</v>
      </c>
      <c r="BE125">
        <f t="shared" si="53"/>
        <v>177.30000000000004</v>
      </c>
    </row>
  </sheetData>
  <autoFilter ref="A1:BE125" xr:uid="{D4BB06DA-4A83-4452-9B66-F4359237549A}">
    <filterColumn colId="5">
      <filters>
        <filter val="NA"/>
      </filters>
    </filterColumn>
  </autoFilter>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E06AE-4846-4457-AD39-0CBD0C462F44}">
  <dimension ref="A1:AF75"/>
  <sheetViews>
    <sheetView workbookViewId="0">
      <selection activeCell="R46" sqref="R46:T75"/>
    </sheetView>
  </sheetViews>
  <sheetFormatPr defaultRowHeight="15"/>
  <cols>
    <col min="15" max="15" width="45.85546875" bestFit="1" customWidth="1"/>
    <col min="18" max="18" width="7.7109375" bestFit="1" customWidth="1"/>
    <col min="19" max="31" width="12" bestFit="1" customWidth="1"/>
    <col min="32" max="32" width="10.7109375" bestFit="1" customWidth="1"/>
  </cols>
  <sheetData>
    <row r="1" spans="1:32">
      <c r="A1" t="s">
        <v>1</v>
      </c>
      <c r="B1" s="13" t="s">
        <v>37</v>
      </c>
      <c r="C1" s="13" t="s">
        <v>38</v>
      </c>
      <c r="D1" s="13" t="s">
        <v>39</v>
      </c>
      <c r="E1" s="13" t="s">
        <v>40</v>
      </c>
      <c r="F1" s="13" t="s">
        <v>41</v>
      </c>
      <c r="G1" s="13" t="s">
        <v>42</v>
      </c>
      <c r="H1" s="13" t="s">
        <v>43</v>
      </c>
      <c r="I1" s="13" t="s">
        <v>45</v>
      </c>
      <c r="J1" s="13" t="s">
        <v>46</v>
      </c>
      <c r="K1" s="13" t="s">
        <v>31</v>
      </c>
      <c r="L1" s="13" t="s">
        <v>164</v>
      </c>
      <c r="M1" s="13" t="s">
        <v>36</v>
      </c>
      <c r="N1" t="s">
        <v>74</v>
      </c>
      <c r="O1" t="s">
        <v>118</v>
      </c>
    </row>
    <row r="2" spans="1:32">
      <c r="A2" t="s">
        <v>119</v>
      </c>
      <c r="B2">
        <v>22.51</v>
      </c>
      <c r="C2">
        <v>26.6</v>
      </c>
      <c r="D2">
        <v>28.49</v>
      </c>
      <c r="E2">
        <v>27.26</v>
      </c>
      <c r="F2">
        <v>28.328848863636367</v>
      </c>
      <c r="G2">
        <v>31.34</v>
      </c>
      <c r="H2">
        <v>30.5</v>
      </c>
      <c r="I2">
        <v>30.926621590909097</v>
      </c>
      <c r="J2">
        <v>23.25</v>
      </c>
      <c r="K2">
        <v>24.02</v>
      </c>
      <c r="L2">
        <v>25.92</v>
      </c>
      <c r="M2">
        <v>23.82</v>
      </c>
      <c r="N2">
        <v>26.924166666666665</v>
      </c>
      <c r="O2" t="s">
        <v>120</v>
      </c>
      <c r="R2" t="s">
        <v>1</v>
      </c>
      <c r="S2" t="s">
        <v>37</v>
      </c>
      <c r="T2" t="s">
        <v>38</v>
      </c>
      <c r="U2" t="s">
        <v>39</v>
      </c>
      <c r="V2" t="s">
        <v>40</v>
      </c>
      <c r="W2" t="s">
        <v>41</v>
      </c>
      <c r="X2" t="s">
        <v>42</v>
      </c>
      <c r="Y2" t="s">
        <v>43</v>
      </c>
      <c r="Z2" t="s">
        <v>45</v>
      </c>
      <c r="AA2" t="s">
        <v>46</v>
      </c>
      <c r="AB2" t="s">
        <v>31</v>
      </c>
      <c r="AC2" t="s">
        <v>164</v>
      </c>
      <c r="AD2" t="s">
        <v>36</v>
      </c>
      <c r="AE2" t="s">
        <v>74</v>
      </c>
      <c r="AF2" t="s">
        <v>118</v>
      </c>
    </row>
    <row r="3" spans="1:32">
      <c r="A3" t="s">
        <v>121</v>
      </c>
      <c r="B3">
        <v>24.82</v>
      </c>
      <c r="C3">
        <v>26.95</v>
      </c>
      <c r="D3">
        <v>26.63</v>
      </c>
      <c r="E3">
        <v>23.99</v>
      </c>
      <c r="F3">
        <v>25.01</v>
      </c>
      <c r="G3">
        <v>24.79</v>
      </c>
      <c r="H3">
        <v>20.05</v>
      </c>
      <c r="I3">
        <v>18.239999999999998</v>
      </c>
      <c r="J3">
        <v>18.239999999999998</v>
      </c>
      <c r="K3">
        <v>18.920000000000002</v>
      </c>
      <c r="L3">
        <v>19.529986842105259</v>
      </c>
      <c r="M3">
        <v>23.31</v>
      </c>
      <c r="N3">
        <v>22.551701476377943</v>
      </c>
      <c r="O3" t="s">
        <v>120</v>
      </c>
      <c r="R3" t="s">
        <v>153</v>
      </c>
      <c r="S3" s="7">
        <v>71.000922499999987</v>
      </c>
      <c r="T3" s="7">
        <v>70.013724342105249</v>
      </c>
      <c r="U3" s="7">
        <v>62.374424999999988</v>
      </c>
      <c r="V3" s="7">
        <v>63.627010326086953</v>
      </c>
      <c r="W3" s="7">
        <v>59.349817105263163</v>
      </c>
      <c r="X3" s="7">
        <v>61.723273214285719</v>
      </c>
      <c r="Y3" s="7">
        <v>59.703420454545466</v>
      </c>
      <c r="Z3" s="7">
        <v>62.53257261904762</v>
      </c>
      <c r="AA3" s="7">
        <v>65.502042500000016</v>
      </c>
      <c r="AB3" s="7">
        <v>64.309747023809535</v>
      </c>
      <c r="AC3" s="7">
        <v>54.627359999999996</v>
      </c>
      <c r="AD3" s="7">
        <v>33.358738068181822</v>
      </c>
      <c r="AE3" s="7">
        <v>60.470826062752998</v>
      </c>
      <c r="AF3" s="7" t="s">
        <v>154</v>
      </c>
    </row>
    <row r="4" spans="1:32">
      <c r="A4" t="s">
        <v>122</v>
      </c>
      <c r="B4">
        <v>25.029405681818183</v>
      </c>
      <c r="C4">
        <v>24.994865217391304</v>
      </c>
      <c r="D4">
        <v>24.051813749999997</v>
      </c>
      <c r="E4">
        <v>25.183221739130431</v>
      </c>
      <c r="F4">
        <v>25.855818181818179</v>
      </c>
      <c r="G4">
        <v>27.495242857142859</v>
      </c>
      <c r="H4">
        <v>26.902101086956524</v>
      </c>
      <c r="I4">
        <v>23.682511904761906</v>
      </c>
      <c r="J4">
        <v>27.110101190476186</v>
      </c>
      <c r="K4">
        <v>29.592549999999996</v>
      </c>
      <c r="L4">
        <v>31.308380555555548</v>
      </c>
      <c r="M4">
        <v>28.825039285714286</v>
      </c>
      <c r="N4">
        <v>26.6</v>
      </c>
      <c r="O4" t="s">
        <v>120</v>
      </c>
      <c r="R4" t="s">
        <v>155</v>
      </c>
      <c r="S4" s="7">
        <v>19.901683749999997</v>
      </c>
      <c r="T4" s="7">
        <v>30.605539617647054</v>
      </c>
      <c r="U4" s="7">
        <v>40.633868636363637</v>
      </c>
      <c r="V4" s="7">
        <v>43.347552547619046</v>
      </c>
      <c r="W4" s="7">
        <v>44.190017605263151</v>
      </c>
      <c r="X4" s="7">
        <v>41.35410665909091</v>
      </c>
      <c r="Y4" s="7">
        <v>40.658228000000001</v>
      </c>
      <c r="Z4" s="7">
        <v>43.340640499999999</v>
      </c>
      <c r="AA4" s="7">
        <v>49.839816952380943</v>
      </c>
      <c r="AB4" s="7">
        <v>54.794569624999994</v>
      </c>
      <c r="AC4" s="7">
        <v>61.216117289473672</v>
      </c>
      <c r="AD4" s="7">
        <v>64.729496782608663</v>
      </c>
      <c r="AE4" s="7">
        <v>44.821938917004019</v>
      </c>
      <c r="AF4" s="7" t="s">
        <v>156</v>
      </c>
    </row>
    <row r="5" spans="1:32">
      <c r="A5" t="s">
        <v>123</v>
      </c>
      <c r="B5">
        <v>24.214591666666667</v>
      </c>
      <c r="C5">
        <v>24.98887894736842</v>
      </c>
      <c r="D5">
        <v>26.425924999999999</v>
      </c>
      <c r="E5">
        <v>27.458449999999999</v>
      </c>
      <c r="F5">
        <v>28.663598809523808</v>
      </c>
      <c r="G5">
        <v>26.265218181818184</v>
      </c>
      <c r="H5">
        <v>28.449944318181817</v>
      </c>
      <c r="I5">
        <v>28.226284210526316</v>
      </c>
      <c r="J5">
        <v>28.966610714285707</v>
      </c>
      <c r="K5">
        <v>29.999534210526313</v>
      </c>
      <c r="L5">
        <v>29.647267105263154</v>
      </c>
      <c r="M5">
        <v>32.210322826086951</v>
      </c>
      <c r="N5">
        <v>27.98</v>
      </c>
      <c r="O5" t="s">
        <v>120</v>
      </c>
      <c r="R5" t="s">
        <v>157</v>
      </c>
      <c r="S5" s="7">
        <v>63.396976500000008</v>
      </c>
      <c r="T5" s="7">
        <v>66.953084852941174</v>
      </c>
      <c r="U5" s="7">
        <v>71.982647477272721</v>
      </c>
      <c r="V5" s="7">
        <v>73.539060523809511</v>
      </c>
      <c r="W5" s="7">
        <v>69.804724424999989</v>
      </c>
      <c r="X5" s="7">
        <v>73.130738295454549</v>
      </c>
      <c r="Y5" s="7">
        <v>82.107393785714294</v>
      </c>
      <c r="Z5" s="7">
        <v>80.637301023809528</v>
      </c>
      <c r="AA5" s="7">
        <v>73.298823523809531</v>
      </c>
      <c r="AB5" s="7">
        <v>84.666318799999985</v>
      </c>
      <c r="AC5" s="7">
        <v>94.067715194444446</v>
      </c>
      <c r="AD5" s="7">
        <v>112.87479254347826</v>
      </c>
      <c r="AE5" s="7">
        <v>79.181425130081294</v>
      </c>
      <c r="AF5" s="7" t="s">
        <v>156</v>
      </c>
    </row>
    <row r="6" spans="1:32">
      <c r="A6" t="s">
        <v>124</v>
      </c>
      <c r="B6">
        <v>32.365204761904764</v>
      </c>
      <c r="C6">
        <v>36.078851249999992</v>
      </c>
      <c r="D6">
        <v>34.159547619047622</v>
      </c>
      <c r="E6">
        <v>36.353381818181809</v>
      </c>
      <c r="F6">
        <v>40.517199999999995</v>
      </c>
      <c r="G6">
        <v>39.149477272727275</v>
      </c>
      <c r="H6">
        <v>43.375466666666675</v>
      </c>
      <c r="I6">
        <v>38.898870000000002</v>
      </c>
      <c r="J6">
        <v>36.816215476190465</v>
      </c>
      <c r="K6">
        <v>40.96200249999999</v>
      </c>
      <c r="L6">
        <v>42.670598611111117</v>
      </c>
      <c r="M6">
        <v>49.27002045454546</v>
      </c>
      <c r="N6">
        <v>39.205833333333331</v>
      </c>
      <c r="O6" t="s">
        <v>120</v>
      </c>
      <c r="R6" t="s">
        <v>158</v>
      </c>
      <c r="S6" s="7">
        <v>102.96599786842103</v>
      </c>
      <c r="T6" s="7">
        <v>109.50503773684208</v>
      </c>
      <c r="U6" s="7">
        <v>116.01138504999999</v>
      </c>
      <c r="V6" s="7">
        <v>105.49124737500001</v>
      </c>
      <c r="W6" s="7">
        <v>97.404465428571427</v>
      </c>
      <c r="X6" s="7">
        <v>90.706344809523813</v>
      </c>
      <c r="Y6" s="7">
        <v>91.698948700000003</v>
      </c>
      <c r="Z6" s="7">
        <v>87.552266068181822</v>
      </c>
      <c r="AA6" s="7">
        <v>78.100942275000008</v>
      </c>
      <c r="AB6" s="7">
        <v>80.922269684210534</v>
      </c>
      <c r="AC6" s="7">
        <v>82.278706675000009</v>
      </c>
      <c r="AD6" s="7">
        <v>78.539480282608693</v>
      </c>
      <c r="AE6" s="7">
        <v>93.151566872950767</v>
      </c>
      <c r="AF6" s="7" t="s">
        <v>156</v>
      </c>
    </row>
    <row r="7" spans="1:32">
      <c r="A7" t="s">
        <v>125</v>
      </c>
      <c r="B7">
        <v>49.427602380952379</v>
      </c>
      <c r="C7">
        <v>46.995223684210522</v>
      </c>
      <c r="D7">
        <v>52.720745454545458</v>
      </c>
      <c r="E7">
        <v>55.008083333333325</v>
      </c>
      <c r="F7">
        <v>60.048336363636373</v>
      </c>
      <c r="G7">
        <v>59.739213636363637</v>
      </c>
      <c r="H7">
        <v>56.279061904761896</v>
      </c>
      <c r="I7">
        <v>53.143807500000001</v>
      </c>
      <c r="J7">
        <v>55.045628571428587</v>
      </c>
      <c r="K7">
        <v>60.54291666666667</v>
      </c>
      <c r="L7">
        <v>58.953329999999994</v>
      </c>
      <c r="M7">
        <v>60.011573913043478</v>
      </c>
      <c r="N7">
        <v>55.720000000000006</v>
      </c>
      <c r="O7" t="s">
        <v>126</v>
      </c>
      <c r="R7" t="s">
        <v>159</v>
      </c>
      <c r="S7">
        <v>83.755358416666667</v>
      </c>
      <c r="T7">
        <v>74.981547824999993</v>
      </c>
      <c r="U7">
        <v>74.928252024999992</v>
      </c>
      <c r="V7">
        <v>80.368492428571415</v>
      </c>
      <c r="W7">
        <v>86.426703761904761</v>
      </c>
      <c r="X7">
        <v>93.539339400000003</v>
      </c>
      <c r="Y7">
        <v>90.080343022727263</v>
      </c>
      <c r="Z7">
        <v>83.455368214285699</v>
      </c>
      <c r="AA7">
        <v>77.419721631578938</v>
      </c>
      <c r="AB7">
        <v>79.216541545454547</v>
      </c>
      <c r="AC7">
        <v>81.621881399999992</v>
      </c>
      <c r="AD7">
        <v>84.486883150000011</v>
      </c>
      <c r="AE7">
        <v>82.580010456967216</v>
      </c>
      <c r="AF7" t="s">
        <v>156</v>
      </c>
    </row>
    <row r="8" spans="1:32">
      <c r="A8" t="s">
        <v>127</v>
      </c>
      <c r="B8">
        <v>67.055031315789464</v>
      </c>
      <c r="C8">
        <v>67.22359075</v>
      </c>
      <c r="D8">
        <v>66.897534999999976</v>
      </c>
      <c r="E8">
        <v>71.285795238095261</v>
      </c>
      <c r="F8">
        <v>70.775921818181828</v>
      </c>
      <c r="G8">
        <v>60.933454285714276</v>
      </c>
      <c r="H8">
        <v>57.270684761904761</v>
      </c>
      <c r="I8">
        <v>57.793637500000003</v>
      </c>
      <c r="J8">
        <v>60.34467149999999</v>
      </c>
      <c r="K8">
        <v>52.529441428571438</v>
      </c>
      <c r="L8">
        <v>56.531044722222227</v>
      </c>
      <c r="M8">
        <v>60.262107954545442</v>
      </c>
      <c r="N8">
        <v>62.46</v>
      </c>
      <c r="O8" t="s">
        <v>128</v>
      </c>
    </row>
    <row r="9" spans="1:32">
      <c r="A9" t="s">
        <v>129</v>
      </c>
      <c r="B9">
        <v>65.481951250000009</v>
      </c>
      <c r="C9">
        <v>65.695437249999983</v>
      </c>
      <c r="D9">
        <v>68.099250714285716</v>
      </c>
      <c r="E9">
        <v>72.575061818181794</v>
      </c>
      <c r="F9">
        <v>68.982336590909085</v>
      </c>
      <c r="G9">
        <v>74.776604250000005</v>
      </c>
      <c r="H9">
        <v>79.327164347826084</v>
      </c>
      <c r="I9">
        <v>89.107013571428567</v>
      </c>
      <c r="J9">
        <v>87.921265000000034</v>
      </c>
      <c r="K9">
        <v>89.517554090909101</v>
      </c>
      <c r="L9">
        <v>92.374237368421049</v>
      </c>
      <c r="M9">
        <v>99.759819499999978</v>
      </c>
      <c r="N9">
        <v>79.249166666666667</v>
      </c>
      <c r="O9" t="s">
        <v>130</v>
      </c>
      <c r="S9" t="str" cm="1">
        <f t="array" ref="S9:W22">TRANSPOSE(R2:AE6)</f>
        <v>Year</v>
      </c>
      <c r="T9" t="str">
        <v>2019-20</v>
      </c>
      <c r="U9" t="str">
        <v>2020-21</v>
      </c>
      <c r="V9" t="str">
        <v>2021-22</v>
      </c>
      <c r="W9" t="str">
        <v>2022-23</v>
      </c>
      <c r="X9" t="str" cm="1">
        <f t="array" ref="X9:X23">TRANSPOSE(R7:AF7)</f>
        <v>2023-24</v>
      </c>
    </row>
    <row r="10" spans="1:32">
      <c r="A10" t="s">
        <v>131</v>
      </c>
      <c r="B10">
        <v>105.72015318181816</v>
      </c>
      <c r="C10">
        <v>120.90896144736843</v>
      </c>
      <c r="D10">
        <v>129.71535511904762</v>
      </c>
      <c r="E10">
        <v>132.47124826086957</v>
      </c>
      <c r="F10">
        <v>113.05438523809524</v>
      </c>
      <c r="G10">
        <v>96.812891590909103</v>
      </c>
      <c r="H10">
        <v>69.121526666666668</v>
      </c>
      <c r="I10">
        <v>50.907636000000011</v>
      </c>
      <c r="J10">
        <v>40.61143324999999</v>
      </c>
      <c r="K10">
        <v>43.986057631578959</v>
      </c>
      <c r="L10">
        <v>43.217028000000006</v>
      </c>
      <c r="M10">
        <v>46.021762045454544</v>
      </c>
      <c r="N10">
        <v>83.566666666666663</v>
      </c>
      <c r="O10" t="s">
        <v>132</v>
      </c>
      <c r="S10" t="str">
        <v>April</v>
      </c>
      <c r="T10">
        <v>71.000922499999987</v>
      </c>
      <c r="U10">
        <v>19.901683749999997</v>
      </c>
      <c r="V10">
        <v>63.396976500000008</v>
      </c>
      <c r="W10">
        <v>102.96599786842103</v>
      </c>
      <c r="X10">
        <v>83.755358416666667</v>
      </c>
    </row>
    <row r="11" spans="1:32">
      <c r="A11" t="s">
        <v>133</v>
      </c>
      <c r="B11">
        <v>50.135601875000006</v>
      </c>
      <c r="C11">
        <v>58.003360416666673</v>
      </c>
      <c r="D11">
        <v>69.115276136363633</v>
      </c>
      <c r="E11">
        <v>64.82460978260869</v>
      </c>
      <c r="F11">
        <v>71.979192105263166</v>
      </c>
      <c r="G11">
        <v>67.701650000000001</v>
      </c>
      <c r="H11">
        <v>73.064288636363642</v>
      </c>
      <c r="I11">
        <v>77.390866249999959</v>
      </c>
      <c r="J11">
        <v>75.01622261904761</v>
      </c>
      <c r="K11">
        <v>76.608826250000021</v>
      </c>
      <c r="L11">
        <v>73.694277777777771</v>
      </c>
      <c r="M11">
        <v>78.018300000000025</v>
      </c>
      <c r="N11">
        <v>69.762270040485845</v>
      </c>
      <c r="O11" t="s">
        <v>134</v>
      </c>
      <c r="S11" t="str">
        <v>May</v>
      </c>
      <c r="T11">
        <v>70.013724342105249</v>
      </c>
      <c r="U11">
        <v>30.605539617647054</v>
      </c>
      <c r="V11">
        <v>66.953084852941174</v>
      </c>
      <c r="W11">
        <v>109.50503773684208</v>
      </c>
      <c r="X11">
        <v>74.981547824999993</v>
      </c>
    </row>
    <row r="12" spans="1:32">
      <c r="A12" t="s">
        <v>135</v>
      </c>
      <c r="B12">
        <v>84.08172900000001</v>
      </c>
      <c r="C12">
        <v>76.161427777777774</v>
      </c>
      <c r="D12">
        <v>74.331090000000003</v>
      </c>
      <c r="E12">
        <v>73.543052272727266</v>
      </c>
      <c r="F12">
        <v>75.126988999999995</v>
      </c>
      <c r="G12">
        <v>76.092999999999989</v>
      </c>
      <c r="H12">
        <v>81.109814285714293</v>
      </c>
      <c r="I12">
        <v>84.255698500000008</v>
      </c>
      <c r="J12">
        <v>89.772982380952385</v>
      </c>
      <c r="K12">
        <v>93.868447999999987</v>
      </c>
      <c r="L12">
        <v>101.62099944444444</v>
      </c>
      <c r="M12">
        <v>110.71446956521741</v>
      </c>
      <c r="N12">
        <v>85.09</v>
      </c>
      <c r="O12" t="s">
        <v>136</v>
      </c>
      <c r="S12" t="str">
        <v>June</v>
      </c>
      <c r="T12">
        <v>62.374424999999988</v>
      </c>
      <c r="U12">
        <v>40.633868636363637</v>
      </c>
      <c r="V12">
        <v>71.982647477272721</v>
      </c>
      <c r="W12">
        <v>116.01138504999999</v>
      </c>
      <c r="X12">
        <v>74.928252024999992</v>
      </c>
    </row>
    <row r="13" spans="1:32">
      <c r="A13" t="s">
        <v>137</v>
      </c>
      <c r="B13">
        <v>118.63579277777778</v>
      </c>
      <c r="C13">
        <v>110.80254368421052</v>
      </c>
      <c r="D13">
        <v>109.99406772727275</v>
      </c>
      <c r="E13">
        <v>112.52711428571428</v>
      </c>
      <c r="F13">
        <v>106.93536000000002</v>
      </c>
      <c r="G13">
        <v>108.79064681818183</v>
      </c>
      <c r="H13">
        <v>106.10836949999998</v>
      </c>
      <c r="I13">
        <v>109.61574428571427</v>
      </c>
      <c r="J13">
        <v>107.19388799999999</v>
      </c>
      <c r="K13">
        <v>110.46828473684211</v>
      </c>
      <c r="L13">
        <v>117.66619714285711</v>
      </c>
      <c r="M13">
        <v>123.61055818181818</v>
      </c>
      <c r="N13">
        <v>111.89</v>
      </c>
      <c r="O13" t="s">
        <v>138</v>
      </c>
      <c r="S13" t="str">
        <v>July</v>
      </c>
      <c r="T13">
        <v>63.627010326086953</v>
      </c>
      <c r="U13">
        <v>43.347552547619046</v>
      </c>
      <c r="V13">
        <v>73.539060523809511</v>
      </c>
      <c r="W13">
        <v>105.49124737500001</v>
      </c>
      <c r="X13">
        <v>80.368492428571415</v>
      </c>
    </row>
    <row r="14" spans="1:32">
      <c r="A14" t="s">
        <v>139</v>
      </c>
      <c r="B14">
        <v>117.97451263157893</v>
      </c>
      <c r="C14">
        <v>108.05380666666667</v>
      </c>
      <c r="D14">
        <v>94.507602631578962</v>
      </c>
      <c r="E14">
        <v>100.33814000000001</v>
      </c>
      <c r="F14">
        <v>110.06828299999999</v>
      </c>
      <c r="G14">
        <v>111.77087950000001</v>
      </c>
      <c r="H14">
        <v>109.78858409090908</v>
      </c>
      <c r="I14">
        <v>107.87074714285717</v>
      </c>
      <c r="J14">
        <v>107.28096684210526</v>
      </c>
      <c r="K14">
        <v>109.55123681818182</v>
      </c>
      <c r="L14">
        <v>112.67557388888889</v>
      </c>
      <c r="M14">
        <v>106.44967000000001</v>
      </c>
      <c r="N14">
        <v>107.97</v>
      </c>
      <c r="O14" t="s">
        <v>140</v>
      </c>
      <c r="S14" t="str">
        <v>August</v>
      </c>
      <c r="T14">
        <v>59.349817105263163</v>
      </c>
      <c r="U14">
        <v>44.190017605263151</v>
      </c>
      <c r="V14">
        <v>69.804724424999989</v>
      </c>
      <c r="W14">
        <v>97.404465428571427</v>
      </c>
      <c r="X14">
        <v>86.426703761904761</v>
      </c>
    </row>
    <row r="15" spans="1:32">
      <c r="A15" t="s">
        <v>141</v>
      </c>
      <c r="B15">
        <v>101.57480404761903</v>
      </c>
      <c r="C15">
        <v>101.09704973684211</v>
      </c>
      <c r="D15">
        <v>101.11112850000002</v>
      </c>
      <c r="E15">
        <v>104.85975108695654</v>
      </c>
      <c r="F15">
        <v>108.45469894736839</v>
      </c>
      <c r="G15">
        <v>109.46571142857142</v>
      </c>
      <c r="H15">
        <v>107.37352068181818</v>
      </c>
      <c r="I15">
        <v>106.55480452380951</v>
      </c>
      <c r="J15">
        <v>108.71841975000002</v>
      </c>
      <c r="K15">
        <v>105.29499857142855</v>
      </c>
      <c r="L15">
        <v>106.18825474999998</v>
      </c>
      <c r="M15">
        <v>105.29528785714285</v>
      </c>
      <c r="N15">
        <v>105.52</v>
      </c>
      <c r="O15" t="s">
        <v>142</v>
      </c>
      <c r="S15" t="str">
        <v>September</v>
      </c>
      <c r="T15">
        <v>61.723273214285719</v>
      </c>
      <c r="U15">
        <v>41.35410665909091</v>
      </c>
      <c r="V15">
        <v>73.130738295454549</v>
      </c>
      <c r="W15">
        <v>90.706344809523813</v>
      </c>
      <c r="X15">
        <v>93.539339400000003</v>
      </c>
    </row>
    <row r="16" spans="1:32">
      <c r="A16" t="s">
        <v>143</v>
      </c>
      <c r="B16">
        <v>105.55533930000001</v>
      </c>
      <c r="C16">
        <v>106.85322644444446</v>
      </c>
      <c r="D16">
        <v>109.0539181904762</v>
      </c>
      <c r="E16">
        <v>106.2961561818182</v>
      </c>
      <c r="F16">
        <v>101.89198810000001</v>
      </c>
      <c r="G16">
        <v>96.959094045454563</v>
      </c>
      <c r="H16">
        <v>86.827638380952408</v>
      </c>
      <c r="I16">
        <v>77.581451350000009</v>
      </c>
      <c r="J16">
        <v>61.211098238095246</v>
      </c>
      <c r="K16">
        <v>46.586617428571437</v>
      </c>
      <c r="L16">
        <v>56.430382166666682</v>
      </c>
      <c r="M16">
        <v>55.176776090909101</v>
      </c>
      <c r="N16">
        <v>84.156300105691088</v>
      </c>
      <c r="O16" t="s">
        <v>144</v>
      </c>
      <c r="S16" t="str">
        <v>October</v>
      </c>
      <c r="T16">
        <v>59.703420454545466</v>
      </c>
      <c r="U16">
        <v>40.658228000000001</v>
      </c>
      <c r="V16">
        <v>82.107393785714294</v>
      </c>
      <c r="W16">
        <v>91.698948700000003</v>
      </c>
      <c r="X16">
        <v>90.080343022727263</v>
      </c>
    </row>
    <row r="17" spans="1:24">
      <c r="A17" t="s">
        <v>145</v>
      </c>
      <c r="B17">
        <v>59.070307599999992</v>
      </c>
      <c r="C17">
        <v>63.821381000000002</v>
      </c>
      <c r="D17">
        <v>61.745464190476184</v>
      </c>
      <c r="E17">
        <v>56.300030227272721</v>
      </c>
      <c r="F17">
        <v>47.327433333333339</v>
      </c>
      <c r="G17">
        <v>46.104868599999996</v>
      </c>
      <c r="H17">
        <v>46.675260727272715</v>
      </c>
      <c r="I17">
        <v>42.504005149999998</v>
      </c>
      <c r="J17">
        <v>35.680888380952382</v>
      </c>
      <c r="K17">
        <v>28.078798200000005</v>
      </c>
      <c r="L17">
        <v>30.525591894736845</v>
      </c>
      <c r="M17">
        <v>36.421309142857147</v>
      </c>
      <c r="N17">
        <v>46.16562723966944</v>
      </c>
      <c r="O17" t="s">
        <v>146</v>
      </c>
      <c r="S17" t="str">
        <v>November</v>
      </c>
      <c r="T17">
        <v>62.53257261904762</v>
      </c>
      <c r="U17">
        <v>43.340640499999999</v>
      </c>
      <c r="V17">
        <v>80.637301023809528</v>
      </c>
      <c r="W17">
        <v>87.552266068181822</v>
      </c>
      <c r="X17">
        <v>83.455368214285699</v>
      </c>
    </row>
    <row r="18" spans="1:24">
      <c r="A18" t="s">
        <v>147</v>
      </c>
      <c r="B18">
        <v>39.879094571428574</v>
      </c>
      <c r="C18">
        <v>45.006805849999999</v>
      </c>
      <c r="D18">
        <v>46.963111931818183</v>
      </c>
      <c r="E18">
        <v>43.519136674999999</v>
      </c>
      <c r="F18">
        <v>44.384978928571435</v>
      </c>
      <c r="G18">
        <v>44.480860166666659</v>
      </c>
      <c r="H18">
        <v>49.252621083333331</v>
      </c>
      <c r="I18">
        <v>44.456194318181822</v>
      </c>
      <c r="J18">
        <v>52.735649124999995</v>
      </c>
      <c r="K18">
        <v>54.077528250000015</v>
      </c>
      <c r="L18">
        <v>54.86268470000001</v>
      </c>
      <c r="M18">
        <v>51.469629652173914</v>
      </c>
      <c r="N18">
        <v>47.557812594621531</v>
      </c>
      <c r="O18" t="s">
        <v>148</v>
      </c>
      <c r="S18" t="str">
        <v>December</v>
      </c>
      <c r="T18">
        <v>65.502042500000016</v>
      </c>
      <c r="U18">
        <v>49.839816952380943</v>
      </c>
      <c r="V18">
        <v>73.298823523809531</v>
      </c>
      <c r="W18">
        <v>78.100942275000008</v>
      </c>
      <c r="X18">
        <v>77.419721631578938</v>
      </c>
    </row>
    <row r="19" spans="1:24">
      <c r="A19" t="s">
        <v>149</v>
      </c>
      <c r="B19">
        <v>52.490691055555551</v>
      </c>
      <c r="C19">
        <v>50.567623025000003</v>
      </c>
      <c r="D19">
        <v>46.555774</v>
      </c>
      <c r="E19">
        <v>47.857632880952387</v>
      </c>
      <c r="F19">
        <v>50.633570880952391</v>
      </c>
      <c r="G19">
        <v>54.523307750000001</v>
      </c>
      <c r="H19">
        <v>56.059518095238097</v>
      </c>
      <c r="I19">
        <v>61.315904545454551</v>
      </c>
      <c r="J19">
        <v>62.290080157894742</v>
      </c>
      <c r="K19">
        <v>67.060153386363623</v>
      </c>
      <c r="L19">
        <v>63.537335763157884</v>
      </c>
      <c r="M19">
        <v>63.795413214285702</v>
      </c>
      <c r="N19">
        <v>56.426878865306136</v>
      </c>
      <c r="O19" t="s">
        <v>150</v>
      </c>
      <c r="S19" t="str">
        <v>January</v>
      </c>
      <c r="T19">
        <v>64.309747023809535</v>
      </c>
      <c r="U19">
        <v>54.794569624999994</v>
      </c>
      <c r="V19">
        <v>84.666318799999985</v>
      </c>
      <c r="W19">
        <v>80.922269684210534</v>
      </c>
      <c r="X19">
        <v>79.216541545454547</v>
      </c>
    </row>
    <row r="20" spans="1:24">
      <c r="A20" t="s">
        <v>151</v>
      </c>
      <c r="B20">
        <v>69.219098437499994</v>
      </c>
      <c r="C20">
        <v>75.252045250000009</v>
      </c>
      <c r="D20">
        <v>73.825793025000024</v>
      </c>
      <c r="E20">
        <v>73.468274863636353</v>
      </c>
      <c r="F20">
        <v>72.5347376</v>
      </c>
      <c r="G20">
        <v>77.883389637499988</v>
      </c>
      <c r="H20">
        <v>80.082670250000007</v>
      </c>
      <c r="I20">
        <v>65.399219369047628</v>
      </c>
      <c r="J20">
        <v>57.772638352941186</v>
      </c>
      <c r="K20">
        <v>59.26800257954546</v>
      </c>
      <c r="L20">
        <v>64.534530625000002</v>
      </c>
      <c r="M20">
        <v>66.739999999999995</v>
      </c>
      <c r="N20">
        <v>69.88</v>
      </c>
      <c r="O20" t="s">
        <v>152</v>
      </c>
      <c r="S20" t="str">
        <v>Feburary</v>
      </c>
      <c r="T20">
        <v>54.627359999999996</v>
      </c>
      <c r="U20">
        <v>61.216117289473672</v>
      </c>
      <c r="V20">
        <v>94.067715194444446</v>
      </c>
      <c r="W20">
        <v>82.278706675000009</v>
      </c>
      <c r="X20">
        <v>81.621881399999992</v>
      </c>
    </row>
    <row r="21" spans="1:24">
      <c r="A21" t="s">
        <v>153</v>
      </c>
      <c r="B21">
        <v>71.000922499999987</v>
      </c>
      <c r="C21">
        <v>70.013724342105249</v>
      </c>
      <c r="D21">
        <v>62.374424999999988</v>
      </c>
      <c r="E21">
        <v>63.627010326086953</v>
      </c>
      <c r="F21">
        <v>59.349817105263163</v>
      </c>
      <c r="G21">
        <v>61.723273214285719</v>
      </c>
      <c r="H21">
        <v>59.703420454545466</v>
      </c>
      <c r="I21">
        <v>62.53257261904762</v>
      </c>
      <c r="J21">
        <v>65.502042500000016</v>
      </c>
      <c r="K21">
        <v>64.309747023809535</v>
      </c>
      <c r="L21">
        <v>54.627359999999996</v>
      </c>
      <c r="M21">
        <v>33.358738068181822</v>
      </c>
      <c r="N21">
        <v>60.470826062752998</v>
      </c>
      <c r="O21" t="s">
        <v>154</v>
      </c>
      <c r="S21" t="str">
        <v>March</v>
      </c>
      <c r="T21">
        <v>33.358738068181822</v>
      </c>
      <c r="U21">
        <v>64.729496782608663</v>
      </c>
      <c r="V21">
        <v>112.87479254347826</v>
      </c>
      <c r="W21">
        <v>78.539480282608693</v>
      </c>
      <c r="X21">
        <v>84.486883150000011</v>
      </c>
    </row>
    <row r="22" spans="1:24">
      <c r="A22" t="s">
        <v>155</v>
      </c>
      <c r="B22">
        <v>19.901683749999997</v>
      </c>
      <c r="C22">
        <v>30.605539617647054</v>
      </c>
      <c r="D22">
        <v>40.633868636363637</v>
      </c>
      <c r="E22">
        <v>43.347552547619046</v>
      </c>
      <c r="F22">
        <v>44.190017605263151</v>
      </c>
      <c r="G22">
        <v>41.35410665909091</v>
      </c>
      <c r="H22">
        <v>40.658228000000001</v>
      </c>
      <c r="I22">
        <v>43.340640499999999</v>
      </c>
      <c r="J22">
        <v>49.839816952380943</v>
      </c>
      <c r="K22">
        <v>54.794569624999994</v>
      </c>
      <c r="L22">
        <v>61.216117289473672</v>
      </c>
      <c r="M22">
        <v>64.729496782608663</v>
      </c>
      <c r="N22">
        <v>44.821938917004019</v>
      </c>
      <c r="O22" t="s">
        <v>156</v>
      </c>
      <c r="S22" t="str">
        <v>Average</v>
      </c>
      <c r="T22">
        <v>60.470826062752998</v>
      </c>
      <c r="U22">
        <v>44.821938917004019</v>
      </c>
      <c r="V22">
        <v>79.181425130081294</v>
      </c>
      <c r="W22">
        <v>93.151566872950767</v>
      </c>
      <c r="X22">
        <v>82.580010456967216</v>
      </c>
    </row>
    <row r="23" spans="1:24">
      <c r="A23" t="s">
        <v>157</v>
      </c>
      <c r="B23">
        <v>63.396976500000008</v>
      </c>
      <c r="C23">
        <v>66.953084852941174</v>
      </c>
      <c r="D23">
        <v>71.982647477272721</v>
      </c>
      <c r="E23">
        <v>73.539060523809511</v>
      </c>
      <c r="F23">
        <v>69.804724424999989</v>
      </c>
      <c r="G23">
        <v>73.130738295454549</v>
      </c>
      <c r="H23">
        <v>82.107393785714294</v>
      </c>
      <c r="I23">
        <v>80.637301023809528</v>
      </c>
      <c r="J23">
        <v>73.298823523809531</v>
      </c>
      <c r="K23">
        <v>84.666318799999985</v>
      </c>
      <c r="L23">
        <v>94.067715194444446</v>
      </c>
      <c r="M23">
        <v>112.87479254347826</v>
      </c>
      <c r="N23">
        <v>79.181425130081294</v>
      </c>
      <c r="O23" t="s">
        <v>156</v>
      </c>
      <c r="X23" t="str">
        <v>75.62:24.38</v>
      </c>
    </row>
    <row r="24" spans="1:24">
      <c r="A24" t="s">
        <v>158</v>
      </c>
      <c r="B24">
        <v>102.96599786842103</v>
      </c>
      <c r="C24">
        <v>109.50503773684208</v>
      </c>
      <c r="D24">
        <v>116.01138504999999</v>
      </c>
      <c r="E24">
        <v>105.49124737500001</v>
      </c>
      <c r="F24">
        <v>97.404465428571427</v>
      </c>
      <c r="G24">
        <v>90.706344809523813</v>
      </c>
      <c r="H24">
        <v>91.698948700000003</v>
      </c>
      <c r="I24">
        <v>87.552266068181822</v>
      </c>
      <c r="J24">
        <v>78.100942275000008</v>
      </c>
      <c r="K24">
        <v>80.922269684210534</v>
      </c>
      <c r="L24">
        <v>82.278706675000009</v>
      </c>
      <c r="M24">
        <v>78.539480282608693</v>
      </c>
      <c r="N24">
        <v>93.151566872950767</v>
      </c>
      <c r="O24" t="s">
        <v>156</v>
      </c>
    </row>
    <row r="25" spans="1:24">
      <c r="A25" t="s">
        <v>159</v>
      </c>
      <c r="B25">
        <v>83.755358416666667</v>
      </c>
      <c r="C25">
        <v>74.981547824999993</v>
      </c>
      <c r="D25">
        <v>74.928252024999992</v>
      </c>
      <c r="E25">
        <v>80.368492428571415</v>
      </c>
      <c r="F25">
        <v>86.426703761904761</v>
      </c>
      <c r="G25">
        <v>93.539339400000003</v>
      </c>
      <c r="H25">
        <v>90.080343022727263</v>
      </c>
      <c r="I25">
        <v>83.455368214285699</v>
      </c>
      <c r="J25">
        <v>77.419721631578938</v>
      </c>
      <c r="K25">
        <v>79.216541545454547</v>
      </c>
      <c r="L25">
        <v>81.621881399999992</v>
      </c>
      <c r="M25">
        <v>84.486883150000011</v>
      </c>
      <c r="N25">
        <v>82.580010456967216</v>
      </c>
      <c r="O25" t="s">
        <v>156</v>
      </c>
      <c r="R25" t="s">
        <v>1</v>
      </c>
      <c r="S25" t="s">
        <v>2</v>
      </c>
      <c r="T25" t="s">
        <v>165</v>
      </c>
    </row>
    <row r="26" spans="1:24">
      <c r="A26" t="s">
        <v>160</v>
      </c>
      <c r="B26">
        <v>89.437476250000003</v>
      </c>
      <c r="C26">
        <v>83.624938157894732</v>
      </c>
      <c r="D26">
        <v>82.552871052631588</v>
      </c>
      <c r="E26">
        <v>84.148165217391295</v>
      </c>
      <c r="F26">
        <v>78.270687499999994</v>
      </c>
      <c r="G26">
        <v>73.694888690476205</v>
      </c>
      <c r="H26">
        <v>75.124704545454534</v>
      </c>
      <c r="I26">
        <v>73.016986904761893</v>
      </c>
      <c r="J26">
        <v>73.336846874999978</v>
      </c>
      <c r="K26">
        <v>80.196197499999997</v>
      </c>
      <c r="L26">
        <v>77.328566875000007</v>
      </c>
      <c r="M26">
        <v>72.466606250000012</v>
      </c>
      <c r="N26">
        <v>78.560027295918331</v>
      </c>
      <c r="O26" t="s">
        <v>161</v>
      </c>
      <c r="R26">
        <v>2019</v>
      </c>
      <c r="S26" t="s">
        <v>37</v>
      </c>
      <c r="T26">
        <v>71.000922499999987</v>
      </c>
    </row>
    <row r="27" spans="1:24">
      <c r="A27" t="s">
        <v>162</v>
      </c>
      <c r="B27">
        <v>67.724946524999993</v>
      </c>
      <c r="C27">
        <v>64.042044444444457</v>
      </c>
      <c r="D27">
        <v>69.77</v>
      </c>
      <c r="E27">
        <v>70.95</v>
      </c>
      <c r="F27">
        <v>69.112829524999981</v>
      </c>
      <c r="G27">
        <v>69.61</v>
      </c>
      <c r="H27">
        <v>65.08</v>
      </c>
      <c r="I27">
        <v>64.305830100000009</v>
      </c>
      <c r="J27">
        <v>62.202431238095244</v>
      </c>
      <c r="K27">
        <v>63.08337802380953</v>
      </c>
      <c r="L27">
        <v>69.005476611111106</v>
      </c>
      <c r="M27">
        <v>113.49</v>
      </c>
      <c r="N27">
        <v>70.990725819556403</v>
      </c>
      <c r="O27" t="s">
        <v>163</v>
      </c>
      <c r="R27">
        <v>2019</v>
      </c>
      <c r="S27" t="s">
        <v>38</v>
      </c>
      <c r="T27">
        <v>70.013724342105249</v>
      </c>
    </row>
    <row r="28" spans="1:24">
      <c r="R28">
        <v>2019</v>
      </c>
      <c r="S28" t="s">
        <v>39</v>
      </c>
      <c r="T28">
        <v>62.374424999999988</v>
      </c>
    </row>
    <row r="29" spans="1:24">
      <c r="R29">
        <v>2019</v>
      </c>
      <c r="S29" t="s">
        <v>40</v>
      </c>
      <c r="T29">
        <v>63.627010326086953</v>
      </c>
    </row>
    <row r="30" spans="1:24">
      <c r="R30">
        <v>2019</v>
      </c>
      <c r="S30" t="s">
        <v>41</v>
      </c>
      <c r="T30">
        <v>59.349817105263163</v>
      </c>
    </row>
    <row r="31" spans="1:24">
      <c r="R31">
        <v>2019</v>
      </c>
      <c r="S31" t="s">
        <v>42</v>
      </c>
      <c r="T31">
        <v>61.723273214285719</v>
      </c>
    </row>
    <row r="32" spans="1:24">
      <c r="R32">
        <v>2019</v>
      </c>
      <c r="S32" t="s">
        <v>43</v>
      </c>
      <c r="T32">
        <v>59.703420454545466</v>
      </c>
    </row>
    <row r="33" spans="18:20">
      <c r="R33">
        <v>2019</v>
      </c>
      <c r="S33" t="s">
        <v>45</v>
      </c>
      <c r="T33">
        <v>62.53257261904762</v>
      </c>
    </row>
    <row r="34" spans="18:20">
      <c r="R34">
        <v>2019</v>
      </c>
      <c r="S34" t="s">
        <v>46</v>
      </c>
      <c r="T34">
        <v>65.502042500000016</v>
      </c>
    </row>
    <row r="35" spans="18:20">
      <c r="R35">
        <v>2020</v>
      </c>
      <c r="S35" t="s">
        <v>31</v>
      </c>
      <c r="T35">
        <v>64.309747023809535</v>
      </c>
    </row>
    <row r="36" spans="18:20">
      <c r="R36">
        <v>2020</v>
      </c>
      <c r="S36" t="s">
        <v>164</v>
      </c>
      <c r="T36">
        <v>54.627359999999996</v>
      </c>
    </row>
    <row r="37" spans="18:20">
      <c r="R37">
        <v>2020</v>
      </c>
      <c r="S37" t="s">
        <v>36</v>
      </c>
      <c r="T37">
        <v>33.358738068181822</v>
      </c>
    </row>
    <row r="38" spans="18:20">
      <c r="R38">
        <v>2020</v>
      </c>
      <c r="S38" t="s">
        <v>37</v>
      </c>
      <c r="T38">
        <v>19.901683749999997</v>
      </c>
    </row>
    <row r="39" spans="18:20">
      <c r="R39">
        <v>2020</v>
      </c>
      <c r="S39" t="s">
        <v>38</v>
      </c>
      <c r="T39">
        <v>30.605539617647054</v>
      </c>
    </row>
    <row r="40" spans="18:20">
      <c r="R40">
        <v>2020</v>
      </c>
      <c r="S40" t="s">
        <v>39</v>
      </c>
      <c r="T40">
        <v>40.633868636363637</v>
      </c>
    </row>
    <row r="41" spans="18:20">
      <c r="R41">
        <v>2020</v>
      </c>
      <c r="S41" t="s">
        <v>40</v>
      </c>
      <c r="T41">
        <v>43.347552547619046</v>
      </c>
    </row>
    <row r="42" spans="18:20">
      <c r="R42">
        <v>2020</v>
      </c>
      <c r="S42" t="s">
        <v>41</v>
      </c>
      <c r="T42">
        <v>44.190017605263151</v>
      </c>
    </row>
    <row r="43" spans="18:20">
      <c r="R43">
        <v>2020</v>
      </c>
      <c r="S43" t="s">
        <v>42</v>
      </c>
      <c r="T43">
        <v>41.35410665909091</v>
      </c>
    </row>
    <row r="44" spans="18:20">
      <c r="R44">
        <v>2020</v>
      </c>
      <c r="S44" t="s">
        <v>43</v>
      </c>
      <c r="T44">
        <v>40.658228000000001</v>
      </c>
    </row>
    <row r="45" spans="18:20">
      <c r="R45">
        <v>2020</v>
      </c>
      <c r="S45" t="s">
        <v>45</v>
      </c>
      <c r="T45">
        <v>43.340640499999999</v>
      </c>
    </row>
    <row r="46" spans="18:20">
      <c r="R46">
        <v>2020</v>
      </c>
      <c r="S46" t="s">
        <v>46</v>
      </c>
      <c r="T46">
        <v>49.839816952380943</v>
      </c>
    </row>
    <row r="47" spans="18:20">
      <c r="R47">
        <v>2021</v>
      </c>
      <c r="S47" t="s">
        <v>31</v>
      </c>
      <c r="T47">
        <v>54.794569624999994</v>
      </c>
    </row>
    <row r="48" spans="18:20">
      <c r="R48">
        <v>2021</v>
      </c>
      <c r="S48" t="s">
        <v>164</v>
      </c>
      <c r="T48">
        <v>61.216117289473672</v>
      </c>
    </row>
    <row r="49" spans="18:20">
      <c r="R49">
        <v>2021</v>
      </c>
      <c r="S49" t="s">
        <v>36</v>
      </c>
      <c r="T49">
        <v>64.729496782608663</v>
      </c>
    </row>
    <row r="50" spans="18:20">
      <c r="R50">
        <v>2021</v>
      </c>
      <c r="S50" t="s">
        <v>37</v>
      </c>
      <c r="T50">
        <v>63.396976500000008</v>
      </c>
    </row>
    <row r="51" spans="18:20">
      <c r="R51">
        <v>2021</v>
      </c>
      <c r="S51" t="s">
        <v>38</v>
      </c>
      <c r="T51">
        <v>66.953084852941174</v>
      </c>
    </row>
    <row r="52" spans="18:20">
      <c r="R52">
        <v>2021</v>
      </c>
      <c r="S52" t="s">
        <v>39</v>
      </c>
      <c r="T52">
        <v>71.982647477272721</v>
      </c>
    </row>
    <row r="53" spans="18:20">
      <c r="R53">
        <v>2021</v>
      </c>
      <c r="S53" t="s">
        <v>40</v>
      </c>
      <c r="T53">
        <v>73.539060523809511</v>
      </c>
    </row>
    <row r="54" spans="18:20">
      <c r="R54">
        <v>2021</v>
      </c>
      <c r="S54" t="s">
        <v>41</v>
      </c>
      <c r="T54">
        <v>69.804724424999989</v>
      </c>
    </row>
    <row r="55" spans="18:20">
      <c r="R55">
        <v>2021</v>
      </c>
      <c r="S55" t="s">
        <v>42</v>
      </c>
      <c r="T55">
        <v>73.130738295454549</v>
      </c>
    </row>
    <row r="56" spans="18:20">
      <c r="R56">
        <v>2021</v>
      </c>
      <c r="S56" t="s">
        <v>43</v>
      </c>
      <c r="T56">
        <v>82.107393785714294</v>
      </c>
    </row>
    <row r="57" spans="18:20">
      <c r="R57">
        <v>2021</v>
      </c>
      <c r="S57" t="s">
        <v>45</v>
      </c>
      <c r="T57">
        <v>80.637301023809528</v>
      </c>
    </row>
    <row r="58" spans="18:20">
      <c r="R58">
        <v>2021</v>
      </c>
      <c r="S58" t="s">
        <v>46</v>
      </c>
      <c r="T58">
        <v>73.298823523809531</v>
      </c>
    </row>
    <row r="59" spans="18:20">
      <c r="R59">
        <v>2022</v>
      </c>
      <c r="S59" t="s">
        <v>31</v>
      </c>
      <c r="T59">
        <v>84.666318799999985</v>
      </c>
    </row>
    <row r="60" spans="18:20">
      <c r="R60">
        <v>2022</v>
      </c>
      <c r="S60" t="s">
        <v>164</v>
      </c>
      <c r="T60">
        <v>94.067715194444446</v>
      </c>
    </row>
    <row r="61" spans="18:20">
      <c r="R61">
        <v>2022</v>
      </c>
      <c r="S61" t="s">
        <v>36</v>
      </c>
      <c r="T61">
        <v>112.87479254347826</v>
      </c>
    </row>
    <row r="62" spans="18:20">
      <c r="R62">
        <v>2022</v>
      </c>
      <c r="S62" t="s">
        <v>37</v>
      </c>
      <c r="T62">
        <v>102.96599786842103</v>
      </c>
    </row>
    <row r="63" spans="18:20">
      <c r="R63">
        <v>2022</v>
      </c>
      <c r="S63" t="s">
        <v>38</v>
      </c>
      <c r="T63">
        <v>109.50503773684208</v>
      </c>
    </row>
    <row r="64" spans="18:20">
      <c r="R64">
        <v>2022</v>
      </c>
      <c r="S64" t="s">
        <v>39</v>
      </c>
      <c r="T64">
        <v>116.01138504999999</v>
      </c>
    </row>
    <row r="65" spans="18:20">
      <c r="R65">
        <v>2022</v>
      </c>
      <c r="S65" t="s">
        <v>40</v>
      </c>
      <c r="T65">
        <v>105.49124737500001</v>
      </c>
    </row>
    <row r="66" spans="18:20">
      <c r="R66">
        <v>2022</v>
      </c>
      <c r="S66" t="s">
        <v>41</v>
      </c>
      <c r="T66">
        <v>97.404465428571427</v>
      </c>
    </row>
    <row r="67" spans="18:20">
      <c r="R67">
        <v>2022</v>
      </c>
      <c r="S67" t="s">
        <v>42</v>
      </c>
      <c r="T67">
        <v>90.706344809523813</v>
      </c>
    </row>
    <row r="68" spans="18:20">
      <c r="R68">
        <v>2022</v>
      </c>
      <c r="S68" t="s">
        <v>43</v>
      </c>
      <c r="T68">
        <v>91.698948700000003</v>
      </c>
    </row>
    <row r="69" spans="18:20">
      <c r="R69">
        <v>2022</v>
      </c>
      <c r="S69" t="s">
        <v>45</v>
      </c>
      <c r="T69">
        <v>87.552266068181822</v>
      </c>
    </row>
    <row r="70" spans="18:20">
      <c r="R70">
        <v>2022</v>
      </c>
      <c r="S70" t="s">
        <v>46</v>
      </c>
      <c r="T70">
        <v>78.100942275000008</v>
      </c>
    </row>
    <row r="71" spans="18:20">
      <c r="R71">
        <v>2023</v>
      </c>
      <c r="S71" t="s">
        <v>31</v>
      </c>
      <c r="T71">
        <v>80.922269684210534</v>
      </c>
    </row>
    <row r="72" spans="18:20">
      <c r="R72">
        <v>2023</v>
      </c>
      <c r="S72" t="s">
        <v>164</v>
      </c>
      <c r="T72">
        <v>82.278706675000009</v>
      </c>
    </row>
    <row r="73" spans="18:20">
      <c r="R73">
        <v>2023</v>
      </c>
      <c r="S73" t="s">
        <v>36</v>
      </c>
      <c r="T73">
        <v>78.539480282608693</v>
      </c>
    </row>
    <row r="74" spans="18:20">
      <c r="R74">
        <v>2023</v>
      </c>
      <c r="S74" t="s">
        <v>37</v>
      </c>
      <c r="T74">
        <v>83.755358416666667</v>
      </c>
    </row>
    <row r="75" spans="18:20">
      <c r="R75">
        <v>2023</v>
      </c>
      <c r="S75" t="s">
        <v>38</v>
      </c>
      <c r="T75">
        <v>74.981547824999993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FDFB5D-A0C2-4CEA-941F-B626EF05E5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Table3</vt:lpstr>
      <vt:lpstr>Main_Data</vt:lpstr>
      <vt:lpstr>Check</vt:lpstr>
      <vt:lpstr>issue_log</vt:lpstr>
      <vt:lpstr>Sheet1</vt:lpstr>
      <vt:lpstr>combined_bucket</vt:lpstr>
      <vt:lpstr>Clean_data</vt:lpstr>
      <vt:lpstr>Final_Clean_table</vt:lpstr>
      <vt:lpstr>Buckets</vt:lpstr>
      <vt:lpstr>Task_1</vt:lpstr>
      <vt:lpstr>Task_2</vt:lpstr>
      <vt:lpstr>Task_3</vt:lpstr>
      <vt:lpstr>task3.1</vt:lpstr>
      <vt:lpstr>Task_4</vt:lpstr>
      <vt:lpstr>Task_5</vt:lpstr>
      <vt:lpstr>Dashboard</vt:lpstr>
      <vt:lpstr>Sheet9</vt:lpstr>
      <vt:lpstr>LastQAnalysis</vt:lpstr>
      <vt:lpstr>Sheet6</vt:lpstr>
      <vt:lpstr>Sheet5</vt:lpstr>
      <vt:lpstr>Sheet2</vt:lpstr>
      <vt:lpstr>Sheet4</vt:lpstr>
      <vt:lpstr>crude_oil_data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Nishant</dc:creator>
  <cp:lastModifiedBy>Nishant Loomba</cp:lastModifiedBy>
  <dcterms:created xsi:type="dcterms:W3CDTF">2026-10-01T05:09:33Z</dcterms:created>
  <dcterms:modified xsi:type="dcterms:W3CDTF">2026-10-05T16:42:00Z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3B762D86BCA949A68BE0AF918F365F94_13</vt:lpwstr>
  </property>
  <property fmtid="{D5CDD505-2E9C-101B-9397-08002B2CF9AE}" pid="3" name="KSOProductBuildVer">
    <vt:lpwstr>1033-12.1.0.28485</vt:lpwstr>
  </property>
  <property fmtid="{D5CDD505-2E9C-101B-9397-08002B2CF9AE}" pid="4" name="CalculationRule">
    <vt:i4>0</vt:i4>
  </property>
</Properties>
</file>